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ethandippold/Downloads/"/>
    </mc:Choice>
  </mc:AlternateContent>
  <xr:revisionPtr revIDLastSave="0" documentId="8_{B9274875-20FD-5F40-B19A-69EFF5299609}" xr6:coauthVersionLast="47" xr6:coauthVersionMax="47" xr10:uidLastSave="{00000000-0000-0000-0000-000000000000}"/>
  <bookViews>
    <workbookView xWindow="10720" yWindow="760" windowWidth="16640" windowHeight="18880" activeTab="2" xr2:uid="{DC157E28-90BC-8542-8B10-F8AB3A085CE7}"/>
  </bookViews>
  <sheets>
    <sheet name="Pre-MoneyBall(1993-2002)" sheetId="4" state="hidden" r:id="rId1"/>
    <sheet name="MoneyBall(2003-2013)" sheetId="5" state="hidden" r:id="rId2"/>
    <sheet name="Cleaned MLB Stats Dataset" sheetId="7" r:id="rId3"/>
    <sheet name="League Averages" sheetId="11" r:id="rId4"/>
    <sheet name="Chart1" sheetId="12" r:id="rId5"/>
    <sheet name="Chart2" sheetId="13" r:id="rId6"/>
    <sheet name="Chart3" sheetId="16" r:id="rId7"/>
    <sheet name="Chart4" sheetId="21" r:id="rId8"/>
    <sheet name="Main Charts" sheetId="22" r:id="rId9"/>
  </sheets>
  <definedNames>
    <definedName name="_xlchart.v1.0" hidden="1">Chart4!$A$1</definedName>
    <definedName name="_xlchart.v1.1" hidden="1">Chart4!$A$2:$A$193</definedName>
    <definedName name="_xlchart.v1.10" hidden="1">Chart4!$B$1</definedName>
    <definedName name="_xlchart.v1.11" hidden="1">Chart4!$B$2:$B$193</definedName>
    <definedName name="_xlchart.v1.12" hidden="1">Chart4!$C$1</definedName>
    <definedName name="_xlchart.v1.13" hidden="1">Chart4!$C$2:$C$193</definedName>
    <definedName name="_xlchart.v1.14" hidden="1">Chart4!$D$1</definedName>
    <definedName name="_xlchart.v1.15" hidden="1">Chart4!$D$2:$D$193</definedName>
    <definedName name="_xlchart.v1.2" hidden="1">Chart4!$B$1</definedName>
    <definedName name="_xlchart.v1.3" hidden="1">Chart4!$B$2:$B$193</definedName>
    <definedName name="_xlchart.v1.4" hidden="1">Chart4!$C$1</definedName>
    <definedName name="_xlchart.v1.5" hidden="1">Chart4!$C$2:$C$193</definedName>
    <definedName name="_xlchart.v1.6" hidden="1">Chart4!$D$1</definedName>
    <definedName name="_xlchart.v1.7" hidden="1">Chart4!$D$2:$D$193</definedName>
    <definedName name="_xlchart.v1.8" hidden="1">Chart4!$A$1</definedName>
    <definedName name="_xlchart.v1.9" hidden="1">Chart4!$A$2:$A$193</definedName>
    <definedName name="ExternalData_1" localSheetId="2" hidden="1">'Cleaned MLB Stats Dataset'!$A$1:$AA$367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" i="7" l="1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2" i="16"/>
  <c r="C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2" i="16"/>
  <c r="A2" i="16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D193" i="21"/>
  <c r="D192" i="21"/>
  <c r="D191" i="21"/>
  <c r="D190" i="21"/>
  <c r="D189" i="21"/>
  <c r="D188" i="21"/>
  <c r="D187" i="21"/>
  <c r="D186" i="21"/>
  <c r="D185" i="21"/>
  <c r="D184" i="21"/>
  <c r="D183" i="21"/>
  <c r="D182" i="21"/>
  <c r="D181" i="21"/>
  <c r="D180" i="21"/>
  <c r="D179" i="21"/>
  <c r="D178" i="21"/>
  <c r="D177" i="21"/>
  <c r="D176" i="21"/>
  <c r="D175" i="21"/>
  <c r="D174" i="21"/>
  <c r="D173" i="21"/>
  <c r="D172" i="21"/>
  <c r="D171" i="21"/>
  <c r="D170" i="21"/>
  <c r="D169" i="21"/>
  <c r="D168" i="21"/>
  <c r="D167" i="21"/>
  <c r="D166" i="21"/>
  <c r="D165" i="21"/>
  <c r="D164" i="21"/>
  <c r="D163" i="21"/>
  <c r="D162" i="21"/>
  <c r="D161" i="21"/>
  <c r="D160" i="21"/>
  <c r="D159" i="21"/>
  <c r="D158" i="21"/>
  <c r="D157" i="21"/>
  <c r="D156" i="21"/>
  <c r="D155" i="21"/>
  <c r="D154" i="21"/>
  <c r="D153" i="21"/>
  <c r="D152" i="21"/>
  <c r="D151" i="21"/>
  <c r="D150" i="21"/>
  <c r="D149" i="21"/>
  <c r="D148" i="21"/>
  <c r="D147" i="21"/>
  <c r="D146" i="21"/>
  <c r="D145" i="21"/>
  <c r="D144" i="21"/>
  <c r="D143" i="21"/>
  <c r="D142" i="21"/>
  <c r="D141" i="21"/>
  <c r="D140" i="21"/>
  <c r="D139" i="21"/>
  <c r="D138" i="21"/>
  <c r="D137" i="21"/>
  <c r="D136" i="21"/>
  <c r="D135" i="21"/>
  <c r="D134" i="21"/>
  <c r="D133" i="21"/>
  <c r="D132" i="21"/>
  <c r="D131" i="21"/>
  <c r="D130" i="21"/>
  <c r="D129" i="21"/>
  <c r="D128" i="21"/>
  <c r="D127" i="21"/>
  <c r="D126" i="21"/>
  <c r="D125" i="21"/>
  <c r="D124" i="21"/>
  <c r="D123" i="21"/>
  <c r="D122" i="21"/>
  <c r="D121" i="21"/>
  <c r="D120" i="21"/>
  <c r="D119" i="21"/>
  <c r="D118" i="21"/>
  <c r="D117" i="21"/>
  <c r="D116" i="21"/>
  <c r="D115" i="21"/>
  <c r="D114" i="21"/>
  <c r="D113" i="21"/>
  <c r="D112" i="21"/>
  <c r="D111" i="21"/>
  <c r="D110" i="21"/>
  <c r="D109" i="21"/>
  <c r="D108" i="21"/>
  <c r="D107" i="21"/>
  <c r="D106" i="21"/>
  <c r="D105" i="21"/>
  <c r="D104" i="21"/>
  <c r="D103" i="21"/>
  <c r="D102" i="21"/>
  <c r="D101" i="21"/>
  <c r="D100" i="21"/>
  <c r="D99" i="21"/>
  <c r="D98" i="21"/>
  <c r="D97" i="21"/>
  <c r="D96" i="21"/>
  <c r="D95" i="21"/>
  <c r="D94" i="21"/>
  <c r="D93" i="21"/>
  <c r="D92" i="21"/>
  <c r="D91" i="21"/>
  <c r="D90" i="21"/>
  <c r="D89" i="21"/>
  <c r="D88" i="21"/>
  <c r="D87" i="21"/>
  <c r="D86" i="21"/>
  <c r="D85" i="21"/>
  <c r="D84" i="21"/>
  <c r="D83" i="21"/>
  <c r="D82" i="21"/>
  <c r="D81" i="21"/>
  <c r="D80" i="21"/>
  <c r="D79" i="21"/>
  <c r="D78" i="21"/>
  <c r="D77" i="21"/>
  <c r="D76" i="21"/>
  <c r="D75" i="21"/>
  <c r="D74" i="21"/>
  <c r="D73" i="21"/>
  <c r="D72" i="21"/>
  <c r="D71" i="21"/>
  <c r="D70" i="21"/>
  <c r="D69" i="21"/>
  <c r="D68" i="21"/>
  <c r="D67" i="21"/>
  <c r="D66" i="21"/>
  <c r="D65" i="21"/>
  <c r="D64" i="21"/>
  <c r="D63" i="21"/>
  <c r="D62" i="21"/>
  <c r="D61" i="2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32" i="21"/>
  <c r="D31" i="21"/>
  <c r="D30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7" i="21"/>
  <c r="D16" i="21"/>
  <c r="D15" i="21"/>
  <c r="D14" i="21"/>
  <c r="D13" i="21"/>
  <c r="D12" i="21"/>
  <c r="D11" i="21"/>
  <c r="D10" i="21"/>
  <c r="D9" i="21"/>
  <c r="D8" i="21"/>
  <c r="D7" i="21"/>
  <c r="D6" i="21"/>
  <c r="D5" i="21"/>
  <c r="D4" i="21"/>
  <c r="D3" i="21"/>
  <c r="D2" i="21"/>
  <c r="C175" i="21"/>
  <c r="C174" i="21"/>
  <c r="C173" i="21"/>
  <c r="C172" i="21"/>
  <c r="C171" i="21"/>
  <c r="C170" i="21"/>
  <c r="C169" i="21"/>
  <c r="C168" i="21"/>
  <c r="C167" i="21"/>
  <c r="C166" i="21"/>
  <c r="C165" i="21"/>
  <c r="C164" i="21"/>
  <c r="C163" i="21"/>
  <c r="C162" i="21"/>
  <c r="C161" i="21"/>
  <c r="C160" i="21"/>
  <c r="C159" i="21"/>
  <c r="C158" i="21"/>
  <c r="C157" i="21"/>
  <c r="C156" i="21"/>
  <c r="C155" i="21"/>
  <c r="C154" i="21"/>
  <c r="C153" i="21"/>
  <c r="C152" i="21"/>
  <c r="C151" i="21"/>
  <c r="C150" i="21"/>
  <c r="C149" i="21"/>
  <c r="C148" i="21"/>
  <c r="C147" i="21"/>
  <c r="C146" i="21"/>
  <c r="C145" i="21"/>
  <c r="C144" i="21"/>
  <c r="C143" i="21"/>
  <c r="C142" i="21"/>
  <c r="C141" i="21"/>
  <c r="C140" i="21"/>
  <c r="C139" i="21"/>
  <c r="C138" i="21"/>
  <c r="C137" i="21"/>
  <c r="C136" i="21"/>
  <c r="C135" i="21"/>
  <c r="C134" i="21"/>
  <c r="C133" i="21"/>
  <c r="C132" i="21"/>
  <c r="C131" i="21"/>
  <c r="C130" i="21"/>
  <c r="C129" i="21"/>
  <c r="C128" i="21"/>
  <c r="C127" i="21"/>
  <c r="C126" i="21"/>
  <c r="C125" i="21"/>
  <c r="C124" i="21"/>
  <c r="C123" i="21"/>
  <c r="C122" i="21"/>
  <c r="C121" i="21"/>
  <c r="C120" i="21"/>
  <c r="C119" i="21"/>
  <c r="C118" i="21"/>
  <c r="C117" i="21"/>
  <c r="C116" i="21"/>
  <c r="C115" i="21"/>
  <c r="C114" i="21"/>
  <c r="C113" i="21"/>
  <c r="C112" i="21"/>
  <c r="C111" i="21"/>
  <c r="C110" i="21"/>
  <c r="C109" i="21"/>
  <c r="C108" i="21"/>
  <c r="C107" i="21"/>
  <c r="C106" i="21"/>
  <c r="C105" i="21"/>
  <c r="C104" i="21"/>
  <c r="C103" i="2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C86" i="21"/>
  <c r="C85" i="21"/>
  <c r="C84" i="21"/>
  <c r="C83" i="21"/>
  <c r="C82" i="21"/>
  <c r="C81" i="21"/>
  <c r="C80" i="21"/>
  <c r="C79" i="21"/>
  <c r="C78" i="21"/>
  <c r="C77" i="21"/>
  <c r="C76" i="21"/>
  <c r="C75" i="21"/>
  <c r="C74" i="21"/>
  <c r="C73" i="21"/>
  <c r="C72" i="21"/>
  <c r="C71" i="21"/>
  <c r="C70" i="21"/>
  <c r="C69" i="21"/>
  <c r="C68" i="21"/>
  <c r="C67" i="21"/>
  <c r="C66" i="21"/>
  <c r="C65" i="21"/>
  <c r="C64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C2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B193" i="21"/>
  <c r="B192" i="21"/>
  <c r="B191" i="21"/>
  <c r="B190" i="21"/>
  <c r="B189" i="21"/>
  <c r="B188" i="21"/>
  <c r="B187" i="21"/>
  <c r="B186" i="21"/>
  <c r="B185" i="21"/>
  <c r="B184" i="21"/>
  <c r="B183" i="21"/>
  <c r="B182" i="21"/>
  <c r="B181" i="21"/>
  <c r="B180" i="21"/>
  <c r="B179" i="21"/>
  <c r="B178" i="21"/>
  <c r="B177" i="21"/>
  <c r="B176" i="21"/>
  <c r="B175" i="21"/>
  <c r="B174" i="21"/>
  <c r="B173" i="21"/>
  <c r="B172" i="21"/>
  <c r="B171" i="21"/>
  <c r="B170" i="21"/>
  <c r="B169" i="21"/>
  <c r="B168" i="21"/>
  <c r="B167" i="21"/>
  <c r="B166" i="21"/>
  <c r="B165" i="21"/>
  <c r="B164" i="21"/>
  <c r="B163" i="21"/>
  <c r="B162" i="21"/>
  <c r="B161" i="21"/>
  <c r="B160" i="21"/>
  <c r="B159" i="21"/>
  <c r="B158" i="21"/>
  <c r="B157" i="21"/>
  <c r="B156" i="21"/>
  <c r="B155" i="21"/>
  <c r="B154" i="21"/>
  <c r="B153" i="21"/>
  <c r="B152" i="21"/>
  <c r="B151" i="21"/>
  <c r="B150" i="21"/>
  <c r="B149" i="21"/>
  <c r="B148" i="21"/>
  <c r="B147" i="21"/>
  <c r="B146" i="21"/>
  <c r="B145" i="21"/>
  <c r="B144" i="21"/>
  <c r="B143" i="21"/>
  <c r="B142" i="21"/>
  <c r="B141" i="21"/>
  <c r="B140" i="21"/>
  <c r="B139" i="21"/>
  <c r="B138" i="21"/>
  <c r="B137" i="21"/>
  <c r="B136" i="21"/>
  <c r="B135" i="21"/>
  <c r="B134" i="21"/>
  <c r="B133" i="21"/>
  <c r="B132" i="21"/>
  <c r="B131" i="21"/>
  <c r="B130" i="21"/>
  <c r="B129" i="21"/>
  <c r="B128" i="21"/>
  <c r="B127" i="21"/>
  <c r="B126" i="21"/>
  <c r="B125" i="21"/>
  <c r="B124" i="21"/>
  <c r="B123" i="21"/>
  <c r="B122" i="21"/>
  <c r="B121" i="21"/>
  <c r="B120" i="21"/>
  <c r="B119" i="21"/>
  <c r="B118" i="21"/>
  <c r="B117" i="21"/>
  <c r="B116" i="21"/>
  <c r="B115" i="21"/>
  <c r="B114" i="21"/>
  <c r="B113" i="21"/>
  <c r="B112" i="21"/>
  <c r="B111" i="21"/>
  <c r="B110" i="21"/>
  <c r="B109" i="21"/>
  <c r="B108" i="21"/>
  <c r="B107" i="21"/>
  <c r="B106" i="21"/>
  <c r="B105" i="21"/>
  <c r="B104" i="21"/>
  <c r="B103" i="21"/>
  <c r="B102" i="21"/>
  <c r="B101" i="21"/>
  <c r="B100" i="21"/>
  <c r="B99" i="21"/>
  <c r="B98" i="21"/>
  <c r="B97" i="21"/>
  <c r="B96" i="21"/>
  <c r="B95" i="21"/>
  <c r="B94" i="21"/>
  <c r="B93" i="21"/>
  <c r="B92" i="21"/>
  <c r="B91" i="21"/>
  <c r="B90" i="21"/>
  <c r="B89" i="21"/>
  <c r="B88" i="21"/>
  <c r="B87" i="21"/>
  <c r="B86" i="21"/>
  <c r="B85" i="21"/>
  <c r="B84" i="21"/>
  <c r="B83" i="21"/>
  <c r="B82" i="21"/>
  <c r="B81" i="21"/>
  <c r="B80" i="21"/>
  <c r="B79" i="21"/>
  <c r="B78" i="21"/>
  <c r="B77" i="21"/>
  <c r="B76" i="21"/>
  <c r="B75" i="21"/>
  <c r="B74" i="21"/>
  <c r="B73" i="21"/>
  <c r="B72" i="21"/>
  <c r="B71" i="21"/>
  <c r="B70" i="21"/>
  <c r="B69" i="21"/>
  <c r="B68" i="21"/>
  <c r="B67" i="21"/>
  <c r="B66" i="21"/>
  <c r="B65" i="21"/>
  <c r="B64" i="21"/>
  <c r="B63" i="21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22" i="21"/>
  <c r="B21" i="21"/>
  <c r="B20" i="21"/>
  <c r="B19" i="21"/>
  <c r="B18" i="21"/>
  <c r="B17" i="21"/>
  <c r="B16" i="21"/>
  <c r="B15" i="21"/>
  <c r="B14" i="21"/>
  <c r="B13" i="21"/>
  <c r="B12" i="21"/>
  <c r="B11" i="21"/>
  <c r="B10" i="21"/>
  <c r="B9" i="21"/>
  <c r="B8" i="21"/>
  <c r="B7" i="21"/>
  <c r="B6" i="21"/>
  <c r="B5" i="21"/>
  <c r="B4" i="21"/>
  <c r="B3" i="21"/>
  <c r="B2" i="21"/>
  <c r="W367" i="7"/>
  <c r="V194" i="7"/>
  <c r="V3" i="7"/>
  <c r="V4" i="7"/>
  <c r="V6" i="7"/>
  <c r="V195" i="7"/>
  <c r="V196" i="7"/>
  <c r="V8" i="7"/>
  <c r="V202" i="7"/>
  <c r="V5" i="7"/>
  <c r="V11" i="7"/>
  <c r="V10" i="7"/>
  <c r="V7" i="7"/>
  <c r="V9" i="7"/>
  <c r="V15" i="7"/>
  <c r="V14" i="7"/>
  <c r="V199" i="7"/>
  <c r="V12" i="7"/>
  <c r="V198" i="7"/>
  <c r="V200" i="7"/>
  <c r="V13" i="7"/>
  <c r="V18" i="7"/>
  <c r="V197" i="7"/>
  <c r="V209" i="7"/>
  <c r="V20" i="7"/>
  <c r="V203" i="7"/>
  <c r="V205" i="7"/>
  <c r="V206" i="7"/>
  <c r="V16" i="7"/>
  <c r="V204" i="7"/>
  <c r="V19" i="7"/>
  <c r="V207" i="7"/>
  <c r="V201" i="7"/>
  <c r="V210" i="7"/>
  <c r="V17" i="7"/>
  <c r="V22" i="7"/>
  <c r="V21" i="7"/>
  <c r="V24" i="7"/>
  <c r="V27" i="7"/>
  <c r="V212" i="7"/>
  <c r="V211" i="7"/>
  <c r="V31" i="7"/>
  <c r="V25" i="7"/>
  <c r="V41" i="7"/>
  <c r="V26" i="7"/>
  <c r="V28" i="7"/>
  <c r="V23" i="7"/>
  <c r="V36" i="7"/>
  <c r="V38" i="7"/>
  <c r="V35" i="7"/>
  <c r="V29" i="7"/>
  <c r="V34" i="7"/>
  <c r="V44" i="7"/>
  <c r="V46" i="7"/>
  <c r="V213" i="7"/>
  <c r="V57" i="7"/>
  <c r="V30" i="7"/>
  <c r="V220" i="7"/>
  <c r="V208" i="7"/>
  <c r="V216" i="7"/>
  <c r="V33" i="7"/>
  <c r="V39" i="7"/>
  <c r="V45" i="7"/>
  <c r="V42" i="7"/>
  <c r="V222" i="7"/>
  <c r="V73" i="7"/>
  <c r="V43" i="7"/>
  <c r="V224" i="7"/>
  <c r="V49" i="7"/>
  <c r="V40" i="7"/>
  <c r="V56" i="7"/>
  <c r="V37" i="7"/>
  <c r="V214" i="7"/>
  <c r="V72" i="7"/>
  <c r="V51" i="7"/>
  <c r="V32" i="7"/>
  <c r="V217" i="7"/>
  <c r="V62" i="7"/>
  <c r="V58" i="7"/>
  <c r="V215" i="7"/>
  <c r="V218" i="7"/>
  <c r="V221" i="7"/>
  <c r="V61" i="7"/>
  <c r="V67" i="7"/>
  <c r="V65" i="7"/>
  <c r="V50" i="7"/>
  <c r="V74" i="7"/>
  <c r="V54" i="7"/>
  <c r="V60" i="7"/>
  <c r="V55" i="7"/>
  <c r="V63" i="7"/>
  <c r="V233" i="7"/>
  <c r="V68" i="7"/>
  <c r="V223" i="7"/>
  <c r="V47" i="7"/>
  <c r="V64" i="7"/>
  <c r="V53" i="7"/>
  <c r="V52" i="7"/>
  <c r="V226" i="7"/>
  <c r="V219" i="7"/>
  <c r="V269" i="7"/>
  <c r="V234" i="7"/>
  <c r="V81" i="7"/>
  <c r="V228" i="7"/>
  <c r="V70" i="7"/>
  <c r="V84" i="7"/>
  <c r="V227" i="7"/>
  <c r="V76" i="7"/>
  <c r="V80" i="7"/>
  <c r="V71" i="7"/>
  <c r="V240" i="7"/>
  <c r="V48" i="7"/>
  <c r="V229" i="7"/>
  <c r="V89" i="7"/>
  <c r="V75" i="7"/>
  <c r="V66" i="7"/>
  <c r="V59" i="7"/>
  <c r="V79" i="7"/>
  <c r="V95" i="7"/>
  <c r="V69" i="7"/>
  <c r="V83" i="7"/>
  <c r="V91" i="7"/>
  <c r="V78" i="7"/>
  <c r="V261" i="7"/>
  <c r="V230" i="7"/>
  <c r="V100" i="7"/>
  <c r="V88" i="7"/>
  <c r="V235" i="7"/>
  <c r="V225" i="7"/>
  <c r="V82" i="7"/>
  <c r="V99" i="7"/>
  <c r="V87" i="7"/>
  <c r="V90" i="7"/>
  <c r="V110" i="7"/>
  <c r="V231" i="7"/>
  <c r="V93" i="7"/>
  <c r="V86" i="7"/>
  <c r="V94" i="7"/>
  <c r="V77" i="7"/>
  <c r="V239" i="7"/>
  <c r="V243" i="7"/>
  <c r="V241" i="7"/>
  <c r="V232" i="7"/>
  <c r="V96" i="7"/>
  <c r="V250" i="7"/>
  <c r="V248" i="7"/>
  <c r="V247" i="7"/>
  <c r="V85" i="7"/>
  <c r="V254" i="7"/>
  <c r="V238" i="7"/>
  <c r="V236" i="7"/>
  <c r="V237" i="7"/>
  <c r="V98" i="7"/>
  <c r="V242" i="7"/>
  <c r="V114" i="7"/>
  <c r="V92" i="7"/>
  <c r="V252" i="7"/>
  <c r="V253" i="7"/>
  <c r="V116" i="7"/>
  <c r="V97" i="7"/>
  <c r="V251" i="7"/>
  <c r="V113" i="7"/>
  <c r="V102" i="7"/>
  <c r="V104" i="7"/>
  <c r="V265" i="7"/>
  <c r="V276" i="7"/>
  <c r="V262" i="7"/>
  <c r="V115" i="7"/>
  <c r="V101" i="7"/>
  <c r="V120" i="7"/>
  <c r="V244" i="7"/>
  <c r="V258" i="7"/>
  <c r="V106" i="7"/>
  <c r="V103" i="7"/>
  <c r="V257" i="7"/>
  <c r="V280" i="7"/>
  <c r="V264" i="7"/>
  <c r="V105" i="7"/>
  <c r="V249" i="7"/>
  <c r="V255" i="7"/>
  <c r="V256" i="7"/>
  <c r="V245" i="7"/>
  <c r="V246" i="7"/>
  <c r="V111" i="7"/>
  <c r="V118" i="7"/>
  <c r="V263" i="7"/>
  <c r="V271" i="7"/>
  <c r="V285" i="7"/>
  <c r="V117" i="7"/>
  <c r="V289" i="7"/>
  <c r="V281" i="7"/>
  <c r="V107" i="7"/>
  <c r="V108" i="7"/>
  <c r="V259" i="7"/>
  <c r="V109" i="7"/>
  <c r="V260" i="7"/>
  <c r="V119" i="7"/>
  <c r="V151" i="7"/>
  <c r="V287" i="7"/>
  <c r="V273" i="7"/>
  <c r="V268" i="7"/>
  <c r="V125" i="7"/>
  <c r="V133" i="7"/>
  <c r="V112" i="7"/>
  <c r="V122" i="7"/>
  <c r="V277" i="7"/>
  <c r="V283" i="7"/>
  <c r="V284" i="7"/>
  <c r="V121" i="7"/>
  <c r="V123" i="7"/>
  <c r="V279" i="7"/>
  <c r="V282" i="7"/>
  <c r="V127" i="7"/>
  <c r="V124" i="7"/>
  <c r="V301" i="7"/>
  <c r="V286" i="7"/>
  <c r="V267" i="7"/>
  <c r="V307" i="7"/>
  <c r="V266" i="7"/>
  <c r="V275" i="7"/>
  <c r="V270" i="7"/>
  <c r="V128" i="7"/>
  <c r="V131" i="7"/>
  <c r="V157" i="7"/>
  <c r="V274" i="7"/>
  <c r="V272" i="7"/>
  <c r="V135" i="7"/>
  <c r="V130" i="7"/>
  <c r="V290" i="7"/>
  <c r="V278" i="7"/>
  <c r="V134" i="7"/>
  <c r="V310" i="7"/>
  <c r="V304" i="7"/>
  <c r="V288" i="7"/>
  <c r="V141" i="7"/>
  <c r="V295" i="7"/>
  <c r="V291" i="7"/>
  <c r="V129" i="7"/>
  <c r="V132" i="7"/>
  <c r="V297" i="7"/>
  <c r="V126" i="7"/>
  <c r="V136" i="7"/>
  <c r="V138" i="7"/>
  <c r="V140" i="7"/>
  <c r="V150" i="7"/>
  <c r="V296" i="7"/>
  <c r="V142" i="7"/>
  <c r="V139" i="7"/>
  <c r="V302" i="7"/>
  <c r="V308" i="7"/>
  <c r="V292" i="7"/>
  <c r="V137" i="7"/>
  <c r="V300" i="7"/>
  <c r="V298" i="7"/>
  <c r="V305" i="7"/>
  <c r="V309" i="7"/>
  <c r="V143" i="7"/>
  <c r="V149" i="7"/>
  <c r="V293" i="7"/>
  <c r="V294" i="7"/>
  <c r="V145" i="7"/>
  <c r="V303" i="7"/>
  <c r="V299" i="7"/>
  <c r="V144" i="7"/>
  <c r="V306" i="7"/>
  <c r="V146" i="7"/>
  <c r="V155" i="7"/>
  <c r="V318" i="7"/>
  <c r="V147" i="7"/>
  <c r="V148" i="7"/>
  <c r="V312" i="7"/>
  <c r="V311" i="7"/>
  <c r="V162" i="7"/>
  <c r="V153" i="7"/>
  <c r="V322" i="7"/>
  <c r="V325" i="7"/>
  <c r="V313" i="7"/>
  <c r="V152" i="7"/>
  <c r="V154" i="7"/>
  <c r="V314" i="7"/>
  <c r="V160" i="7"/>
  <c r="V156" i="7"/>
  <c r="V317" i="7"/>
  <c r="V320" i="7"/>
  <c r="V323" i="7"/>
  <c r="V315" i="7"/>
  <c r="V332" i="7"/>
  <c r="V350" i="7"/>
  <c r="V316" i="7"/>
  <c r="V321" i="7"/>
  <c r="V319" i="7"/>
  <c r="V165" i="7"/>
  <c r="V161" i="7"/>
  <c r="V328" i="7"/>
  <c r="V329" i="7"/>
  <c r="V158" i="7"/>
  <c r="V324" i="7"/>
  <c r="V175" i="7"/>
  <c r="V164" i="7"/>
  <c r="V330" i="7"/>
  <c r="V159" i="7"/>
  <c r="V167" i="7"/>
  <c r="V334" i="7"/>
  <c r="V336" i="7"/>
  <c r="V333" i="7"/>
  <c r="V174" i="7"/>
  <c r="V169" i="7"/>
  <c r="V341" i="7"/>
  <c r="V191" i="7"/>
  <c r="V168" i="7"/>
  <c r="V166" i="7"/>
  <c r="V163" i="7"/>
  <c r="V339" i="7"/>
  <c r="V171" i="7"/>
  <c r="V331" i="7"/>
  <c r="V327" i="7"/>
  <c r="V326" i="7"/>
  <c r="V340" i="7"/>
  <c r="V335" i="7"/>
  <c r="V176" i="7"/>
  <c r="V180" i="7"/>
  <c r="V173" i="7"/>
  <c r="V338" i="7"/>
  <c r="V170" i="7"/>
  <c r="V172" i="7"/>
  <c r="V346" i="7"/>
  <c r="V177" i="7"/>
  <c r="V343" i="7"/>
  <c r="V179" i="7"/>
  <c r="V347" i="7"/>
  <c r="V337" i="7"/>
  <c r="V344" i="7"/>
  <c r="V182" i="7"/>
  <c r="V178" i="7"/>
  <c r="V186" i="7"/>
  <c r="V342" i="7"/>
  <c r="V185" i="7"/>
  <c r="V345" i="7"/>
  <c r="V184" i="7"/>
  <c r="V183" i="7"/>
  <c r="V348" i="7"/>
  <c r="V181" i="7"/>
  <c r="V187" i="7"/>
  <c r="V351" i="7"/>
  <c r="V349" i="7"/>
  <c r="V352" i="7"/>
  <c r="V189" i="7"/>
  <c r="V188" i="7"/>
  <c r="V355" i="7"/>
  <c r="V354" i="7"/>
  <c r="V353" i="7"/>
  <c r="V190" i="7"/>
  <c r="V356" i="7"/>
  <c r="V192" i="7"/>
  <c r="V357" i="7"/>
  <c r="V358" i="7"/>
  <c r="V359" i="7"/>
  <c r="V360" i="7"/>
  <c r="V361" i="7"/>
  <c r="V362" i="7"/>
  <c r="V193" i="7"/>
  <c r="V363" i="7"/>
  <c r="V364" i="7"/>
  <c r="V365" i="7"/>
  <c r="V366" i="7"/>
  <c r="V367" i="7"/>
  <c r="V2" i="7"/>
  <c r="X191" i="7"/>
  <c r="W350" i="7"/>
  <c r="W157" i="7"/>
  <c r="W151" i="7"/>
  <c r="W269" i="7"/>
  <c r="W202" i="7"/>
  <c r="W310" i="7"/>
  <c r="W289" i="7"/>
  <c r="W307" i="7"/>
  <c r="W304" i="7"/>
  <c r="W73" i="7"/>
  <c r="W220" i="7"/>
  <c r="W57" i="7"/>
  <c r="W301" i="7"/>
  <c r="W280" i="7"/>
  <c r="W224" i="7"/>
  <c r="W209" i="7"/>
  <c r="W261" i="7"/>
  <c r="W175" i="7"/>
  <c r="W194" i="7"/>
  <c r="W285" i="7"/>
  <c r="W74" i="7"/>
  <c r="W276" i="7"/>
  <c r="W332" i="7"/>
  <c r="W110" i="7"/>
  <c r="W206" i="7"/>
  <c r="W180" i="7"/>
  <c r="W41" i="7"/>
  <c r="W31" i="7"/>
  <c r="W99" i="7"/>
  <c r="W72" i="7"/>
  <c r="W287" i="7"/>
  <c r="W222" i="7"/>
  <c r="W341" i="7"/>
  <c r="W155" i="7"/>
  <c r="W20" i="7"/>
  <c r="W205" i="7"/>
  <c r="W150" i="7"/>
  <c r="W240" i="7"/>
  <c r="W46" i="7"/>
  <c r="W186" i="7"/>
  <c r="W100" i="7"/>
  <c r="W162" i="7"/>
  <c r="W195" i="7"/>
  <c r="W95" i="7"/>
  <c r="W233" i="7"/>
  <c r="W44" i="7"/>
  <c r="W308" i="7"/>
  <c r="W114" i="7"/>
  <c r="W281" i="7"/>
  <c r="W210" i="7"/>
  <c r="W271" i="7"/>
  <c r="W203" i="7"/>
  <c r="W174" i="7"/>
  <c r="W11" i="7"/>
  <c r="W81" i="7"/>
  <c r="W38" i="7"/>
  <c r="W283" i="7"/>
  <c r="W56" i="7"/>
  <c r="W234" i="7"/>
  <c r="W65" i="7"/>
  <c r="W207" i="7"/>
  <c r="W318" i="7"/>
  <c r="W200" i="7"/>
  <c r="W196" i="7"/>
  <c r="W89" i="7"/>
  <c r="W133" i="7"/>
  <c r="W36" i="7"/>
  <c r="W297" i="7"/>
  <c r="W18" i="7"/>
  <c r="W6" i="7"/>
  <c r="W141" i="7"/>
  <c r="W322" i="7"/>
  <c r="W84" i="7"/>
  <c r="W120" i="7"/>
  <c r="W221" i="7"/>
  <c r="W346" i="7"/>
  <c r="W325" i="7"/>
  <c r="W211" i="7"/>
  <c r="W8" i="7"/>
  <c r="W80" i="7"/>
  <c r="W254" i="7"/>
  <c r="W295" i="7"/>
  <c r="W115" i="7"/>
  <c r="W253" i="7"/>
  <c r="W204" i="7"/>
  <c r="W328" i="7"/>
  <c r="W91" i="7"/>
  <c r="W15" i="7"/>
  <c r="W265" i="7"/>
  <c r="W2" i="7"/>
  <c r="W116" i="7"/>
  <c r="W94" i="7"/>
  <c r="W35" i="7"/>
  <c r="W248" i="7"/>
  <c r="W88" i="7"/>
  <c r="W212" i="7"/>
  <c r="W262" i="7"/>
  <c r="W171" i="7"/>
  <c r="W250" i="7"/>
  <c r="W273" i="7"/>
  <c r="W67" i="7"/>
  <c r="W28" i="7"/>
  <c r="W282" i="7"/>
  <c r="W198" i="7"/>
  <c r="W27" i="7"/>
  <c r="W61" i="7"/>
  <c r="W228" i="7"/>
  <c r="W336" i="7"/>
  <c r="W247" i="7"/>
  <c r="W113" i="7"/>
  <c r="W58" i="7"/>
  <c r="W14" i="7"/>
  <c r="W184" i="7"/>
  <c r="W199" i="7"/>
  <c r="W62" i="7"/>
  <c r="W45" i="7"/>
  <c r="W93" i="7"/>
  <c r="W243" i="7"/>
  <c r="W49" i="7"/>
  <c r="W286" i="7"/>
  <c r="W258" i="7"/>
  <c r="W355" i="7"/>
  <c r="W223" i="7"/>
  <c r="W160" i="7"/>
  <c r="W323" i="7"/>
  <c r="W83" i="7"/>
  <c r="W252" i="7"/>
  <c r="W226" i="7"/>
  <c r="W187" i="7"/>
  <c r="W291" i="7"/>
  <c r="W182" i="7"/>
  <c r="W185" i="7"/>
  <c r="W125" i="7"/>
  <c r="W102" i="7"/>
  <c r="W16" i="7"/>
  <c r="W29" i="7"/>
  <c r="W334" i="7"/>
  <c r="W339" i="7"/>
  <c r="W87" i="7"/>
  <c r="W347" i="7"/>
  <c r="W239" i="7"/>
  <c r="W169" i="7"/>
  <c r="W320" i="7"/>
  <c r="W302" i="7"/>
  <c r="W82" i="7"/>
  <c r="W10" i="7"/>
  <c r="W241" i="7"/>
  <c r="W39" i="7"/>
  <c r="W90" i="7"/>
  <c r="W76" i="7"/>
  <c r="W284" i="7"/>
  <c r="W277" i="7"/>
  <c r="W51" i="7"/>
  <c r="W179" i="7"/>
  <c r="W3" i="7"/>
  <c r="W176" i="7"/>
  <c r="W34" i="7"/>
  <c r="W42" i="7"/>
  <c r="W127" i="7"/>
  <c r="W279" i="7"/>
  <c r="W19" i="7"/>
  <c r="W78" i="7"/>
  <c r="W364" i="7"/>
  <c r="W75" i="7"/>
  <c r="W306" i="7"/>
  <c r="W43" i="7"/>
  <c r="W312" i="7"/>
  <c r="W344" i="7"/>
  <c r="W305" i="7"/>
  <c r="W288" i="7"/>
  <c r="W218" i="7"/>
  <c r="W104" i="7"/>
  <c r="W68" i="7"/>
  <c r="W329" i="7"/>
  <c r="W86" i="7"/>
  <c r="W352" i="7"/>
  <c r="W60" i="7"/>
  <c r="W264" i="7"/>
  <c r="W309" i="7"/>
  <c r="W30" i="7"/>
  <c r="W300" i="7"/>
  <c r="W333" i="7"/>
  <c r="W216" i="7"/>
  <c r="W296" i="7"/>
  <c r="W40" i="7"/>
  <c r="W229" i="7"/>
  <c r="W79" i="7"/>
  <c r="W359" i="7"/>
  <c r="W96" i="7"/>
  <c r="W63" i="7"/>
  <c r="W358" i="7"/>
  <c r="W98" i="7"/>
  <c r="W290" i="7"/>
  <c r="W362" i="7"/>
  <c r="W22" i="7"/>
  <c r="W149" i="7"/>
  <c r="W251" i="7"/>
  <c r="W70" i="7"/>
  <c r="W242" i="7"/>
  <c r="W235" i="7"/>
  <c r="W140" i="7"/>
  <c r="W103" i="7"/>
  <c r="W256" i="7"/>
  <c r="W197" i="7"/>
  <c r="W21" i="7"/>
  <c r="W9" i="7"/>
  <c r="W24" i="7"/>
  <c r="W257" i="7"/>
  <c r="W64" i="7"/>
  <c r="W4" i="7"/>
  <c r="W348" i="7"/>
  <c r="W340" i="7"/>
  <c r="W134" i="7"/>
  <c r="W351" i="7"/>
  <c r="W118" i="7"/>
  <c r="W7" i="7"/>
  <c r="W71" i="7"/>
  <c r="W117" i="7"/>
  <c r="W13" i="7"/>
  <c r="W25" i="7"/>
  <c r="W26" i="7"/>
  <c r="W135" i="7"/>
  <c r="W165" i="7"/>
  <c r="W33" i="7"/>
  <c r="W343" i="7"/>
  <c r="W230" i="7"/>
  <c r="W183" i="7"/>
  <c r="W227" i="7"/>
  <c r="W268" i="7"/>
  <c r="W213" i="7"/>
  <c r="W330" i="7"/>
  <c r="W164" i="7"/>
  <c r="W263" i="7"/>
  <c r="W12" i="7"/>
  <c r="W54" i="7"/>
  <c r="W138" i="7"/>
  <c r="W255" i="7"/>
  <c r="W153" i="7"/>
  <c r="W106" i="7"/>
  <c r="W124" i="7"/>
  <c r="W356" i="7"/>
  <c r="W354" i="7"/>
  <c r="W298" i="7"/>
  <c r="W154" i="7"/>
  <c r="W189" i="7"/>
  <c r="W55" i="7"/>
  <c r="W319" i="7"/>
  <c r="W168" i="7"/>
  <c r="W303" i="7"/>
  <c r="W201" i="7"/>
  <c r="W231" i="7"/>
  <c r="W119" i="7"/>
  <c r="W122" i="7"/>
  <c r="W142" i="7"/>
  <c r="W192" i="7"/>
  <c r="W5" i="7"/>
  <c r="W69" i="7"/>
  <c r="W66" i="7"/>
  <c r="W335" i="7"/>
  <c r="W331" i="7"/>
  <c r="W317" i="7"/>
  <c r="W131" i="7"/>
  <c r="W260" i="7"/>
  <c r="W128" i="7"/>
  <c r="W50" i="7"/>
  <c r="W111" i="7"/>
  <c r="W161" i="7"/>
  <c r="W357" i="7"/>
  <c r="W85" i="7"/>
  <c r="W321" i="7"/>
  <c r="W315" i="7"/>
  <c r="W313" i="7"/>
  <c r="W136" i="7"/>
  <c r="W77" i="7"/>
  <c r="W181" i="7"/>
  <c r="W101" i="7"/>
  <c r="W225" i="7"/>
  <c r="W173" i="7"/>
  <c r="W232" i="7"/>
  <c r="W217" i="7"/>
  <c r="W53" i="7"/>
  <c r="W178" i="7"/>
  <c r="W275" i="7"/>
  <c r="W363" i="7"/>
  <c r="W121" i="7"/>
  <c r="W238" i="7"/>
  <c r="W338" i="7"/>
  <c r="W177" i="7"/>
  <c r="W146" i="7"/>
  <c r="W314" i="7"/>
  <c r="W311" i="7"/>
  <c r="W156" i="7"/>
  <c r="W158" i="7"/>
  <c r="W259" i="7"/>
  <c r="W327" i="7"/>
  <c r="W17" i="7"/>
  <c r="W97" i="7"/>
  <c r="W123" i="7"/>
  <c r="W219" i="7"/>
  <c r="W278" i="7"/>
  <c r="W130" i="7"/>
  <c r="W167" i="7"/>
  <c r="W105" i="7"/>
  <c r="W52" i="7"/>
  <c r="W324" i="7"/>
  <c r="W365" i="7"/>
  <c r="W148" i="7"/>
  <c r="W188" i="7"/>
  <c r="W270" i="7"/>
  <c r="W345" i="7"/>
  <c r="W292" i="7"/>
  <c r="W108" i="7"/>
  <c r="W139" i="7"/>
  <c r="W249" i="7"/>
  <c r="W193" i="7"/>
  <c r="W236" i="7"/>
  <c r="W92" i="7"/>
  <c r="W366" i="7"/>
  <c r="W147" i="7"/>
  <c r="W37" i="7"/>
  <c r="W59" i="7"/>
  <c r="W274" i="7"/>
  <c r="W172" i="7"/>
  <c r="W316" i="7"/>
  <c r="W137" i="7"/>
  <c r="W23" i="7"/>
  <c r="W237" i="7"/>
  <c r="W244" i="7"/>
  <c r="W159" i="7"/>
  <c r="W361" i="7"/>
  <c r="W109" i="7"/>
  <c r="W47" i="7"/>
  <c r="W299" i="7"/>
  <c r="W143" i="7"/>
  <c r="W349" i="7"/>
  <c r="W214" i="7"/>
  <c r="W272" i="7"/>
  <c r="W132" i="7"/>
  <c r="W145" i="7"/>
  <c r="W166" i="7"/>
  <c r="W107" i="7"/>
  <c r="W170" i="7"/>
  <c r="W129" i="7"/>
  <c r="W353" i="7"/>
  <c r="W293" i="7"/>
  <c r="W246" i="7"/>
  <c r="W152" i="7"/>
  <c r="W245" i="7"/>
  <c r="W267" i="7"/>
  <c r="W266" i="7"/>
  <c r="W144" i="7"/>
  <c r="W215" i="7"/>
  <c r="W163" i="7"/>
  <c r="W360" i="7"/>
  <c r="W294" i="7"/>
  <c r="W190" i="7"/>
  <c r="W342" i="7"/>
  <c r="W112" i="7"/>
  <c r="W32" i="7"/>
  <c r="W126" i="7"/>
  <c r="W208" i="7"/>
  <c r="W326" i="7"/>
  <c r="W337" i="7"/>
  <c r="W48" i="7"/>
  <c r="W191" i="7"/>
  <c r="F332" i="7"/>
  <c r="F304" i="7"/>
  <c r="F281" i="7"/>
  <c r="F283" i="7"/>
  <c r="F329" i="7"/>
  <c r="F362" i="7"/>
  <c r="F330" i="7"/>
  <c r="F222" i="7"/>
  <c r="F352" i="7"/>
  <c r="F291" i="7"/>
  <c r="F351" i="7"/>
  <c r="F279" i="7"/>
  <c r="F292" i="7"/>
  <c r="F314" i="7"/>
  <c r="F275" i="7"/>
  <c r="F348" i="7"/>
  <c r="F316" i="7"/>
  <c r="F272" i="7"/>
  <c r="F225" i="7"/>
  <c r="F301" i="7"/>
  <c r="F364" i="7"/>
  <c r="F341" i="7"/>
  <c r="F355" i="7"/>
  <c r="F318" i="7"/>
  <c r="F258" i="7"/>
  <c r="F358" i="7"/>
  <c r="F340" i="7"/>
  <c r="F260" i="7"/>
  <c r="F327" i="7"/>
  <c r="F319" i="7"/>
  <c r="F345" i="7"/>
  <c r="F357" i="7"/>
  <c r="F219" i="7"/>
  <c r="F278" i="7"/>
  <c r="F215" i="7"/>
  <c r="F276" i="7"/>
  <c r="F307" i="7"/>
  <c r="F285" i="7"/>
  <c r="F339" i="7"/>
  <c r="F366" i="7"/>
  <c r="F231" i="7"/>
  <c r="F282" i="7"/>
  <c r="F288" i="7"/>
  <c r="F256" i="7"/>
  <c r="F343" i="7"/>
  <c r="F204" i="7"/>
  <c r="F338" i="7"/>
  <c r="F235" i="7"/>
  <c r="F361" i="7"/>
  <c r="F333" i="7"/>
  <c r="F246" i="7"/>
  <c r="F331" i="7"/>
  <c r="F337" i="7"/>
  <c r="F310" i="7"/>
  <c r="F262" i="7"/>
  <c r="F211" i="7"/>
  <c r="F295" i="7"/>
  <c r="F334" i="7"/>
  <c r="F346" i="7"/>
  <c r="F239" i="7"/>
  <c r="F359" i="7"/>
  <c r="F290" i="7"/>
  <c r="F320" i="7"/>
  <c r="F230" i="7"/>
  <c r="F311" i="7"/>
  <c r="F360" i="7"/>
  <c r="F249" i="7"/>
  <c r="F349" i="7"/>
  <c r="F313" i="7"/>
  <c r="F289" i="7"/>
  <c r="F287" i="7"/>
  <c r="F273" i="7"/>
  <c r="F224" i="7"/>
  <c r="F296" i="7"/>
  <c r="F203" i="7"/>
  <c r="F253" i="7"/>
  <c r="F363" i="7"/>
  <c r="F228" i="7"/>
  <c r="F264" i="7"/>
  <c r="F223" i="7"/>
  <c r="F247" i="7"/>
  <c r="F212" i="7"/>
  <c r="F335" i="7"/>
  <c r="F312" i="7"/>
  <c r="F270" i="7"/>
  <c r="F244" i="7"/>
  <c r="F315" i="7"/>
  <c r="F202" i="7"/>
  <c r="F280" i="7"/>
  <c r="F305" i="7"/>
  <c r="F300" i="7"/>
  <c r="F195" i="7"/>
  <c r="F242" i="7"/>
  <c r="F284" i="7"/>
  <c r="F286" i="7"/>
  <c r="F229" i="7"/>
  <c r="F217" i="7"/>
  <c r="F309" i="7"/>
  <c r="F365" i="7"/>
  <c r="F267" i="7"/>
  <c r="F237" i="7"/>
  <c r="F317" i="7"/>
  <c r="F232" i="7"/>
  <c r="F324" i="7"/>
  <c r="F367" i="7"/>
  <c r="F323" i="7"/>
  <c r="F220" i="7"/>
  <c r="F210" i="7"/>
  <c r="F209" i="7"/>
  <c r="F194" i="7"/>
  <c r="F325" i="7"/>
  <c r="F356" i="7"/>
  <c r="F265" i="7"/>
  <c r="F205" i="7"/>
  <c r="F250" i="7"/>
  <c r="F248" i="7"/>
  <c r="F347" i="7"/>
  <c r="F216" i="7"/>
  <c r="F197" i="7"/>
  <c r="F342" i="7"/>
  <c r="F303" i="7"/>
  <c r="F326" i="7"/>
  <c r="F274" i="7"/>
  <c r="F261" i="7"/>
  <c r="F306" i="7"/>
  <c r="F243" i="7"/>
  <c r="F198" i="7"/>
  <c r="F257" i="7"/>
  <c r="F302" i="7"/>
  <c r="F196" i="7"/>
  <c r="F336" i="7"/>
  <c r="F277" i="7"/>
  <c r="F263" i="7"/>
  <c r="F227" i="7"/>
  <c r="F354" i="7"/>
  <c r="F293" i="7"/>
  <c r="F298" i="7"/>
  <c r="F213" i="7"/>
  <c r="F201" i="7"/>
  <c r="F269" i="7"/>
  <c r="F206" i="7"/>
  <c r="F221" i="7"/>
  <c r="F308" i="7"/>
  <c r="F254" i="7"/>
  <c r="F297" i="7"/>
  <c r="F240" i="7"/>
  <c r="F200" i="7"/>
  <c r="F322" i="7"/>
  <c r="F218" i="7"/>
  <c r="F252" i="7"/>
  <c r="F353" i="7"/>
  <c r="F236" i="7"/>
  <c r="F238" i="7"/>
  <c r="F268" i="7"/>
  <c r="F299" i="7"/>
  <c r="F245" i="7"/>
  <c r="F294" i="7"/>
  <c r="F350" i="7"/>
  <c r="F234" i="7"/>
  <c r="F271" i="7"/>
  <c r="F328" i="7"/>
  <c r="F233" i="7"/>
  <c r="F207" i="7"/>
  <c r="F344" i="7"/>
  <c r="F226" i="7"/>
  <c r="F199" i="7"/>
  <c r="F321" i="7"/>
  <c r="F251" i="7"/>
  <c r="F241" i="7"/>
  <c r="F255" i="7"/>
  <c r="F214" i="7"/>
  <c r="F266" i="7"/>
  <c r="F208" i="7"/>
  <c r="F259" i="7"/>
  <c r="F157" i="7"/>
  <c r="F162" i="7"/>
  <c r="F169" i="7"/>
  <c r="F31" i="7"/>
  <c r="F182" i="7"/>
  <c r="F89" i="7"/>
  <c r="F44" i="7"/>
  <c r="F183" i="7"/>
  <c r="F58" i="7"/>
  <c r="F179" i="7"/>
  <c r="F15" i="7"/>
  <c r="F87" i="7"/>
  <c r="F52" i="7"/>
  <c r="F170" i="7"/>
  <c r="F142" i="7"/>
  <c r="F144" i="7"/>
  <c r="F34" i="7"/>
  <c r="F59" i="7"/>
  <c r="F191" i="7"/>
  <c r="F110" i="7"/>
  <c r="F181" i="7"/>
  <c r="F187" i="7"/>
  <c r="F93" i="7"/>
  <c r="F45" i="7"/>
  <c r="F154" i="7"/>
  <c r="F97" i="7"/>
  <c r="F42" i="7"/>
  <c r="F113" i="7"/>
  <c r="F123" i="7"/>
  <c r="F85" i="7"/>
  <c r="F36" i="7"/>
  <c r="F12" i="7"/>
  <c r="F143" i="7"/>
  <c r="F47" i="7"/>
  <c r="F174" i="7"/>
  <c r="F94" i="7"/>
  <c r="F35" i="7"/>
  <c r="F184" i="7"/>
  <c r="F46" i="7"/>
  <c r="F67" i="7"/>
  <c r="F49" i="7"/>
  <c r="F11" i="7"/>
  <c r="F135" i="7"/>
  <c r="F127" i="7"/>
  <c r="F71" i="7"/>
  <c r="F22" i="7"/>
  <c r="F167" i="7"/>
  <c r="F192" i="7"/>
  <c r="F146" i="7"/>
  <c r="F147" i="7"/>
  <c r="F111" i="7"/>
  <c r="F106" i="7"/>
  <c r="F186" i="7"/>
  <c r="F72" i="7"/>
  <c r="F117" i="7"/>
  <c r="F164" i="7"/>
  <c r="F18" i="7"/>
  <c r="F27" i="7"/>
  <c r="F84" i="7"/>
  <c r="F70" i="7"/>
  <c r="F173" i="7"/>
  <c r="F55" i="7"/>
  <c r="F21" i="7"/>
  <c r="F131" i="7"/>
  <c r="F130" i="7"/>
  <c r="F190" i="7"/>
  <c r="F177" i="7"/>
  <c r="F112" i="7"/>
  <c r="F151" i="7"/>
  <c r="F100" i="7"/>
  <c r="F149" i="7"/>
  <c r="F65" i="7"/>
  <c r="F171" i="7"/>
  <c r="F83" i="7"/>
  <c r="F56" i="7"/>
  <c r="F103" i="7"/>
  <c r="F158" i="7"/>
  <c r="F193" i="7"/>
  <c r="F122" i="7"/>
  <c r="F88" i="7"/>
  <c r="F118" i="7"/>
  <c r="F165" i="7"/>
  <c r="F63" i="7"/>
  <c r="F48" i="7"/>
  <c r="F74" i="7"/>
  <c r="F180" i="7"/>
  <c r="F150" i="7"/>
  <c r="F20" i="7"/>
  <c r="F81" i="7"/>
  <c r="F185" i="7"/>
  <c r="F76" i="7"/>
  <c r="F28" i="7"/>
  <c r="F61" i="7"/>
  <c r="F29" i="7"/>
  <c r="F60" i="7"/>
  <c r="F102" i="7"/>
  <c r="F54" i="7"/>
  <c r="F188" i="7"/>
  <c r="F24" i="7"/>
  <c r="F178" i="7"/>
  <c r="F62" i="7"/>
  <c r="F136" i="7"/>
  <c r="F37" i="7"/>
  <c r="F175" i="7"/>
  <c r="F160" i="7"/>
  <c r="F98" i="7"/>
  <c r="F138" i="7"/>
  <c r="F80" i="7"/>
  <c r="F159" i="7"/>
  <c r="F19" i="7"/>
  <c r="F82" i="7"/>
  <c r="F8" i="7"/>
  <c r="F69" i="7"/>
  <c r="F105" i="7"/>
  <c r="F189" i="7"/>
  <c r="F161" i="7"/>
  <c r="F25" i="7"/>
  <c r="F129" i="7"/>
  <c r="F23" i="7"/>
  <c r="F114" i="7"/>
  <c r="F155" i="7"/>
  <c r="F176" i="7"/>
  <c r="F77" i="7"/>
  <c r="F153" i="7"/>
  <c r="F104" i="7"/>
  <c r="F43" i="7"/>
  <c r="F64" i="7"/>
  <c r="F148" i="7"/>
  <c r="F101" i="7"/>
  <c r="F9" i="7"/>
  <c r="F13" i="7"/>
  <c r="F92" i="7"/>
  <c r="F132" i="7"/>
  <c r="F172" i="7"/>
  <c r="F119" i="7"/>
  <c r="F17" i="7"/>
  <c r="F168" i="7"/>
  <c r="F73" i="7"/>
  <c r="F99" i="7"/>
  <c r="F95" i="7"/>
  <c r="F78" i="7"/>
  <c r="F16" i="7"/>
  <c r="F125" i="7"/>
  <c r="F116" i="7"/>
  <c r="F14" i="7"/>
  <c r="F51" i="7"/>
  <c r="F134" i="7"/>
  <c r="F109" i="7"/>
  <c r="F75" i="7"/>
  <c r="F10" i="7"/>
  <c r="F66" i="7"/>
  <c r="F121" i="7"/>
  <c r="F26" i="7"/>
  <c r="F53" i="7"/>
  <c r="F163" i="7"/>
  <c r="F126" i="7"/>
  <c r="F57" i="7"/>
  <c r="F133" i="7"/>
  <c r="F141" i="7"/>
  <c r="F96" i="7"/>
  <c r="F40" i="7"/>
  <c r="F139" i="7"/>
  <c r="F124" i="7"/>
  <c r="F33" i="7"/>
  <c r="F137" i="7"/>
  <c r="F7" i="7"/>
  <c r="F145" i="7"/>
  <c r="F30" i="7"/>
  <c r="F91" i="7"/>
  <c r="F6" i="7"/>
  <c r="F2" i="7"/>
  <c r="F128" i="7"/>
  <c r="F156" i="7"/>
  <c r="F4" i="7"/>
  <c r="F120" i="7"/>
  <c r="F41" i="7"/>
  <c r="F38" i="7"/>
  <c r="F115" i="7"/>
  <c r="F68" i="7"/>
  <c r="F140" i="7"/>
  <c r="F79" i="7"/>
  <c r="F86" i="7"/>
  <c r="F50" i="7"/>
  <c r="F3" i="7"/>
  <c r="F39" i="7"/>
  <c r="F5" i="7"/>
  <c r="F166" i="7"/>
  <c r="F90" i="7"/>
  <c r="F107" i="7"/>
  <c r="F32" i="7"/>
  <c r="F108" i="7"/>
  <c r="F152" i="7"/>
  <c r="Y304" i="7"/>
  <c r="Y281" i="7"/>
  <c r="Y283" i="7"/>
  <c r="Y329" i="7"/>
  <c r="Y362" i="7"/>
  <c r="Y330" i="7"/>
  <c r="Y222" i="7"/>
  <c r="AD222" i="7" s="1"/>
  <c r="Y352" i="7"/>
  <c r="AD352" i="7" s="1"/>
  <c r="Y291" i="7"/>
  <c r="AD291" i="7" s="1"/>
  <c r="Y351" i="7"/>
  <c r="Y279" i="7"/>
  <c r="AD279" i="7" s="1"/>
  <c r="Y292" i="7"/>
  <c r="AD292" i="7" s="1"/>
  <c r="Y314" i="7"/>
  <c r="Y275" i="7"/>
  <c r="Y348" i="7"/>
  <c r="Y316" i="7"/>
  <c r="AD316" i="7" s="1"/>
  <c r="Y272" i="7"/>
  <c r="AD272" i="7" s="1"/>
  <c r="Y225" i="7"/>
  <c r="Y301" i="7"/>
  <c r="Y364" i="7"/>
  <c r="Y341" i="7"/>
  <c r="AD341" i="7" s="1"/>
  <c r="Y355" i="7"/>
  <c r="Y318" i="7"/>
  <c r="Y258" i="7"/>
  <c r="Y358" i="7"/>
  <c r="Y340" i="7"/>
  <c r="Y260" i="7"/>
  <c r="Y327" i="7"/>
  <c r="Y319" i="7"/>
  <c r="AD319" i="7" s="1"/>
  <c r="Y345" i="7"/>
  <c r="AD345" i="7" s="1"/>
  <c r="Y357" i="7"/>
  <c r="AD357" i="7" s="1"/>
  <c r="Y219" i="7"/>
  <c r="AD219" i="7" s="1"/>
  <c r="Y278" i="7"/>
  <c r="AD278" i="7" s="1"/>
  <c r="Y215" i="7"/>
  <c r="Y276" i="7"/>
  <c r="Y307" i="7"/>
  <c r="Y285" i="7"/>
  <c r="Y339" i="7"/>
  <c r="Y366" i="7"/>
  <c r="Y231" i="7"/>
  <c r="Y282" i="7"/>
  <c r="Y288" i="7"/>
  <c r="Y256" i="7"/>
  <c r="AD256" i="7" s="1"/>
  <c r="Y343" i="7"/>
  <c r="AD343" i="7" s="1"/>
  <c r="Y204" i="7"/>
  <c r="AD204" i="7" s="1"/>
  <c r="Y338" i="7"/>
  <c r="AD338" i="7" s="1"/>
  <c r="Y235" i="7"/>
  <c r="AD235" i="7" s="1"/>
  <c r="Y361" i="7"/>
  <c r="Y333" i="7"/>
  <c r="Y246" i="7"/>
  <c r="Y331" i="7"/>
  <c r="Y337" i="7"/>
  <c r="Y310" i="7"/>
  <c r="Y262" i="7"/>
  <c r="Y211" i="7"/>
  <c r="AD211" i="7" s="1"/>
  <c r="Y295" i="7"/>
  <c r="AD295" i="7" s="1"/>
  <c r="Y334" i="7"/>
  <c r="AD334" i="7" s="1"/>
  <c r="Y346" i="7"/>
  <c r="Y239" i="7"/>
  <c r="AD239" i="7" s="1"/>
  <c r="Y359" i="7"/>
  <c r="AD359" i="7" s="1"/>
  <c r="Y290" i="7"/>
  <c r="Y320" i="7"/>
  <c r="Y230" i="7"/>
  <c r="Y311" i="7"/>
  <c r="AD311" i="7" s="1"/>
  <c r="Y360" i="7"/>
  <c r="AD360" i="7" s="1"/>
  <c r="Y249" i="7"/>
  <c r="Y349" i="7"/>
  <c r="AD349" i="7" s="1"/>
  <c r="Y313" i="7"/>
  <c r="AD313" i="7" s="1"/>
  <c r="Y289" i="7"/>
  <c r="AD289" i="7" s="1"/>
  <c r="Y287" i="7"/>
  <c r="Y273" i="7"/>
  <c r="Y224" i="7"/>
  <c r="Y296" i="7"/>
  <c r="Y203" i="7"/>
  <c r="Y253" i="7"/>
  <c r="Y363" i="7"/>
  <c r="Y228" i="7"/>
  <c r="AD228" i="7" s="1"/>
  <c r="Y264" i="7"/>
  <c r="AD264" i="7" s="1"/>
  <c r="Y223" i="7"/>
  <c r="AD223" i="7" s="1"/>
  <c r="Y247" i="7"/>
  <c r="AD247" i="7" s="1"/>
  <c r="Y212" i="7"/>
  <c r="AD212" i="7" s="1"/>
  <c r="Y335" i="7"/>
  <c r="Y312" i="7"/>
  <c r="Y270" i="7"/>
  <c r="Y244" i="7"/>
  <c r="Y315" i="7"/>
  <c r="Y202" i="7"/>
  <c r="Y280" i="7"/>
  <c r="Y305" i="7"/>
  <c r="Y300" i="7"/>
  <c r="Y195" i="7"/>
  <c r="AD195" i="7" s="1"/>
  <c r="Y242" i="7"/>
  <c r="AD242" i="7" s="1"/>
  <c r="Y284" i="7"/>
  <c r="AD284" i="7" s="1"/>
  <c r="Y286" i="7"/>
  <c r="AD286" i="7" s="1"/>
  <c r="Y229" i="7"/>
  <c r="AD229" i="7" s="1"/>
  <c r="Y217" i="7"/>
  <c r="Y309" i="7"/>
  <c r="Y365" i="7"/>
  <c r="Y267" i="7"/>
  <c r="Y237" i="7"/>
  <c r="Y317" i="7"/>
  <c r="Y232" i="7"/>
  <c r="Y324" i="7"/>
  <c r="AD324" i="7" s="1"/>
  <c r="Y367" i="7"/>
  <c r="AD367" i="7" s="1"/>
  <c r="Y323" i="7"/>
  <c r="AD323" i="7" s="1"/>
  <c r="Y220" i="7"/>
  <c r="Y210" i="7"/>
  <c r="AD210" i="7" s="1"/>
  <c r="Y209" i="7"/>
  <c r="AD209" i="7" s="1"/>
  <c r="Y194" i="7"/>
  <c r="Y325" i="7"/>
  <c r="Y356" i="7"/>
  <c r="Y265" i="7"/>
  <c r="AD265" i="7" s="1"/>
  <c r="Y205" i="7"/>
  <c r="AD205" i="7" s="1"/>
  <c r="Y250" i="7"/>
  <c r="Y248" i="7"/>
  <c r="AD248" i="7" s="1"/>
  <c r="Y347" i="7"/>
  <c r="AD347" i="7" s="1"/>
  <c r="Y216" i="7"/>
  <c r="AD216" i="7" s="1"/>
  <c r="Y197" i="7"/>
  <c r="Y342" i="7"/>
  <c r="Y303" i="7"/>
  <c r="Y326" i="7"/>
  <c r="Y274" i="7"/>
  <c r="Y261" i="7"/>
  <c r="Y306" i="7"/>
  <c r="Y243" i="7"/>
  <c r="AD243" i="7" s="1"/>
  <c r="Y198" i="7"/>
  <c r="AD198" i="7" s="1"/>
  <c r="Y257" i="7"/>
  <c r="AD257" i="7" s="1"/>
  <c r="Y302" i="7"/>
  <c r="AD302" i="7" s="1"/>
  <c r="Y196" i="7"/>
  <c r="AD196" i="7" s="1"/>
  <c r="Y336" i="7"/>
  <c r="Y277" i="7"/>
  <c r="Y263" i="7"/>
  <c r="Y227" i="7"/>
  <c r="Y354" i="7"/>
  <c r="Y293" i="7"/>
  <c r="Y298" i="7"/>
  <c r="Y213" i="7"/>
  <c r="Y201" i="7"/>
  <c r="Y269" i="7"/>
  <c r="AD269" i="7" s="1"/>
  <c r="Y206" i="7"/>
  <c r="AD206" i="7" s="1"/>
  <c r="Y221" i="7"/>
  <c r="AD221" i="7" s="1"/>
  <c r="Y308" i="7"/>
  <c r="AD308" i="7" s="1"/>
  <c r="Y254" i="7"/>
  <c r="AD254" i="7" s="1"/>
  <c r="Y297" i="7"/>
  <c r="Y240" i="7"/>
  <c r="Y200" i="7"/>
  <c r="Y322" i="7"/>
  <c r="Y218" i="7"/>
  <c r="Y252" i="7"/>
  <c r="Y353" i="7"/>
  <c r="Y236" i="7"/>
  <c r="AD236" i="7" s="1"/>
  <c r="Y238" i="7"/>
  <c r="AD238" i="7" s="1"/>
  <c r="Y268" i="7"/>
  <c r="AD268" i="7" s="1"/>
  <c r="Y299" i="7"/>
  <c r="Y245" i="7"/>
  <c r="AD245" i="7" s="1"/>
  <c r="Y294" i="7"/>
  <c r="AD294" i="7" s="1"/>
  <c r="Y350" i="7"/>
  <c r="Y234" i="7"/>
  <c r="Y271" i="7"/>
  <c r="Y328" i="7"/>
  <c r="AD328" i="7" s="1"/>
  <c r="Y233" i="7"/>
  <c r="AD233" i="7" s="1"/>
  <c r="Y207" i="7"/>
  <c r="Y344" i="7"/>
  <c r="AD344" i="7" s="1"/>
  <c r="Y226" i="7"/>
  <c r="Y199" i="7"/>
  <c r="AD199" i="7" s="1"/>
  <c r="Y321" i="7"/>
  <c r="Y251" i="7"/>
  <c r="Y241" i="7"/>
  <c r="Y255" i="7"/>
  <c r="Y214" i="7"/>
  <c r="Y266" i="7"/>
  <c r="Y208" i="7"/>
  <c r="Y259" i="7"/>
  <c r="AD259" i="7" s="1"/>
  <c r="Y157" i="7"/>
  <c r="AD157" i="7" s="1"/>
  <c r="Y162" i="7"/>
  <c r="AD162" i="7" s="1"/>
  <c r="Y169" i="7"/>
  <c r="AD169" i="7" s="1"/>
  <c r="Y31" i="7"/>
  <c r="AD31" i="7" s="1"/>
  <c r="Y182" i="7"/>
  <c r="Y89" i="7"/>
  <c r="Y44" i="7"/>
  <c r="Y183" i="7"/>
  <c r="Y58" i="7"/>
  <c r="Y179" i="7"/>
  <c r="Y15" i="7"/>
  <c r="Y87" i="7"/>
  <c r="Y52" i="7"/>
  <c r="Y170" i="7"/>
  <c r="AD170" i="7" s="1"/>
  <c r="Y142" i="7"/>
  <c r="AD142" i="7" s="1"/>
  <c r="Y144" i="7"/>
  <c r="AD144" i="7" s="1"/>
  <c r="Y34" i="7"/>
  <c r="AD34" i="7" s="1"/>
  <c r="Y59" i="7"/>
  <c r="AD59" i="7" s="1"/>
  <c r="Y191" i="7"/>
  <c r="Y110" i="7"/>
  <c r="Y181" i="7"/>
  <c r="Y187" i="7"/>
  <c r="Y93" i="7"/>
  <c r="Y45" i="7"/>
  <c r="Y154" i="7"/>
  <c r="Y97" i="7"/>
  <c r="AD97" i="7" s="1"/>
  <c r="Y42" i="7"/>
  <c r="AD42" i="7" s="1"/>
  <c r="Y113" i="7"/>
  <c r="AD113" i="7" s="1"/>
  <c r="Y123" i="7"/>
  <c r="Y85" i="7"/>
  <c r="AD85" i="7" s="1"/>
  <c r="Y36" i="7"/>
  <c r="AD36" i="7" s="1"/>
  <c r="Y12" i="7"/>
  <c r="Y143" i="7"/>
  <c r="Y47" i="7"/>
  <c r="Y174" i="7"/>
  <c r="AD174" i="7" s="1"/>
  <c r="Y94" i="7"/>
  <c r="AD94" i="7" s="1"/>
  <c r="Y35" i="7"/>
  <c r="Y184" i="7"/>
  <c r="Y46" i="7"/>
  <c r="Y67" i="7"/>
  <c r="AD67" i="7" s="1"/>
  <c r="Y49" i="7"/>
  <c r="Y11" i="7"/>
  <c r="Y135" i="7"/>
  <c r="Y127" i="7"/>
  <c r="Y71" i="7"/>
  <c r="Y22" i="7"/>
  <c r="Y167" i="7"/>
  <c r="Y192" i="7"/>
  <c r="AD192" i="7" s="1"/>
  <c r="Y146" i="7"/>
  <c r="AD146" i="7" s="1"/>
  <c r="Y147" i="7"/>
  <c r="AD147" i="7" s="1"/>
  <c r="Y111" i="7"/>
  <c r="AD111" i="7" s="1"/>
  <c r="Y106" i="7"/>
  <c r="Y186" i="7"/>
  <c r="Y72" i="7"/>
  <c r="AD72" i="7" s="1"/>
  <c r="Y117" i="7"/>
  <c r="Y164" i="7"/>
  <c r="Y18" i="7"/>
  <c r="Y27" i="7"/>
  <c r="Y84" i="7"/>
  <c r="AD84" i="7" s="1"/>
  <c r="Y70" i="7"/>
  <c r="AD70" i="7" s="1"/>
  <c r="Y173" i="7"/>
  <c r="Y55" i="7"/>
  <c r="AD55" i="7" s="1"/>
  <c r="Y21" i="7"/>
  <c r="AD21" i="7" s="1"/>
  <c r="Y131" i="7"/>
  <c r="AD131" i="7" s="1"/>
  <c r="Y130" i="7"/>
  <c r="AD130" i="7" s="1"/>
  <c r="Y190" i="7"/>
  <c r="AD190" i="7" s="1"/>
  <c r="Y177" i="7"/>
  <c r="Y112" i="7"/>
  <c r="Y151" i="7"/>
  <c r="Y100" i="7"/>
  <c r="Y149" i="7"/>
  <c r="Y65" i="7"/>
  <c r="Y171" i="7"/>
  <c r="Y83" i="7"/>
  <c r="AD83" i="7" s="1"/>
  <c r="Y56" i="7"/>
  <c r="AD56" i="7" s="1"/>
  <c r="Y103" i="7"/>
  <c r="AD103" i="7" s="1"/>
  <c r="Y158" i="7"/>
  <c r="AD158" i="7" s="1"/>
  <c r="Y193" i="7"/>
  <c r="AD193" i="7" s="1"/>
  <c r="Y122" i="7"/>
  <c r="AD122" i="7" s="1"/>
  <c r="Y88" i="7"/>
  <c r="Y118" i="7"/>
  <c r="Y165" i="7"/>
  <c r="Y63" i="7"/>
  <c r="AD63" i="7" s="1"/>
  <c r="Y48" i="7"/>
  <c r="AD48" i="7" s="1"/>
  <c r="Y74" i="7"/>
  <c r="Y180" i="7"/>
  <c r="Y150" i="7"/>
  <c r="Y20" i="7"/>
  <c r="Y81" i="7"/>
  <c r="AD81" i="7" s="1"/>
  <c r="Y185" i="7"/>
  <c r="AD185" i="7" s="1"/>
  <c r="Y76" i="7"/>
  <c r="AD76" i="7" s="1"/>
  <c r="Y28" i="7"/>
  <c r="Y61" i="7"/>
  <c r="Y29" i="7"/>
  <c r="Y60" i="7"/>
  <c r="AD60" i="7" s="1"/>
  <c r="Y102" i="7"/>
  <c r="AD102" i="7" s="1"/>
  <c r="Y54" i="7"/>
  <c r="AD54" i="7" s="1"/>
  <c r="Y188" i="7"/>
  <c r="AD188" i="7" s="1"/>
  <c r="Y24" i="7"/>
  <c r="AD24" i="7" s="1"/>
  <c r="Y178" i="7"/>
  <c r="AD178" i="7" s="1"/>
  <c r="Y62" i="7"/>
  <c r="Y136" i="7"/>
  <c r="Y37" i="7"/>
  <c r="Y175" i="7"/>
  <c r="Y160" i="7"/>
  <c r="Y98" i="7"/>
  <c r="AD98" i="7" s="1"/>
  <c r="Y138" i="7"/>
  <c r="AD138" i="7" s="1"/>
  <c r="Y80" i="7"/>
  <c r="AD80" i="7" s="1"/>
  <c r="Y159" i="7"/>
  <c r="AD159" i="7" s="1"/>
  <c r="Y19" i="7"/>
  <c r="AD19" i="7" s="1"/>
  <c r="Y82" i="7"/>
  <c r="AD82" i="7" s="1"/>
  <c r="Y8" i="7"/>
  <c r="AD8" i="7" s="1"/>
  <c r="Y69" i="7"/>
  <c r="AD69" i="7" s="1"/>
  <c r="Y105" i="7"/>
  <c r="Y189" i="7"/>
  <c r="Y161" i="7"/>
  <c r="Y25" i="7"/>
  <c r="Y129" i="7"/>
  <c r="Y23" i="7"/>
  <c r="Y114" i="7"/>
  <c r="AD114" i="7" s="1"/>
  <c r="Y155" i="7"/>
  <c r="AD155" i="7" s="1"/>
  <c r="Y176" i="7"/>
  <c r="AD176" i="7" s="1"/>
  <c r="Y77" i="7"/>
  <c r="AD77" i="7" s="1"/>
  <c r="Y153" i="7"/>
  <c r="AD153" i="7" s="1"/>
  <c r="Y104" i="7"/>
  <c r="AD104" i="7" s="1"/>
  <c r="Y43" i="7"/>
  <c r="AD43" i="7" s="1"/>
  <c r="Y64" i="7"/>
  <c r="Y148" i="7"/>
  <c r="Y101" i="7"/>
  <c r="Y9" i="7"/>
  <c r="Y13" i="7"/>
  <c r="Y92" i="7"/>
  <c r="Y132" i="7"/>
  <c r="Y172" i="7"/>
  <c r="AD172" i="7" s="1"/>
  <c r="Y119" i="7"/>
  <c r="AD119" i="7" s="1"/>
  <c r="Y17" i="7"/>
  <c r="AD17" i="7" s="1"/>
  <c r="Y168" i="7"/>
  <c r="AD168" i="7" s="1"/>
  <c r="Y73" i="7"/>
  <c r="AD73" i="7" s="1"/>
  <c r="Y99" i="7"/>
  <c r="AD99" i="7" s="1"/>
  <c r="Y95" i="7"/>
  <c r="Y78" i="7"/>
  <c r="Y16" i="7"/>
  <c r="Y125" i="7"/>
  <c r="Y116" i="7"/>
  <c r="Y14" i="7"/>
  <c r="Y51" i="7"/>
  <c r="Y134" i="7"/>
  <c r="Y109" i="7"/>
  <c r="AD109" i="7" s="1"/>
  <c r="Y75" i="7"/>
  <c r="AD75" i="7" s="1"/>
  <c r="Y10" i="7"/>
  <c r="AD10" i="7" s="1"/>
  <c r="Y66" i="7"/>
  <c r="AD66" i="7" s="1"/>
  <c r="Y121" i="7"/>
  <c r="Y26" i="7"/>
  <c r="Y53" i="7"/>
  <c r="AD53" i="7" s="1"/>
  <c r="Y163" i="7"/>
  <c r="AD163" i="7" s="1"/>
  <c r="Y126" i="7"/>
  <c r="AD126" i="7" s="1"/>
  <c r="Y57" i="7"/>
  <c r="AD57" i="7" s="1"/>
  <c r="Y133" i="7"/>
  <c r="Y141" i="7"/>
  <c r="Y96" i="7"/>
  <c r="Y40" i="7"/>
  <c r="Y139" i="7"/>
  <c r="AD139" i="7" s="1"/>
  <c r="Y124" i="7"/>
  <c r="AD124" i="7" s="1"/>
  <c r="Y33" i="7"/>
  <c r="Y137" i="7"/>
  <c r="Y7" i="7"/>
  <c r="AD7" i="7" s="1"/>
  <c r="Y145" i="7"/>
  <c r="AD145" i="7" s="1"/>
  <c r="Y30" i="7"/>
  <c r="AD30" i="7" s="1"/>
  <c r="Y91" i="7"/>
  <c r="AD91" i="7" s="1"/>
  <c r="Y6" i="7"/>
  <c r="AD6" i="7" s="1"/>
  <c r="Y2" i="7"/>
  <c r="AD2" i="7" s="1"/>
  <c r="Y128" i="7"/>
  <c r="AD128" i="7" s="1"/>
  <c r="Y156" i="7"/>
  <c r="Y4" i="7"/>
  <c r="Y120" i="7"/>
  <c r="Y41" i="7"/>
  <c r="Y38" i="7"/>
  <c r="Y115" i="7"/>
  <c r="AD115" i="7" s="1"/>
  <c r="Y68" i="7"/>
  <c r="AD68" i="7" s="1"/>
  <c r="Y140" i="7"/>
  <c r="AD140" i="7" s="1"/>
  <c r="Y79" i="7"/>
  <c r="AD79" i="7" s="1"/>
  <c r="Y86" i="7"/>
  <c r="AD86" i="7" s="1"/>
  <c r="Y50" i="7"/>
  <c r="AD50" i="7" s="1"/>
  <c r="Y3" i="7"/>
  <c r="AD3" i="7" s="1"/>
  <c r="Y39" i="7"/>
  <c r="AD39" i="7" s="1"/>
  <c r="Y5" i="7"/>
  <c r="AD5" i="7" s="1"/>
  <c r="Y166" i="7"/>
  <c r="AD166" i="7" s="1"/>
  <c r="Y90" i="7"/>
  <c r="AD90" i="7" s="1"/>
  <c r="Y107" i="7"/>
  <c r="AD107" i="7" s="1"/>
  <c r="Y32" i="7"/>
  <c r="AD32" i="7" s="1"/>
  <c r="Y108" i="7"/>
  <c r="Y152" i="7"/>
  <c r="AD152" i="7" s="1"/>
  <c r="Y332" i="7"/>
  <c r="AD332" i="7" s="1"/>
  <c r="X304" i="7"/>
  <c r="AC304" i="7" s="1"/>
  <c r="X281" i="7"/>
  <c r="AC281" i="7" s="1"/>
  <c r="X283" i="7"/>
  <c r="AC283" i="7" s="1"/>
  <c r="X329" i="7"/>
  <c r="AC329" i="7" s="1"/>
  <c r="X362" i="7"/>
  <c r="AC362" i="7" s="1"/>
  <c r="X330" i="7"/>
  <c r="AC330" i="7" s="1"/>
  <c r="X222" i="7"/>
  <c r="X352" i="7"/>
  <c r="X291" i="7"/>
  <c r="AC291" i="7" s="1"/>
  <c r="X351" i="7"/>
  <c r="X279" i="7"/>
  <c r="X292" i="7"/>
  <c r="X314" i="7"/>
  <c r="AC314" i="7" s="1"/>
  <c r="X275" i="7"/>
  <c r="AC275" i="7" s="1"/>
  <c r="X348" i="7"/>
  <c r="AC348" i="7" s="1"/>
  <c r="X316" i="7"/>
  <c r="AC316" i="7" s="1"/>
  <c r="X272" i="7"/>
  <c r="AC272" i="7" s="1"/>
  <c r="X225" i="7"/>
  <c r="AC225" i="7" s="1"/>
  <c r="X301" i="7"/>
  <c r="X364" i="7"/>
  <c r="X341" i="7"/>
  <c r="AC341" i="7" s="1"/>
  <c r="X355" i="7"/>
  <c r="AC355" i="7" s="1"/>
  <c r="X318" i="7"/>
  <c r="AC318" i="7" s="1"/>
  <c r="X258" i="7"/>
  <c r="X358" i="7"/>
  <c r="X340" i="7"/>
  <c r="X260" i="7"/>
  <c r="AC260" i="7" s="1"/>
  <c r="X327" i="7"/>
  <c r="AC327" i="7" s="1"/>
  <c r="X319" i="7"/>
  <c r="AC319" i="7" s="1"/>
  <c r="X345" i="7"/>
  <c r="AC345" i="7" s="1"/>
  <c r="X357" i="7"/>
  <c r="X219" i="7"/>
  <c r="X278" i="7"/>
  <c r="AC278" i="7" s="1"/>
  <c r="X215" i="7"/>
  <c r="AC215" i="7" s="1"/>
  <c r="X276" i="7"/>
  <c r="AC276" i="7" s="1"/>
  <c r="X307" i="7"/>
  <c r="AC307" i="7" s="1"/>
  <c r="X285" i="7"/>
  <c r="AC285" i="7" s="1"/>
  <c r="X339" i="7"/>
  <c r="X366" i="7"/>
  <c r="X231" i="7"/>
  <c r="X282" i="7"/>
  <c r="X288" i="7"/>
  <c r="X256" i="7"/>
  <c r="X343" i="7"/>
  <c r="X204" i="7"/>
  <c r="AC204" i="7" s="1"/>
  <c r="X338" i="7"/>
  <c r="AC338" i="7" s="1"/>
  <c r="X235" i="7"/>
  <c r="AC235" i="7" s="1"/>
  <c r="X361" i="7"/>
  <c r="AC361" i="7" s="1"/>
  <c r="X333" i="7"/>
  <c r="AC333" i="7" s="1"/>
  <c r="X246" i="7"/>
  <c r="AC246" i="7" s="1"/>
  <c r="X331" i="7"/>
  <c r="AC331" i="7" s="1"/>
  <c r="X337" i="7"/>
  <c r="X310" i="7"/>
  <c r="X262" i="7"/>
  <c r="X211" i="7"/>
  <c r="X295" i="7"/>
  <c r="X334" i="7"/>
  <c r="AC334" i="7" s="1"/>
  <c r="X346" i="7"/>
  <c r="X239" i="7"/>
  <c r="X359" i="7"/>
  <c r="X290" i="7"/>
  <c r="AC290" i="7" s="1"/>
  <c r="X320" i="7"/>
  <c r="AC320" i="7" s="1"/>
  <c r="X230" i="7"/>
  <c r="AC230" i="7" s="1"/>
  <c r="X311" i="7"/>
  <c r="AC311" i="7" s="1"/>
  <c r="X360" i="7"/>
  <c r="AC360" i="7" s="1"/>
  <c r="X249" i="7"/>
  <c r="X349" i="7"/>
  <c r="X313" i="7"/>
  <c r="X289" i="7"/>
  <c r="X287" i="7"/>
  <c r="X273" i="7"/>
  <c r="AC273" i="7" s="1"/>
  <c r="X224" i="7"/>
  <c r="AC224" i="7" s="1"/>
  <c r="X296" i="7"/>
  <c r="AC296" i="7" s="1"/>
  <c r="X203" i="7"/>
  <c r="AC203" i="7" s="1"/>
  <c r="X253" i="7"/>
  <c r="AC253" i="7" s="1"/>
  <c r="X363" i="7"/>
  <c r="AC363" i="7" s="1"/>
  <c r="X228" i="7"/>
  <c r="AC228" i="7" s="1"/>
  <c r="X264" i="7"/>
  <c r="X223" i="7"/>
  <c r="X247" i="7"/>
  <c r="X212" i="7"/>
  <c r="AC212" i="7" s="1"/>
  <c r="X335" i="7"/>
  <c r="X312" i="7"/>
  <c r="X270" i="7"/>
  <c r="X244" i="7"/>
  <c r="AC244" i="7" s="1"/>
  <c r="X315" i="7"/>
  <c r="AC315" i="7" s="1"/>
  <c r="X202" i="7"/>
  <c r="AC202" i="7" s="1"/>
  <c r="X280" i="7"/>
  <c r="AC280" i="7" s="1"/>
  <c r="X305" i="7"/>
  <c r="AC305" i="7" s="1"/>
  <c r="X300" i="7"/>
  <c r="AC300" i="7" s="1"/>
  <c r="X195" i="7"/>
  <c r="X242" i="7"/>
  <c r="X284" i="7"/>
  <c r="AC284" i="7" s="1"/>
  <c r="X286" i="7"/>
  <c r="AC286" i="7" s="1"/>
  <c r="X229" i="7"/>
  <c r="AC229" i="7" s="1"/>
  <c r="X217" i="7"/>
  <c r="X309" i="7"/>
  <c r="X365" i="7"/>
  <c r="X267" i="7"/>
  <c r="AC267" i="7" s="1"/>
  <c r="X237" i="7"/>
  <c r="AC237" i="7" s="1"/>
  <c r="X317" i="7"/>
  <c r="AC317" i="7" s="1"/>
  <c r="X232" i="7"/>
  <c r="AC232" i="7" s="1"/>
  <c r="X324" i="7"/>
  <c r="X367" i="7"/>
  <c r="X323" i="7"/>
  <c r="AC323" i="7" s="1"/>
  <c r="X220" i="7"/>
  <c r="AC220" i="7" s="1"/>
  <c r="X210" i="7"/>
  <c r="AC210" i="7" s="1"/>
  <c r="X209" i="7"/>
  <c r="AC209" i="7" s="1"/>
  <c r="X194" i="7"/>
  <c r="AC194" i="7" s="1"/>
  <c r="X325" i="7"/>
  <c r="X356" i="7"/>
  <c r="X265" i="7"/>
  <c r="X205" i="7"/>
  <c r="AC205" i="7" s="1"/>
  <c r="X250" i="7"/>
  <c r="AC250" i="7" s="1"/>
  <c r="X248" i="7"/>
  <c r="X347" i="7"/>
  <c r="X216" i="7"/>
  <c r="AC216" i="7" s="1"/>
  <c r="X197" i="7"/>
  <c r="AC197" i="7" s="1"/>
  <c r="X342" i="7"/>
  <c r="AC342" i="7" s="1"/>
  <c r="X303" i="7"/>
  <c r="X326" i="7"/>
  <c r="AC326" i="7" s="1"/>
  <c r="X274" i="7"/>
  <c r="AC274" i="7" s="1"/>
  <c r="X261" i="7"/>
  <c r="AC261" i="7" s="1"/>
  <c r="X306" i="7"/>
  <c r="AC306" i="7" s="1"/>
  <c r="X243" i="7"/>
  <c r="AC243" i="7" s="1"/>
  <c r="X198" i="7"/>
  <c r="AC198" i="7" s="1"/>
  <c r="X257" i="7"/>
  <c r="X302" i="7"/>
  <c r="X196" i="7"/>
  <c r="AC196" i="7" s="1"/>
  <c r="X336" i="7"/>
  <c r="AC336" i="7" s="1"/>
  <c r="X277" i="7"/>
  <c r="AC277" i="7" s="1"/>
  <c r="X263" i="7"/>
  <c r="AC263" i="7" s="1"/>
  <c r="X227" i="7"/>
  <c r="AC227" i="7" s="1"/>
  <c r="X354" i="7"/>
  <c r="AC354" i="7" s="1"/>
  <c r="X293" i="7"/>
  <c r="AC293" i="7" s="1"/>
  <c r="X298" i="7"/>
  <c r="AC298" i="7" s="1"/>
  <c r="X213" i="7"/>
  <c r="AC213" i="7" s="1"/>
  <c r="X201" i="7"/>
  <c r="X269" i="7"/>
  <c r="X206" i="7"/>
  <c r="X221" i="7"/>
  <c r="X308" i="7"/>
  <c r="X254" i="7"/>
  <c r="AC254" i="7" s="1"/>
  <c r="X297" i="7"/>
  <c r="AC297" i="7" s="1"/>
  <c r="X240" i="7"/>
  <c r="AC240" i="7" s="1"/>
  <c r="X200" i="7"/>
  <c r="AC200" i="7" s="1"/>
  <c r="X322" i="7"/>
  <c r="AC322" i="7" s="1"/>
  <c r="X218" i="7"/>
  <c r="AC218" i="7" s="1"/>
  <c r="X252" i="7"/>
  <c r="AC252" i="7" s="1"/>
  <c r="X353" i="7"/>
  <c r="AC353" i="7" s="1"/>
  <c r="X236" i="7"/>
  <c r="X238" i="7"/>
  <c r="AC238" i="7" s="1"/>
  <c r="X268" i="7"/>
  <c r="X299" i="7"/>
  <c r="X245" i="7"/>
  <c r="X294" i="7"/>
  <c r="AC294" i="7" s="1"/>
  <c r="X350" i="7"/>
  <c r="AC350" i="7" s="1"/>
  <c r="X234" i="7"/>
  <c r="AC234" i="7" s="1"/>
  <c r="X271" i="7"/>
  <c r="AC271" i="7" s="1"/>
  <c r="X328" i="7"/>
  <c r="AC328" i="7" s="1"/>
  <c r="X233" i="7"/>
  <c r="AC233" i="7" s="1"/>
  <c r="X207" i="7"/>
  <c r="AC207" i="7" s="1"/>
  <c r="X344" i="7"/>
  <c r="X226" i="7"/>
  <c r="AC226" i="7" s="1"/>
  <c r="X199" i="7"/>
  <c r="AC199" i="7" s="1"/>
  <c r="X321" i="7"/>
  <c r="X251" i="7"/>
  <c r="X241" i="7"/>
  <c r="X255" i="7"/>
  <c r="AC255" i="7" s="1"/>
  <c r="X214" i="7"/>
  <c r="AC214" i="7" s="1"/>
  <c r="X266" i="7"/>
  <c r="AC266" i="7" s="1"/>
  <c r="X208" i="7"/>
  <c r="AC208" i="7" s="1"/>
  <c r="X259" i="7"/>
  <c r="AC259" i="7" s="1"/>
  <c r="X157" i="7"/>
  <c r="AC157" i="7" s="1"/>
  <c r="X162" i="7"/>
  <c r="X169" i="7"/>
  <c r="AC169" i="7" s="1"/>
  <c r="X31" i="7"/>
  <c r="AC31" i="7" s="1"/>
  <c r="X182" i="7"/>
  <c r="AC182" i="7" s="1"/>
  <c r="X89" i="7"/>
  <c r="X44" i="7"/>
  <c r="X183" i="7"/>
  <c r="X58" i="7"/>
  <c r="AC58" i="7" s="1"/>
  <c r="X179" i="7"/>
  <c r="AC179" i="7" s="1"/>
  <c r="X15" i="7"/>
  <c r="AC15" i="7" s="1"/>
  <c r="X87" i="7"/>
  <c r="AC87" i="7" s="1"/>
  <c r="X52" i="7"/>
  <c r="AC52" i="7" s="1"/>
  <c r="X170" i="7"/>
  <c r="X142" i="7"/>
  <c r="AC142" i="7" s="1"/>
  <c r="X144" i="7"/>
  <c r="AC144" i="7" s="1"/>
  <c r="X34" i="7"/>
  <c r="AC34" i="7" s="1"/>
  <c r="X59" i="7"/>
  <c r="AC59" i="7" s="1"/>
  <c r="X110" i="7"/>
  <c r="X181" i="7"/>
  <c r="X187" i="7"/>
  <c r="AC187" i="7" s="1"/>
  <c r="X93" i="7"/>
  <c r="AC93" i="7" s="1"/>
  <c r="X45" i="7"/>
  <c r="AC45" i="7" s="1"/>
  <c r="X154" i="7"/>
  <c r="X97" i="7"/>
  <c r="X42" i="7"/>
  <c r="AC42" i="7" s="1"/>
  <c r="X113" i="7"/>
  <c r="AC113" i="7" s="1"/>
  <c r="X123" i="7"/>
  <c r="AC123" i="7" s="1"/>
  <c r="X85" i="7"/>
  <c r="AC85" i="7" s="1"/>
  <c r="X36" i="7"/>
  <c r="AC36" i="7" s="1"/>
  <c r="X12" i="7"/>
  <c r="X143" i="7"/>
  <c r="X47" i="7"/>
  <c r="X174" i="7"/>
  <c r="AC174" i="7" s="1"/>
  <c r="X94" i="7"/>
  <c r="AC94" i="7" s="1"/>
  <c r="X35" i="7"/>
  <c r="AC35" i="7" s="1"/>
  <c r="X184" i="7"/>
  <c r="X46" i="7"/>
  <c r="AC46" i="7" s="1"/>
  <c r="X67" i="7"/>
  <c r="AC67" i="7" s="1"/>
  <c r="X49" i="7"/>
  <c r="AC49" i="7" s="1"/>
  <c r="X11" i="7"/>
  <c r="AC11" i="7" s="1"/>
  <c r="X135" i="7"/>
  <c r="AC135" i="7" s="1"/>
  <c r="X127" i="7"/>
  <c r="AC127" i="7" s="1"/>
  <c r="X71" i="7"/>
  <c r="X22" i="7"/>
  <c r="AC22" i="7" s="1"/>
  <c r="X167" i="7"/>
  <c r="AC167" i="7" s="1"/>
  <c r="X192" i="7"/>
  <c r="AC192" i="7" s="1"/>
  <c r="X146" i="7"/>
  <c r="AC146" i="7" s="1"/>
  <c r="X147" i="7"/>
  <c r="X111" i="7"/>
  <c r="AC111" i="7" s="1"/>
  <c r="X106" i="7"/>
  <c r="AC106" i="7" s="1"/>
  <c r="X186" i="7"/>
  <c r="AC186" i="7" s="1"/>
  <c r="X72" i="7"/>
  <c r="AC72" i="7" s="1"/>
  <c r="X117" i="7"/>
  <c r="AC117" i="7" s="1"/>
  <c r="X164" i="7"/>
  <c r="AC164" i="7" s="1"/>
  <c r="X18" i="7"/>
  <c r="AC18" i="7" s="1"/>
  <c r="X27" i="7"/>
  <c r="X84" i="7"/>
  <c r="AC84" i="7" s="1"/>
  <c r="X70" i="7"/>
  <c r="AC70" i="7" s="1"/>
  <c r="X173" i="7"/>
  <c r="AC173" i="7" s="1"/>
  <c r="X55" i="7"/>
  <c r="X21" i="7"/>
  <c r="AC21" i="7" s="1"/>
  <c r="X131" i="7"/>
  <c r="AC131" i="7" s="1"/>
  <c r="X130" i="7"/>
  <c r="AC130" i="7" s="1"/>
  <c r="X190" i="7"/>
  <c r="AC190" i="7" s="1"/>
  <c r="X177" i="7"/>
  <c r="AC177" i="7" s="1"/>
  <c r="X112" i="7"/>
  <c r="AC112" i="7" s="1"/>
  <c r="X151" i="7"/>
  <c r="AC151" i="7" s="1"/>
  <c r="X100" i="7"/>
  <c r="AC100" i="7" s="1"/>
  <c r="X149" i="7"/>
  <c r="X65" i="7"/>
  <c r="X171" i="7"/>
  <c r="X83" i="7"/>
  <c r="X56" i="7"/>
  <c r="X103" i="7"/>
  <c r="AC103" i="7" s="1"/>
  <c r="X158" i="7"/>
  <c r="AC158" i="7" s="1"/>
  <c r="X193" i="7"/>
  <c r="AC193" i="7" s="1"/>
  <c r="X122" i="7"/>
  <c r="AC122" i="7" s="1"/>
  <c r="X88" i="7"/>
  <c r="AC88" i="7" s="1"/>
  <c r="X118" i="7"/>
  <c r="AC118" i="7" s="1"/>
  <c r="X165" i="7"/>
  <c r="AC165" i="7" s="1"/>
  <c r="X63" i="7"/>
  <c r="AC63" i="7" s="1"/>
  <c r="X48" i="7"/>
  <c r="X74" i="7"/>
  <c r="X180" i="7"/>
  <c r="X150" i="7"/>
  <c r="X20" i="7"/>
  <c r="AC20" i="7" s="1"/>
  <c r="X81" i="7"/>
  <c r="AC81" i="7" s="1"/>
  <c r="X185" i="7"/>
  <c r="AC185" i="7" s="1"/>
  <c r="X76" i="7"/>
  <c r="AC76" i="7" s="1"/>
  <c r="X28" i="7"/>
  <c r="AC28" i="7" s="1"/>
  <c r="X61" i="7"/>
  <c r="AC61" i="7" s="1"/>
  <c r="X29" i="7"/>
  <c r="AC29" i="7" s="1"/>
  <c r="X60" i="7"/>
  <c r="AC60" i="7" s="1"/>
  <c r="X102" i="7"/>
  <c r="AC102" i="7" s="1"/>
  <c r="X54" i="7"/>
  <c r="X188" i="7"/>
  <c r="X24" i="7"/>
  <c r="X178" i="7"/>
  <c r="X62" i="7"/>
  <c r="AC62" i="7" s="1"/>
  <c r="X136" i="7"/>
  <c r="AC136" i="7" s="1"/>
  <c r="X37" i="7"/>
  <c r="AC37" i="7" s="1"/>
  <c r="X175" i="7"/>
  <c r="AC175" i="7" s="1"/>
  <c r="X160" i="7"/>
  <c r="AC160" i="7" s="1"/>
  <c r="X98" i="7"/>
  <c r="AC98" i="7" s="1"/>
  <c r="X138" i="7"/>
  <c r="X80" i="7"/>
  <c r="X159" i="7"/>
  <c r="X19" i="7"/>
  <c r="X82" i="7"/>
  <c r="X8" i="7"/>
  <c r="X69" i="7"/>
  <c r="X105" i="7"/>
  <c r="AC105" i="7" s="1"/>
  <c r="X189" i="7"/>
  <c r="AC189" i="7" s="1"/>
  <c r="X161" i="7"/>
  <c r="AC161" i="7" s="1"/>
  <c r="X25" i="7"/>
  <c r="AC25" i="7" s="1"/>
  <c r="X129" i="7"/>
  <c r="AC129" i="7" s="1"/>
  <c r="X23" i="7"/>
  <c r="AC23" i="7" s="1"/>
  <c r="X114" i="7"/>
  <c r="AC114" i="7" s="1"/>
  <c r="X155" i="7"/>
  <c r="AC155" i="7" s="1"/>
  <c r="X176" i="7"/>
  <c r="X77" i="7"/>
  <c r="X153" i="7"/>
  <c r="X104" i="7"/>
  <c r="X43" i="7"/>
  <c r="X64" i="7"/>
  <c r="AC64" i="7" s="1"/>
  <c r="X148" i="7"/>
  <c r="AC148" i="7" s="1"/>
  <c r="X101" i="7"/>
  <c r="AC101" i="7" s="1"/>
  <c r="X9" i="7"/>
  <c r="AC9" i="7" s="1"/>
  <c r="X13" i="7"/>
  <c r="AC13" i="7" s="1"/>
  <c r="X92" i="7"/>
  <c r="AC92" i="7" s="1"/>
  <c r="X132" i="7"/>
  <c r="AC132" i="7" s="1"/>
  <c r="X172" i="7"/>
  <c r="X119" i="7"/>
  <c r="AC119" i="7" s="1"/>
  <c r="X17" i="7"/>
  <c r="AC17" i="7" s="1"/>
  <c r="X168" i="7"/>
  <c r="X73" i="7"/>
  <c r="X99" i="7"/>
  <c r="X95" i="7"/>
  <c r="AC95" i="7" s="1"/>
  <c r="X78" i="7"/>
  <c r="AC78" i="7" s="1"/>
  <c r="X16" i="7"/>
  <c r="AC16" i="7" s="1"/>
  <c r="X125" i="7"/>
  <c r="AC125" i="7" s="1"/>
  <c r="X116" i="7"/>
  <c r="AC116" i="7" s="1"/>
  <c r="X14" i="7"/>
  <c r="AC14" i="7" s="1"/>
  <c r="X51" i="7"/>
  <c r="X134" i="7"/>
  <c r="AC134" i="7" s="1"/>
  <c r="X109" i="7"/>
  <c r="AC109" i="7" s="1"/>
  <c r="X75" i="7"/>
  <c r="AC75" i="7" s="1"/>
  <c r="X10" i="7"/>
  <c r="X66" i="7"/>
  <c r="X121" i="7"/>
  <c r="X26" i="7"/>
  <c r="AC26" i="7" s="1"/>
  <c r="X53" i="7"/>
  <c r="AC53" i="7" s="1"/>
  <c r="X163" i="7"/>
  <c r="X126" i="7"/>
  <c r="X57" i="7"/>
  <c r="X133" i="7"/>
  <c r="X141" i="7"/>
  <c r="AC141" i="7" s="1"/>
  <c r="X96" i="7"/>
  <c r="AC96" i="7" s="1"/>
  <c r="X40" i="7"/>
  <c r="AC40" i="7" s="1"/>
  <c r="X139" i="7"/>
  <c r="AC139" i="7" s="1"/>
  <c r="X124" i="7"/>
  <c r="X33" i="7"/>
  <c r="X137" i="7"/>
  <c r="X7" i="7"/>
  <c r="AC7" i="7" s="1"/>
  <c r="X145" i="7"/>
  <c r="AC145" i="7" s="1"/>
  <c r="X30" i="7"/>
  <c r="AC30" i="7" s="1"/>
  <c r="X91" i="7"/>
  <c r="AC91" i="7" s="1"/>
  <c r="X6" i="7"/>
  <c r="X2" i="7"/>
  <c r="X128" i="7"/>
  <c r="AC128" i="7" s="1"/>
  <c r="X156" i="7"/>
  <c r="AC156" i="7" s="1"/>
  <c r="X4" i="7"/>
  <c r="AC4" i="7" s="1"/>
  <c r="X120" i="7"/>
  <c r="AC120" i="7" s="1"/>
  <c r="X41" i="7"/>
  <c r="X38" i="7"/>
  <c r="X115" i="7"/>
  <c r="X68" i="7"/>
  <c r="AC68" i="7" s="1"/>
  <c r="X140" i="7"/>
  <c r="AC140" i="7" s="1"/>
  <c r="X79" i="7"/>
  <c r="AC79" i="7" s="1"/>
  <c r="X86" i="7"/>
  <c r="AC86" i="7" s="1"/>
  <c r="X50" i="7"/>
  <c r="AC50" i="7" s="1"/>
  <c r="X3" i="7"/>
  <c r="AC3" i="7" s="1"/>
  <c r="X39" i="7"/>
  <c r="AC39" i="7" s="1"/>
  <c r="X5" i="7"/>
  <c r="X166" i="7"/>
  <c r="AC166" i="7" s="1"/>
  <c r="X90" i="7"/>
  <c r="X107" i="7"/>
  <c r="X32" i="7"/>
  <c r="AC32" i="7" s="1"/>
  <c r="X108" i="7"/>
  <c r="X152" i="7"/>
  <c r="AC152" i="7" s="1"/>
  <c r="X332" i="7"/>
  <c r="AC332" i="7" s="1"/>
  <c r="U283" i="7"/>
  <c r="AB283" i="7" s="1"/>
  <c r="U279" i="7"/>
  <c r="AB279" i="7" s="1"/>
  <c r="U225" i="7"/>
  <c r="AB225" i="7" s="1"/>
  <c r="U222" i="7"/>
  <c r="U332" i="7"/>
  <c r="AB332" i="7" s="1"/>
  <c r="U348" i="7"/>
  <c r="AB348" i="7" s="1"/>
  <c r="U330" i="7"/>
  <c r="AB330" i="7" s="1"/>
  <c r="U275" i="7"/>
  <c r="AB275" i="7" s="1"/>
  <c r="U314" i="7"/>
  <c r="AB314" i="7" s="1"/>
  <c r="U329" i="7"/>
  <c r="AB329" i="7" s="1"/>
  <c r="U362" i="7"/>
  <c r="AB362" i="7" s="1"/>
  <c r="U281" i="7"/>
  <c r="AB281" i="7" s="1"/>
  <c r="U272" i="7"/>
  <c r="AB272" i="7" s="1"/>
  <c r="U316" i="7"/>
  <c r="AB316" i="7" s="1"/>
  <c r="U291" i="7"/>
  <c r="U292" i="7"/>
  <c r="AB292" i="7" s="1"/>
  <c r="U352" i="7"/>
  <c r="U351" i="7"/>
  <c r="AB351" i="7" s="1"/>
  <c r="U219" i="7"/>
  <c r="AB219" i="7" s="1"/>
  <c r="U258" i="7"/>
  <c r="AB258" i="7" s="1"/>
  <c r="U301" i="7"/>
  <c r="AB301" i="7" s="1"/>
  <c r="U341" i="7"/>
  <c r="AB341" i="7" s="1"/>
  <c r="U278" i="7"/>
  <c r="U260" i="7"/>
  <c r="AB260" i="7" s="1"/>
  <c r="U327" i="7"/>
  <c r="AB327" i="7" s="1"/>
  <c r="U318" i="7"/>
  <c r="AB318" i="7" s="1"/>
  <c r="U319" i="7"/>
  <c r="AB319" i="7" s="1"/>
  <c r="U345" i="7"/>
  <c r="AB345" i="7" s="1"/>
  <c r="U364" i="7"/>
  <c r="AB364" i="7" s="1"/>
  <c r="U358" i="7"/>
  <c r="AB358" i="7" s="1"/>
  <c r="U355" i="7"/>
  <c r="AB355" i="7" s="1"/>
  <c r="U340" i="7"/>
  <c r="AB340" i="7" s="1"/>
  <c r="U215" i="7"/>
  <c r="AB215" i="7" s="1"/>
  <c r="U357" i="7"/>
  <c r="AB357" i="7" s="1"/>
  <c r="U288" i="7"/>
  <c r="AB288" i="7" s="1"/>
  <c r="U307" i="7"/>
  <c r="AB307" i="7" s="1"/>
  <c r="U285" i="7"/>
  <c r="AB285" i="7" s="1"/>
  <c r="U246" i="7"/>
  <c r="AB246" i="7" s="1"/>
  <c r="U231" i="7"/>
  <c r="AB231" i="7" s="1"/>
  <c r="U204" i="7"/>
  <c r="AB204" i="7" s="1"/>
  <c r="U276" i="7"/>
  <c r="AB276" i="7" s="1"/>
  <c r="U235" i="7"/>
  <c r="AB235" i="7" s="1"/>
  <c r="U256" i="7"/>
  <c r="U282" i="7"/>
  <c r="AB282" i="7" s="1"/>
  <c r="U331" i="7"/>
  <c r="AB331" i="7" s="1"/>
  <c r="U361" i="7"/>
  <c r="AB361" i="7" s="1"/>
  <c r="U343" i="7"/>
  <c r="AB343" i="7" s="1"/>
  <c r="U337" i="7"/>
  <c r="AB337" i="7" s="1"/>
  <c r="U366" i="7"/>
  <c r="AB366" i="7" s="1"/>
  <c r="U338" i="7"/>
  <c r="AB338" i="7" s="1"/>
  <c r="U339" i="7"/>
  <c r="AB339" i="7" s="1"/>
  <c r="U333" i="7"/>
  <c r="AB333" i="7" s="1"/>
  <c r="U239" i="7"/>
  <c r="AB239" i="7" s="1"/>
  <c r="U295" i="7"/>
  <c r="U211" i="7"/>
  <c r="U310" i="7"/>
  <c r="AB310" i="7" s="1"/>
  <c r="U262" i="7"/>
  <c r="AB262" i="7" s="1"/>
  <c r="U346" i="7"/>
  <c r="AB346" i="7" s="1"/>
  <c r="U249" i="7"/>
  <c r="AB249" i="7" s="1"/>
  <c r="U290" i="7"/>
  <c r="AB290" i="7" s="1"/>
  <c r="U230" i="7"/>
  <c r="AB230" i="7" s="1"/>
  <c r="U313" i="7"/>
  <c r="AB313" i="7" s="1"/>
  <c r="U334" i="7"/>
  <c r="U349" i="7"/>
  <c r="AB349" i="7" s="1"/>
  <c r="U320" i="7"/>
  <c r="AB320" i="7" s="1"/>
  <c r="U311" i="7"/>
  <c r="AB311" i="7" s="1"/>
  <c r="U360" i="7"/>
  <c r="AB360" i="7" s="1"/>
  <c r="U359" i="7"/>
  <c r="AB359" i="7" s="1"/>
  <c r="U223" i="7"/>
  <c r="AB223" i="7" s="1"/>
  <c r="U273" i="7"/>
  <c r="AB273" i="7" s="1"/>
  <c r="U312" i="7"/>
  <c r="AB312" i="7" s="1"/>
  <c r="U224" i="7"/>
  <c r="AB224" i="7" s="1"/>
  <c r="U289" i="7"/>
  <c r="AB289" i="7" s="1"/>
  <c r="U296" i="7"/>
  <c r="AB296" i="7" s="1"/>
  <c r="U203" i="7"/>
  <c r="AB203" i="7" s="1"/>
  <c r="U287" i="7"/>
  <c r="AB287" i="7" s="1"/>
  <c r="U212" i="7"/>
  <c r="U244" i="7"/>
  <c r="AB244" i="7" s="1"/>
  <c r="U253" i="7"/>
  <c r="AB253" i="7" s="1"/>
  <c r="U264" i="7"/>
  <c r="AB264" i="7" s="1"/>
  <c r="U270" i="7"/>
  <c r="AB270" i="7" s="1"/>
  <c r="U247" i="7"/>
  <c r="AB247" i="7" s="1"/>
  <c r="U228" i="7"/>
  <c r="AB228" i="7" s="1"/>
  <c r="U363" i="7"/>
  <c r="AB363" i="7" s="1"/>
  <c r="U315" i="7"/>
  <c r="AB315" i="7" s="1"/>
  <c r="U335" i="7"/>
  <c r="AB335" i="7" s="1"/>
  <c r="U202" i="7"/>
  <c r="AB202" i="7" s="1"/>
  <c r="U229" i="7"/>
  <c r="AB229" i="7" s="1"/>
  <c r="U217" i="7"/>
  <c r="AB217" i="7" s="1"/>
  <c r="U237" i="7"/>
  <c r="AB237" i="7" s="1"/>
  <c r="U280" i="7"/>
  <c r="AB280" i="7" s="1"/>
  <c r="U284" i="7"/>
  <c r="AB284" i="7" s="1"/>
  <c r="U195" i="7"/>
  <c r="U300" i="7"/>
  <c r="AB300" i="7" s="1"/>
  <c r="U305" i="7"/>
  <c r="AB305" i="7" s="1"/>
  <c r="U267" i="7"/>
  <c r="AB267" i="7" s="1"/>
  <c r="U242" i="7"/>
  <c r="AB242" i="7" s="1"/>
  <c r="U365" i="7"/>
  <c r="AB365" i="7" s="1"/>
  <c r="U317" i="7"/>
  <c r="AB317" i="7" s="1"/>
  <c r="U324" i="7"/>
  <c r="U309" i="7"/>
  <c r="AB309" i="7" s="1"/>
  <c r="U232" i="7"/>
  <c r="AB232" i="7" s="1"/>
  <c r="U367" i="7"/>
  <c r="U286" i="7"/>
  <c r="AB286" i="7" s="1"/>
  <c r="U209" i="7"/>
  <c r="AB209" i="7" s="1"/>
  <c r="U197" i="7"/>
  <c r="AB197" i="7" s="1"/>
  <c r="U248" i="7"/>
  <c r="AB248" i="7" s="1"/>
  <c r="U325" i="7"/>
  <c r="AB325" i="7" s="1"/>
  <c r="U210" i="7"/>
  <c r="AB210" i="7" s="1"/>
  <c r="U220" i="7"/>
  <c r="AB220" i="7" s="1"/>
  <c r="U303" i="7"/>
  <c r="AB303" i="7" s="1"/>
  <c r="U216" i="7"/>
  <c r="AB216" i="7" s="1"/>
  <c r="U323" i="7"/>
  <c r="U326" i="7"/>
  <c r="AB326" i="7" s="1"/>
  <c r="U274" i="7"/>
  <c r="AB274" i="7" s="1"/>
  <c r="U205" i="7"/>
  <c r="AB205" i="7" s="1"/>
  <c r="U194" i="7"/>
  <c r="AB194" i="7" s="1"/>
  <c r="U356" i="7"/>
  <c r="AB356" i="7" s="1"/>
  <c r="U265" i="7"/>
  <c r="AB265" i="7" s="1"/>
  <c r="U342" i="7"/>
  <c r="AB342" i="7" s="1"/>
  <c r="U347" i="7"/>
  <c r="AB347" i="7" s="1"/>
  <c r="U250" i="7"/>
  <c r="AB250" i="7" s="1"/>
  <c r="U198" i="7"/>
  <c r="AB198" i="7" s="1"/>
  <c r="U306" i="7"/>
  <c r="AB306" i="7" s="1"/>
  <c r="U261" i="7"/>
  <c r="AB261" i="7" s="1"/>
  <c r="U196" i="7"/>
  <c r="U336" i="7"/>
  <c r="AB336" i="7" s="1"/>
  <c r="U213" i="7"/>
  <c r="AB213" i="7" s="1"/>
  <c r="U263" i="7"/>
  <c r="AB263" i="7" s="1"/>
  <c r="U243" i="7"/>
  <c r="AB243" i="7" s="1"/>
  <c r="U277" i="7"/>
  <c r="AB277" i="7" s="1"/>
  <c r="U201" i="7"/>
  <c r="AB201" i="7" s="1"/>
  <c r="U293" i="7"/>
  <c r="AB293" i="7" s="1"/>
  <c r="U227" i="7"/>
  <c r="AB227" i="7" s="1"/>
  <c r="U298" i="7"/>
  <c r="AB298" i="7" s="1"/>
  <c r="U257" i="7"/>
  <c r="AB257" i="7" s="1"/>
  <c r="U302" i="7"/>
  <c r="AB302" i="7" s="1"/>
  <c r="U354" i="7"/>
  <c r="AB354" i="7" s="1"/>
  <c r="U269" i="7"/>
  <c r="U206" i="7"/>
  <c r="AB206" i="7" s="1"/>
  <c r="U308" i="7"/>
  <c r="AB308" i="7" s="1"/>
  <c r="U218" i="7"/>
  <c r="AB218" i="7" s="1"/>
  <c r="U254" i="7"/>
  <c r="AB254" i="7" s="1"/>
  <c r="U200" i="7"/>
  <c r="AB200" i="7" s="1"/>
  <c r="U297" i="7"/>
  <c r="AB297" i="7" s="1"/>
  <c r="U221" i="7"/>
  <c r="AB221" i="7" s="1"/>
  <c r="U299" i="7"/>
  <c r="AB299" i="7" s="1"/>
  <c r="U236" i="7"/>
  <c r="U252" i="7"/>
  <c r="AB252" i="7" s="1"/>
  <c r="U238" i="7"/>
  <c r="U245" i="7"/>
  <c r="AB245" i="7" s="1"/>
  <c r="U240" i="7"/>
  <c r="AB240" i="7" s="1"/>
  <c r="U268" i="7"/>
  <c r="U322" i="7"/>
  <c r="AB322" i="7" s="1"/>
  <c r="U294" i="7"/>
  <c r="AB294" i="7" s="1"/>
  <c r="U353" i="7"/>
  <c r="AB353" i="7" s="1"/>
  <c r="U226" i="7"/>
  <c r="AB226" i="7" s="1"/>
  <c r="U207" i="7"/>
  <c r="AB207" i="7" s="1"/>
  <c r="U350" i="7"/>
  <c r="AB350" i="7" s="1"/>
  <c r="U233" i="7"/>
  <c r="AB233" i="7" s="1"/>
  <c r="U328" i="7"/>
  <c r="AB328" i="7" s="1"/>
  <c r="U208" i="7"/>
  <c r="AB208" i="7" s="1"/>
  <c r="U251" i="7"/>
  <c r="AB251" i="7" s="1"/>
  <c r="U234" i="7"/>
  <c r="AB234" i="7" s="1"/>
  <c r="U271" i="7"/>
  <c r="AB271" i="7" s="1"/>
  <c r="U214" i="7"/>
  <c r="AB214" i="7" s="1"/>
  <c r="U199" i="7"/>
  <c r="AB199" i="7" s="1"/>
  <c r="U321" i="7"/>
  <c r="AB321" i="7" s="1"/>
  <c r="U266" i="7"/>
  <c r="AB266" i="7" s="1"/>
  <c r="U241" i="7"/>
  <c r="AB241" i="7" s="1"/>
  <c r="U255" i="7"/>
  <c r="AB255" i="7" s="1"/>
  <c r="U259" i="7"/>
  <c r="AB259" i="7" s="1"/>
  <c r="U344" i="7"/>
  <c r="AB344" i="7" s="1"/>
  <c r="U58" i="7"/>
  <c r="AB58" i="7" s="1"/>
  <c r="U157" i="7"/>
  <c r="AB157" i="7" s="1"/>
  <c r="U52" i="7"/>
  <c r="AB52" i="7" s="1"/>
  <c r="U169" i="7"/>
  <c r="AB169" i="7" s="1"/>
  <c r="U31" i="7"/>
  <c r="U15" i="7"/>
  <c r="AB15" i="7" s="1"/>
  <c r="U182" i="7"/>
  <c r="AB182" i="7" s="1"/>
  <c r="U59" i="7"/>
  <c r="AB59" i="7" s="1"/>
  <c r="U162" i="7"/>
  <c r="AB162" i="7" s="1"/>
  <c r="U44" i="7"/>
  <c r="AB44" i="7" s="1"/>
  <c r="U144" i="7"/>
  <c r="AB144" i="7" s="1"/>
  <c r="U87" i="7"/>
  <c r="AB87" i="7" s="1"/>
  <c r="U89" i="7"/>
  <c r="AB89" i="7" s="1"/>
  <c r="U34" i="7"/>
  <c r="AB34" i="7" s="1"/>
  <c r="U142" i="7"/>
  <c r="AB142" i="7" s="1"/>
  <c r="U179" i="7"/>
  <c r="AB179" i="7" s="1"/>
  <c r="U183" i="7"/>
  <c r="AB183" i="7" s="1"/>
  <c r="U170" i="7"/>
  <c r="U187" i="7"/>
  <c r="AB187" i="7" s="1"/>
  <c r="U191" i="7"/>
  <c r="AB191" i="7" s="1"/>
  <c r="U45" i="7"/>
  <c r="AB45" i="7" s="1"/>
  <c r="U154" i="7"/>
  <c r="AB154" i="7" s="1"/>
  <c r="U42" i="7"/>
  <c r="U12" i="7"/>
  <c r="AB12" i="7" s="1"/>
  <c r="U93" i="7"/>
  <c r="AB93" i="7" s="1"/>
  <c r="U110" i="7"/>
  <c r="AB110" i="7" s="1"/>
  <c r="U47" i="7"/>
  <c r="AB47" i="7" s="1"/>
  <c r="U85" i="7"/>
  <c r="AB85" i="7" s="1"/>
  <c r="U123" i="7"/>
  <c r="AB123" i="7" s="1"/>
  <c r="U113" i="7"/>
  <c r="U97" i="7"/>
  <c r="AB97" i="7" s="1"/>
  <c r="U36" i="7"/>
  <c r="AB36" i="7" s="1"/>
  <c r="U143" i="7"/>
  <c r="AB143" i="7" s="1"/>
  <c r="U181" i="7"/>
  <c r="AB181" i="7" s="1"/>
  <c r="U35" i="7"/>
  <c r="AB35" i="7" s="1"/>
  <c r="U67" i="7"/>
  <c r="AB67" i="7" s="1"/>
  <c r="U94" i="7"/>
  <c r="AB94" i="7" s="1"/>
  <c r="U49" i="7"/>
  <c r="AB49" i="7" s="1"/>
  <c r="U71" i="7"/>
  <c r="AB71" i="7" s="1"/>
  <c r="U174" i="7"/>
  <c r="AB174" i="7" s="1"/>
  <c r="U184" i="7"/>
  <c r="AB184" i="7" s="1"/>
  <c r="U146" i="7"/>
  <c r="AB146" i="7" s="1"/>
  <c r="U11" i="7"/>
  <c r="AB11" i="7" s="1"/>
  <c r="U127" i="7"/>
  <c r="AB127" i="7" s="1"/>
  <c r="U147" i="7"/>
  <c r="AB147" i="7" s="1"/>
  <c r="U46" i="7"/>
  <c r="AB46" i="7" s="1"/>
  <c r="U22" i="7"/>
  <c r="AB22" i="7" s="1"/>
  <c r="U106" i="7"/>
  <c r="AB106" i="7" s="1"/>
  <c r="U135" i="7"/>
  <c r="AB135" i="7" s="1"/>
  <c r="U111" i="7"/>
  <c r="AB111" i="7" s="1"/>
  <c r="U167" i="7"/>
  <c r="AB167" i="7" s="1"/>
  <c r="U192" i="7"/>
  <c r="AB192" i="7" s="1"/>
  <c r="U72" i="7"/>
  <c r="AB72" i="7" s="1"/>
  <c r="U186" i="7"/>
  <c r="AB186" i="7" s="1"/>
  <c r="U21" i="7"/>
  <c r="AB21" i="7" s="1"/>
  <c r="U84" i="7"/>
  <c r="AB84" i="7" s="1"/>
  <c r="U18" i="7"/>
  <c r="AB18" i="7" s="1"/>
  <c r="U27" i="7"/>
  <c r="AB27" i="7" s="1"/>
  <c r="U164" i="7"/>
  <c r="AB164" i="7" s="1"/>
  <c r="U55" i="7"/>
  <c r="AB55" i="7" s="1"/>
  <c r="U130" i="7"/>
  <c r="U70" i="7"/>
  <c r="AB70" i="7" s="1"/>
  <c r="U117" i="7"/>
  <c r="AB117" i="7" s="1"/>
  <c r="U131" i="7"/>
  <c r="AB131" i="7" s="1"/>
  <c r="U112" i="7"/>
  <c r="AB112" i="7" s="1"/>
  <c r="U173" i="7"/>
  <c r="AB173" i="7" s="1"/>
  <c r="U190" i="7"/>
  <c r="AB190" i="7" s="1"/>
  <c r="U177" i="7"/>
  <c r="AB177" i="7" s="1"/>
  <c r="U65" i="7"/>
  <c r="AB65" i="7" s="1"/>
  <c r="U56" i="7"/>
  <c r="AB56" i="7" s="1"/>
  <c r="U100" i="7"/>
  <c r="AB100" i="7" s="1"/>
  <c r="U63" i="7"/>
  <c r="AB63" i="7" s="1"/>
  <c r="U88" i="7"/>
  <c r="AB88" i="7" s="1"/>
  <c r="U83" i="7"/>
  <c r="AB83" i="7" s="1"/>
  <c r="U151" i="7"/>
  <c r="AB151" i="7" s="1"/>
  <c r="U149" i="7"/>
  <c r="AB149" i="7" s="1"/>
  <c r="U171" i="7"/>
  <c r="AB171" i="7" s="1"/>
  <c r="U103" i="7"/>
  <c r="AB103" i="7" s="1"/>
  <c r="U118" i="7"/>
  <c r="AB118" i="7" s="1"/>
  <c r="U122" i="7"/>
  <c r="AB122" i="7" s="1"/>
  <c r="U165" i="7"/>
  <c r="AB165" i="7" s="1"/>
  <c r="U48" i="7"/>
  <c r="AB48" i="7" s="1"/>
  <c r="U193" i="7"/>
  <c r="AB193" i="7" s="1"/>
  <c r="U158" i="7"/>
  <c r="AB158" i="7" s="1"/>
  <c r="U37" i="7"/>
  <c r="AB37" i="7" s="1"/>
  <c r="U180" i="7"/>
  <c r="AB180" i="7" s="1"/>
  <c r="U29" i="7"/>
  <c r="AB29" i="7" s="1"/>
  <c r="U61" i="7"/>
  <c r="AB61" i="7" s="1"/>
  <c r="U102" i="7"/>
  <c r="AB102" i="7" s="1"/>
  <c r="U54" i="7"/>
  <c r="AB54" i="7" s="1"/>
  <c r="U81" i="7"/>
  <c r="AB81" i="7" s="1"/>
  <c r="U60" i="7"/>
  <c r="AB60" i="7" s="1"/>
  <c r="U76" i="7"/>
  <c r="AB76" i="7" s="1"/>
  <c r="U24" i="7"/>
  <c r="AB24" i="7" s="1"/>
  <c r="U20" i="7"/>
  <c r="AB20" i="7" s="1"/>
  <c r="U150" i="7"/>
  <c r="AB150" i="7" s="1"/>
  <c r="U28" i="7"/>
  <c r="AB28" i="7" s="1"/>
  <c r="U188" i="7"/>
  <c r="AB188" i="7" s="1"/>
  <c r="U74" i="7"/>
  <c r="AB74" i="7" s="1"/>
  <c r="U136" i="7"/>
  <c r="AB136" i="7" s="1"/>
  <c r="U62" i="7"/>
  <c r="AB62" i="7" s="1"/>
  <c r="U185" i="7"/>
  <c r="AB185" i="7" s="1"/>
  <c r="U178" i="7"/>
  <c r="AB178" i="7" s="1"/>
  <c r="U175" i="7"/>
  <c r="AB175" i="7" s="1"/>
  <c r="U82" i="7"/>
  <c r="AB82" i="7" s="1"/>
  <c r="U8" i="7"/>
  <c r="U129" i="7"/>
  <c r="AB129" i="7" s="1"/>
  <c r="U25" i="7"/>
  <c r="AB25" i="7" s="1"/>
  <c r="U69" i="7"/>
  <c r="AB69" i="7" s="1"/>
  <c r="U80" i="7"/>
  <c r="AB80" i="7" s="1"/>
  <c r="U160" i="7"/>
  <c r="AB160" i="7" s="1"/>
  <c r="U98" i="7"/>
  <c r="AB98" i="7" s="1"/>
  <c r="U105" i="7"/>
  <c r="AB105" i="7" s="1"/>
  <c r="U138" i="7"/>
  <c r="AB138" i="7" s="1"/>
  <c r="U159" i="7"/>
  <c r="AB159" i="7" s="1"/>
  <c r="U23" i="7"/>
  <c r="AB23" i="7" s="1"/>
  <c r="U161" i="7"/>
  <c r="AB161" i="7" s="1"/>
  <c r="U19" i="7"/>
  <c r="AB19" i="7" s="1"/>
  <c r="U189" i="7"/>
  <c r="AB189" i="7" s="1"/>
  <c r="U155" i="7"/>
  <c r="AB155" i="7" s="1"/>
  <c r="U114" i="7"/>
  <c r="AB114" i="7" s="1"/>
  <c r="U77" i="7"/>
  <c r="AB77" i="7" s="1"/>
  <c r="U17" i="7"/>
  <c r="AB17" i="7" s="1"/>
  <c r="U9" i="7"/>
  <c r="AB9" i="7" s="1"/>
  <c r="U153" i="7"/>
  <c r="AB153" i="7" s="1"/>
  <c r="U172" i="7"/>
  <c r="AB172" i="7" s="1"/>
  <c r="U13" i="7"/>
  <c r="AB13" i="7" s="1"/>
  <c r="U101" i="7"/>
  <c r="AB101" i="7" s="1"/>
  <c r="U64" i="7"/>
  <c r="AB64" i="7" s="1"/>
  <c r="U43" i="7"/>
  <c r="AB43" i="7" s="1"/>
  <c r="U104" i="7"/>
  <c r="AB104" i="7" s="1"/>
  <c r="U92" i="7"/>
  <c r="AB92" i="7" s="1"/>
  <c r="U132" i="7"/>
  <c r="AB132" i="7" s="1"/>
  <c r="U119" i="7"/>
  <c r="AB119" i="7" s="1"/>
  <c r="U176" i="7"/>
  <c r="AB176" i="7" s="1"/>
  <c r="U168" i="7"/>
  <c r="AB168" i="7" s="1"/>
  <c r="U148" i="7"/>
  <c r="AB148" i="7" s="1"/>
  <c r="U73" i="7"/>
  <c r="AB73" i="7" s="1"/>
  <c r="U10" i="7"/>
  <c r="AB10" i="7" s="1"/>
  <c r="U16" i="7"/>
  <c r="AB16" i="7" s="1"/>
  <c r="U99" i="7"/>
  <c r="AB99" i="7" s="1"/>
  <c r="U163" i="7"/>
  <c r="AB163" i="7" s="1"/>
  <c r="U95" i="7"/>
  <c r="AB95" i="7" s="1"/>
  <c r="U134" i="7"/>
  <c r="AB134" i="7" s="1"/>
  <c r="U125" i="7"/>
  <c r="AB125" i="7" s="1"/>
  <c r="U121" i="7"/>
  <c r="AB121" i="7" s="1"/>
  <c r="U78" i="7"/>
  <c r="AB78" i="7" s="1"/>
  <c r="U53" i="7"/>
  <c r="AB53" i="7" s="1"/>
  <c r="U66" i="7"/>
  <c r="AB66" i="7" s="1"/>
  <c r="U75" i="7"/>
  <c r="AB75" i="7" s="1"/>
  <c r="U51" i="7"/>
  <c r="AB51" i="7" s="1"/>
  <c r="U26" i="7"/>
  <c r="AB26" i="7" s="1"/>
  <c r="U14" i="7"/>
  <c r="AB14" i="7" s="1"/>
  <c r="U116" i="7"/>
  <c r="AB116" i="7" s="1"/>
  <c r="U109" i="7"/>
  <c r="AB109" i="7" s="1"/>
  <c r="U126" i="7"/>
  <c r="AB126" i="7" s="1"/>
  <c r="U4" i="7"/>
  <c r="AB4" i="7" s="1"/>
  <c r="U7" i="7"/>
  <c r="AB7" i="7" s="1"/>
  <c r="U40" i="7"/>
  <c r="AB40" i="7" s="1"/>
  <c r="U137" i="7"/>
  <c r="AB137" i="7" s="1"/>
  <c r="U124" i="7"/>
  <c r="AB124" i="7" s="1"/>
  <c r="U30" i="7"/>
  <c r="AB30" i="7" s="1"/>
  <c r="U141" i="7"/>
  <c r="AB141" i="7" s="1"/>
  <c r="U91" i="7"/>
  <c r="AB91" i="7" s="1"/>
  <c r="U2" i="7"/>
  <c r="AB2" i="7" s="1"/>
  <c r="U96" i="7"/>
  <c r="AB96" i="7" s="1"/>
  <c r="U133" i="7"/>
  <c r="AB133" i="7" s="1"/>
  <c r="U33" i="7"/>
  <c r="AB33" i="7" s="1"/>
  <c r="U6" i="7"/>
  <c r="AB6" i="7" s="1"/>
  <c r="U145" i="7"/>
  <c r="AB145" i="7" s="1"/>
  <c r="U57" i="7"/>
  <c r="AB57" i="7" s="1"/>
  <c r="U128" i="7"/>
  <c r="AB128" i="7" s="1"/>
  <c r="U139" i="7"/>
  <c r="AB139" i="7" s="1"/>
  <c r="U156" i="7"/>
  <c r="AB156" i="7" s="1"/>
  <c r="U3" i="7"/>
  <c r="AB3" i="7" s="1"/>
  <c r="U120" i="7"/>
  <c r="AB120" i="7" s="1"/>
  <c r="U32" i="7"/>
  <c r="AB32" i="7" s="1"/>
  <c r="U115" i="7"/>
  <c r="AB115" i="7" s="1"/>
  <c r="U90" i="7"/>
  <c r="AB90" i="7" s="1"/>
  <c r="U140" i="7"/>
  <c r="AB140" i="7" s="1"/>
  <c r="U38" i="7"/>
  <c r="AB38" i="7" s="1"/>
  <c r="U5" i="7"/>
  <c r="AB5" i="7" s="1"/>
  <c r="U152" i="7"/>
  <c r="AB152" i="7" s="1"/>
  <c r="U79" i="7"/>
  <c r="AB79" i="7" s="1"/>
  <c r="U107" i="7"/>
  <c r="AB107" i="7" s="1"/>
  <c r="U41" i="7"/>
  <c r="AB41" i="7" s="1"/>
  <c r="U50" i="7"/>
  <c r="AB50" i="7" s="1"/>
  <c r="U39" i="7"/>
  <c r="AB39" i="7" s="1"/>
  <c r="U108" i="7"/>
  <c r="AB108" i="7" s="1"/>
  <c r="U86" i="7"/>
  <c r="AB86" i="7" s="1"/>
  <c r="U166" i="7"/>
  <c r="AB166" i="7" s="1"/>
  <c r="U68" i="7"/>
  <c r="AB68" i="7" s="1"/>
  <c r="U304" i="7"/>
  <c r="AB304" i="7" s="1"/>
  <c r="C2" i="4"/>
  <c r="AC215" i="5"/>
  <c r="AB215" i="5"/>
  <c r="Z215" i="5"/>
  <c r="AD215" i="5" s="1"/>
  <c r="Y215" i="5"/>
  <c r="AA215" i="5" s="1"/>
  <c r="X215" i="5"/>
  <c r="AC214" i="5"/>
  <c r="AB214" i="5"/>
  <c r="Z214" i="5"/>
  <c r="Y214" i="5"/>
  <c r="X214" i="5"/>
  <c r="AC213" i="5"/>
  <c r="AB213" i="5"/>
  <c r="Z213" i="5"/>
  <c r="Y213" i="5"/>
  <c r="AA213" i="5" s="1"/>
  <c r="X213" i="5"/>
  <c r="AD212" i="5"/>
  <c r="AC212" i="5"/>
  <c r="AB212" i="5"/>
  <c r="Z212" i="5"/>
  <c r="Y212" i="5"/>
  <c r="AA212" i="5" s="1"/>
  <c r="X212" i="5"/>
  <c r="AC211" i="5"/>
  <c r="AB211" i="5"/>
  <c r="Z211" i="5"/>
  <c r="Y211" i="5"/>
  <c r="AA211" i="5" s="1"/>
  <c r="X211" i="5"/>
  <c r="AD210" i="5"/>
  <c r="AC210" i="5"/>
  <c r="AB210" i="5"/>
  <c r="Z210" i="5"/>
  <c r="Y210" i="5"/>
  <c r="AA210" i="5" s="1"/>
  <c r="X210" i="5"/>
  <c r="AD209" i="5"/>
  <c r="AC209" i="5"/>
  <c r="AB209" i="5"/>
  <c r="Z209" i="5"/>
  <c r="Y209" i="5"/>
  <c r="AA209" i="5" s="1"/>
  <c r="X209" i="5"/>
  <c r="AC208" i="5"/>
  <c r="AB208" i="5"/>
  <c r="Z208" i="5"/>
  <c r="Y208" i="5"/>
  <c r="AA208" i="5" s="1"/>
  <c r="X208" i="5"/>
  <c r="AD207" i="5"/>
  <c r="AC207" i="5"/>
  <c r="AB207" i="5"/>
  <c r="Z207" i="5"/>
  <c r="Y207" i="5"/>
  <c r="AA207" i="5" s="1"/>
  <c r="X207" i="5"/>
  <c r="AC206" i="5"/>
  <c r="AB206" i="5"/>
  <c r="Z206" i="5"/>
  <c r="Y206" i="5"/>
  <c r="X206" i="5"/>
  <c r="AC205" i="5"/>
  <c r="AB205" i="5"/>
  <c r="Z205" i="5"/>
  <c r="AD205" i="5" s="1"/>
  <c r="Y205" i="5"/>
  <c r="X205" i="5"/>
  <c r="AC204" i="5"/>
  <c r="AB204" i="5"/>
  <c r="Z204" i="5"/>
  <c r="AD204" i="5" s="1"/>
  <c r="Y204" i="5"/>
  <c r="X204" i="5"/>
  <c r="AC203" i="5"/>
  <c r="AB203" i="5"/>
  <c r="Z203" i="5"/>
  <c r="Y203" i="5"/>
  <c r="AA203" i="5" s="1"/>
  <c r="X203" i="5"/>
  <c r="AC202" i="5"/>
  <c r="AB202" i="5"/>
  <c r="Z202" i="5"/>
  <c r="Y202" i="5"/>
  <c r="X202" i="5"/>
  <c r="AC201" i="5"/>
  <c r="AB201" i="5"/>
  <c r="Z201" i="5"/>
  <c r="AD201" i="5" s="1"/>
  <c r="Y201" i="5"/>
  <c r="AA201" i="5" s="1"/>
  <c r="X201" i="5"/>
  <c r="AD200" i="5"/>
  <c r="AC200" i="5"/>
  <c r="AB200" i="5"/>
  <c r="Z200" i="5"/>
  <c r="Y200" i="5"/>
  <c r="AA200" i="5" s="1"/>
  <c r="X200" i="5"/>
  <c r="AC199" i="5"/>
  <c r="AB199" i="5"/>
  <c r="Z199" i="5"/>
  <c r="Y199" i="5"/>
  <c r="AA199" i="5" s="1"/>
  <c r="X199" i="5"/>
  <c r="AD198" i="5"/>
  <c r="AC198" i="5"/>
  <c r="AB198" i="5"/>
  <c r="Z198" i="5"/>
  <c r="Y198" i="5"/>
  <c r="X198" i="5"/>
  <c r="AC197" i="5"/>
  <c r="AB197" i="5"/>
  <c r="Z197" i="5"/>
  <c r="AD197" i="5" s="1"/>
  <c r="Y197" i="5"/>
  <c r="AA197" i="5" s="1"/>
  <c r="X197" i="5"/>
  <c r="AC196" i="5"/>
  <c r="AB196" i="5"/>
  <c r="Z196" i="5"/>
  <c r="Y196" i="5"/>
  <c r="AA196" i="5" s="1"/>
  <c r="X196" i="5"/>
  <c r="AC195" i="5"/>
  <c r="AB195" i="5"/>
  <c r="Z195" i="5"/>
  <c r="AD195" i="5" s="1"/>
  <c r="Y195" i="5"/>
  <c r="AA195" i="5" s="1"/>
  <c r="X195" i="5"/>
  <c r="AC194" i="5"/>
  <c r="AB194" i="5"/>
  <c r="Z194" i="5"/>
  <c r="Y194" i="5"/>
  <c r="AA194" i="5" s="1"/>
  <c r="X194" i="5"/>
  <c r="AC193" i="5"/>
  <c r="AB193" i="5"/>
  <c r="Z193" i="5"/>
  <c r="Y193" i="5"/>
  <c r="AA193" i="5" s="1"/>
  <c r="X193" i="5"/>
  <c r="AC192" i="5"/>
  <c r="AB192" i="5"/>
  <c r="AA192" i="5"/>
  <c r="Z192" i="5"/>
  <c r="AD192" i="5" s="1"/>
  <c r="Y192" i="5"/>
  <c r="X192" i="5"/>
  <c r="AC191" i="5"/>
  <c r="AB191" i="5"/>
  <c r="Z191" i="5"/>
  <c r="AD191" i="5" s="1"/>
  <c r="Y191" i="5"/>
  <c r="X191" i="5"/>
  <c r="AC190" i="5"/>
  <c r="AB190" i="5"/>
  <c r="Z190" i="5"/>
  <c r="Y190" i="5"/>
  <c r="X190" i="5"/>
  <c r="AC189" i="5"/>
  <c r="AB189" i="5"/>
  <c r="Z189" i="5"/>
  <c r="Y189" i="5"/>
  <c r="AA189" i="5" s="1"/>
  <c r="X189" i="5"/>
  <c r="AC188" i="5"/>
  <c r="AB188" i="5"/>
  <c r="Z188" i="5"/>
  <c r="AD188" i="5" s="1"/>
  <c r="Y188" i="5"/>
  <c r="X188" i="5"/>
  <c r="AC187" i="5"/>
  <c r="AB187" i="5"/>
  <c r="Z187" i="5"/>
  <c r="Y187" i="5"/>
  <c r="AA187" i="5" s="1"/>
  <c r="X187" i="5"/>
  <c r="AC186" i="5"/>
  <c r="AB186" i="5"/>
  <c r="Z186" i="5"/>
  <c r="AD186" i="5" s="1"/>
  <c r="Y186" i="5"/>
  <c r="AA186" i="5" s="1"/>
  <c r="X186" i="5"/>
  <c r="AD185" i="5"/>
  <c r="AC185" i="5"/>
  <c r="AB185" i="5"/>
  <c r="Z185" i="5"/>
  <c r="Y185" i="5"/>
  <c r="AA185" i="5" s="1"/>
  <c r="X185" i="5"/>
  <c r="AC184" i="5"/>
  <c r="AB184" i="5"/>
  <c r="Z184" i="5"/>
  <c r="AD184" i="5" s="1"/>
  <c r="Y184" i="5"/>
  <c r="AA184" i="5" s="1"/>
  <c r="X184" i="5"/>
  <c r="AD183" i="5"/>
  <c r="AC183" i="5"/>
  <c r="AB183" i="5"/>
  <c r="Z183" i="5"/>
  <c r="Y183" i="5"/>
  <c r="AA183" i="5" s="1"/>
  <c r="X183" i="5"/>
  <c r="AC182" i="5"/>
  <c r="AB182" i="5"/>
  <c r="Z182" i="5"/>
  <c r="AD182" i="5" s="1"/>
  <c r="Y182" i="5"/>
  <c r="AA182" i="5" s="1"/>
  <c r="X182" i="5"/>
  <c r="AC181" i="5"/>
  <c r="AB181" i="5"/>
  <c r="Z181" i="5"/>
  <c r="Y181" i="5"/>
  <c r="AA181" i="5" s="1"/>
  <c r="X181" i="5"/>
  <c r="AC180" i="5"/>
  <c r="AB180" i="5"/>
  <c r="Z180" i="5"/>
  <c r="Y180" i="5"/>
  <c r="AA180" i="5" s="1"/>
  <c r="X180" i="5"/>
  <c r="AC179" i="5"/>
  <c r="AB179" i="5"/>
  <c r="Z179" i="5"/>
  <c r="AD179" i="5" s="1"/>
  <c r="Y179" i="5"/>
  <c r="X179" i="5"/>
  <c r="AC178" i="5"/>
  <c r="AB178" i="5"/>
  <c r="Z178" i="5"/>
  <c r="Y178" i="5"/>
  <c r="X178" i="5"/>
  <c r="AC177" i="5"/>
  <c r="AB177" i="5"/>
  <c r="Z177" i="5"/>
  <c r="AD177" i="5" s="1"/>
  <c r="Y177" i="5"/>
  <c r="X177" i="5"/>
  <c r="AC176" i="5"/>
  <c r="AB176" i="5"/>
  <c r="Z176" i="5"/>
  <c r="AD176" i="5" s="1"/>
  <c r="Y176" i="5"/>
  <c r="X176" i="5"/>
  <c r="AC175" i="5"/>
  <c r="AB175" i="5"/>
  <c r="Z175" i="5"/>
  <c r="Y175" i="5"/>
  <c r="AA175" i="5" s="1"/>
  <c r="X175" i="5"/>
  <c r="AC174" i="5"/>
  <c r="AB174" i="5"/>
  <c r="Z174" i="5"/>
  <c r="AD174" i="5" s="1"/>
  <c r="Y174" i="5"/>
  <c r="AA174" i="5" s="1"/>
  <c r="X174" i="5"/>
  <c r="AC173" i="5"/>
  <c r="AB173" i="5"/>
  <c r="Z173" i="5"/>
  <c r="AD173" i="5" s="1"/>
  <c r="Y173" i="5"/>
  <c r="AA173" i="5" s="1"/>
  <c r="X173" i="5"/>
  <c r="AC172" i="5"/>
  <c r="AB172" i="5"/>
  <c r="Z172" i="5"/>
  <c r="Y172" i="5"/>
  <c r="AA172" i="5" s="1"/>
  <c r="X172" i="5"/>
  <c r="AC171" i="5"/>
  <c r="AB171" i="5"/>
  <c r="Z171" i="5"/>
  <c r="AD171" i="5" s="1"/>
  <c r="Y171" i="5"/>
  <c r="AA171" i="5" s="1"/>
  <c r="X171" i="5"/>
  <c r="AC170" i="5"/>
  <c r="AB170" i="5"/>
  <c r="Z170" i="5"/>
  <c r="AD170" i="5" s="1"/>
  <c r="Y170" i="5"/>
  <c r="AA170" i="5" s="1"/>
  <c r="X170" i="5"/>
  <c r="AC169" i="5"/>
  <c r="AB169" i="5"/>
  <c r="Z169" i="5"/>
  <c r="AD169" i="5" s="1"/>
  <c r="Y169" i="5"/>
  <c r="X169" i="5"/>
  <c r="AC168" i="5"/>
  <c r="AB168" i="5"/>
  <c r="Z168" i="5"/>
  <c r="Y168" i="5"/>
  <c r="AA168" i="5" s="1"/>
  <c r="X168" i="5"/>
  <c r="AC167" i="5"/>
  <c r="AB167" i="5"/>
  <c r="Z167" i="5"/>
  <c r="AD167" i="5" s="1"/>
  <c r="Y167" i="5"/>
  <c r="AA167" i="5" s="1"/>
  <c r="X167" i="5"/>
  <c r="AC166" i="5"/>
  <c r="AB166" i="5"/>
  <c r="Z166" i="5"/>
  <c r="Y166" i="5"/>
  <c r="X166" i="5"/>
  <c r="AC165" i="5"/>
  <c r="AB165" i="5"/>
  <c r="Z165" i="5"/>
  <c r="Y165" i="5"/>
  <c r="AA165" i="5" s="1"/>
  <c r="X165" i="5"/>
  <c r="AD164" i="5"/>
  <c r="AC164" i="5"/>
  <c r="AB164" i="5"/>
  <c r="Z164" i="5"/>
  <c r="Y164" i="5"/>
  <c r="X164" i="5"/>
  <c r="AC163" i="5"/>
  <c r="AB163" i="5"/>
  <c r="Z163" i="5"/>
  <c r="AD163" i="5" s="1"/>
  <c r="Y163" i="5"/>
  <c r="X163" i="5"/>
  <c r="AC162" i="5"/>
  <c r="AB162" i="5"/>
  <c r="Z162" i="5"/>
  <c r="AD162" i="5" s="1"/>
  <c r="Y162" i="5"/>
  <c r="AA162" i="5" s="1"/>
  <c r="X162" i="5"/>
  <c r="AC161" i="5"/>
  <c r="AB161" i="5"/>
  <c r="Z161" i="5"/>
  <c r="AD161" i="5" s="1"/>
  <c r="Y161" i="5"/>
  <c r="X161" i="5"/>
  <c r="AC160" i="5"/>
  <c r="AB160" i="5"/>
  <c r="Z160" i="5"/>
  <c r="Y160" i="5"/>
  <c r="AA160" i="5" s="1"/>
  <c r="X160" i="5"/>
  <c r="AC159" i="5"/>
  <c r="AB159" i="5"/>
  <c r="Z159" i="5"/>
  <c r="AD159" i="5" s="1"/>
  <c r="Y159" i="5"/>
  <c r="AA159" i="5" s="1"/>
  <c r="X159" i="5"/>
  <c r="AC158" i="5"/>
  <c r="AB158" i="5"/>
  <c r="Z158" i="5"/>
  <c r="Y158" i="5"/>
  <c r="AA158" i="5" s="1"/>
  <c r="X158" i="5"/>
  <c r="AC157" i="5"/>
  <c r="AB157" i="5"/>
  <c r="Z157" i="5"/>
  <c r="Y157" i="5"/>
  <c r="AA157" i="5" s="1"/>
  <c r="X157" i="5"/>
  <c r="AC156" i="5"/>
  <c r="AB156" i="5"/>
  <c r="Z156" i="5"/>
  <c r="AD156" i="5" s="1"/>
  <c r="Y156" i="5"/>
  <c r="X156" i="5"/>
  <c r="AC155" i="5"/>
  <c r="AB155" i="5"/>
  <c r="Z155" i="5"/>
  <c r="Y155" i="5"/>
  <c r="AA155" i="5" s="1"/>
  <c r="X155" i="5"/>
  <c r="AC154" i="5"/>
  <c r="AB154" i="5"/>
  <c r="Z154" i="5"/>
  <c r="Y154" i="5"/>
  <c r="X154" i="5"/>
  <c r="AC153" i="5"/>
  <c r="AB153" i="5"/>
  <c r="Z153" i="5"/>
  <c r="AD153" i="5" s="1"/>
  <c r="Y153" i="5"/>
  <c r="X153" i="5"/>
  <c r="AC152" i="5"/>
  <c r="AB152" i="5"/>
  <c r="Z152" i="5"/>
  <c r="AD152" i="5" s="1"/>
  <c r="Y152" i="5"/>
  <c r="X152" i="5"/>
  <c r="AC151" i="5"/>
  <c r="AB151" i="5"/>
  <c r="Z151" i="5"/>
  <c r="AD151" i="5" s="1"/>
  <c r="Y151" i="5"/>
  <c r="AA151" i="5" s="1"/>
  <c r="X151" i="5"/>
  <c r="AC150" i="5"/>
  <c r="AB150" i="5"/>
  <c r="Z150" i="5"/>
  <c r="AD150" i="5" s="1"/>
  <c r="Y150" i="5"/>
  <c r="X150" i="5"/>
  <c r="AC149" i="5"/>
  <c r="AB149" i="5"/>
  <c r="Z149" i="5"/>
  <c r="AD149" i="5" s="1"/>
  <c r="Y149" i="5"/>
  <c r="AA149" i="5" s="1"/>
  <c r="X149" i="5"/>
  <c r="AC148" i="5"/>
  <c r="AB148" i="5"/>
  <c r="Z148" i="5"/>
  <c r="Y148" i="5"/>
  <c r="AA148" i="5" s="1"/>
  <c r="X148" i="5"/>
  <c r="AC147" i="5"/>
  <c r="AB147" i="5"/>
  <c r="Z147" i="5"/>
  <c r="AD147" i="5" s="1"/>
  <c r="Y147" i="5"/>
  <c r="AA147" i="5" s="1"/>
  <c r="X147" i="5"/>
  <c r="AC146" i="5"/>
  <c r="AB146" i="5"/>
  <c r="Z146" i="5"/>
  <c r="Y146" i="5"/>
  <c r="AA146" i="5" s="1"/>
  <c r="X146" i="5"/>
  <c r="AC145" i="5"/>
  <c r="AB145" i="5"/>
  <c r="Z145" i="5"/>
  <c r="AD145" i="5" s="1"/>
  <c r="Y145" i="5"/>
  <c r="X145" i="5"/>
  <c r="AC144" i="5"/>
  <c r="AB144" i="5"/>
  <c r="Z144" i="5"/>
  <c r="Y144" i="5"/>
  <c r="AA144" i="5" s="1"/>
  <c r="X144" i="5"/>
  <c r="AC143" i="5"/>
  <c r="AB143" i="5"/>
  <c r="Z143" i="5"/>
  <c r="AD143" i="5" s="1"/>
  <c r="Y143" i="5"/>
  <c r="AA143" i="5" s="1"/>
  <c r="X143" i="5"/>
  <c r="AC142" i="5"/>
  <c r="AB142" i="5"/>
  <c r="Z142" i="5"/>
  <c r="Y142" i="5"/>
  <c r="X142" i="5"/>
  <c r="AC141" i="5"/>
  <c r="AB141" i="5"/>
  <c r="Z141" i="5"/>
  <c r="Y141" i="5"/>
  <c r="X141" i="5"/>
  <c r="AD140" i="5"/>
  <c r="AC140" i="5"/>
  <c r="AB140" i="5"/>
  <c r="Z140" i="5"/>
  <c r="Y140" i="5"/>
  <c r="X140" i="5"/>
  <c r="AC139" i="5"/>
  <c r="AB139" i="5"/>
  <c r="Z139" i="5"/>
  <c r="AD139" i="5" s="1"/>
  <c r="Y139" i="5"/>
  <c r="X139" i="5"/>
  <c r="AC138" i="5"/>
  <c r="AB138" i="5"/>
  <c r="Z138" i="5"/>
  <c r="AD138" i="5" s="1"/>
  <c r="Y138" i="5"/>
  <c r="AA138" i="5" s="1"/>
  <c r="X138" i="5"/>
  <c r="AC137" i="5"/>
  <c r="AB137" i="5"/>
  <c r="Z137" i="5"/>
  <c r="AD137" i="5" s="1"/>
  <c r="Y137" i="5"/>
  <c r="X137" i="5"/>
  <c r="AC136" i="5"/>
  <c r="AB136" i="5"/>
  <c r="Z136" i="5"/>
  <c r="Y136" i="5"/>
  <c r="AA136" i="5" s="1"/>
  <c r="X136" i="5"/>
  <c r="AC135" i="5"/>
  <c r="AB135" i="5"/>
  <c r="Z135" i="5"/>
  <c r="AD135" i="5" s="1"/>
  <c r="Y135" i="5"/>
  <c r="AA135" i="5" s="1"/>
  <c r="X135" i="5"/>
  <c r="AC134" i="5"/>
  <c r="AB134" i="5"/>
  <c r="Z134" i="5"/>
  <c r="Y134" i="5"/>
  <c r="AA134" i="5" s="1"/>
  <c r="X134" i="5"/>
  <c r="AC133" i="5"/>
  <c r="AB133" i="5"/>
  <c r="Z133" i="5"/>
  <c r="Y133" i="5"/>
  <c r="AA133" i="5" s="1"/>
  <c r="X133" i="5"/>
  <c r="AC132" i="5"/>
  <c r="AB132" i="5"/>
  <c r="Z132" i="5"/>
  <c r="AD132" i="5" s="1"/>
  <c r="Y132" i="5"/>
  <c r="X132" i="5"/>
  <c r="AC131" i="5"/>
  <c r="AB131" i="5"/>
  <c r="Z131" i="5"/>
  <c r="Y131" i="5"/>
  <c r="X131" i="5"/>
  <c r="AC130" i="5"/>
  <c r="AB130" i="5"/>
  <c r="Z130" i="5"/>
  <c r="Y130" i="5"/>
  <c r="X130" i="5"/>
  <c r="AC129" i="5"/>
  <c r="AB129" i="5"/>
  <c r="Z129" i="5"/>
  <c r="AD129" i="5" s="1"/>
  <c r="Y129" i="5"/>
  <c r="AA129" i="5" s="1"/>
  <c r="X129" i="5"/>
  <c r="AC128" i="5"/>
  <c r="AB128" i="5"/>
  <c r="Z128" i="5"/>
  <c r="AD128" i="5" s="1"/>
  <c r="Y128" i="5"/>
  <c r="X128" i="5"/>
  <c r="AC127" i="5"/>
  <c r="AB127" i="5"/>
  <c r="Z127" i="5"/>
  <c r="Y127" i="5"/>
  <c r="AA127" i="5" s="1"/>
  <c r="X127" i="5"/>
  <c r="AC126" i="5"/>
  <c r="AB126" i="5"/>
  <c r="Z126" i="5"/>
  <c r="AD126" i="5" s="1"/>
  <c r="Y126" i="5"/>
  <c r="AA126" i="5" s="1"/>
  <c r="X126" i="5"/>
  <c r="AC125" i="5"/>
  <c r="AB125" i="5"/>
  <c r="Z125" i="5"/>
  <c r="AD125" i="5" s="1"/>
  <c r="Y125" i="5"/>
  <c r="AA125" i="5" s="1"/>
  <c r="X125" i="5"/>
  <c r="AC124" i="5"/>
  <c r="AB124" i="5"/>
  <c r="Z124" i="5"/>
  <c r="Y124" i="5"/>
  <c r="AA124" i="5" s="1"/>
  <c r="X124" i="5"/>
  <c r="AC123" i="5"/>
  <c r="AB123" i="5"/>
  <c r="AA123" i="5"/>
  <c r="Z123" i="5"/>
  <c r="Y123" i="5"/>
  <c r="X123" i="5"/>
  <c r="AD123" i="5" s="1"/>
  <c r="AC122" i="5"/>
  <c r="AB122" i="5"/>
  <c r="Z122" i="5"/>
  <c r="Y122" i="5"/>
  <c r="AA122" i="5" s="1"/>
  <c r="X122" i="5"/>
  <c r="AC121" i="5"/>
  <c r="AB121" i="5"/>
  <c r="Z121" i="5"/>
  <c r="AD121" i="5" s="1"/>
  <c r="Y121" i="5"/>
  <c r="AA121" i="5" s="1"/>
  <c r="X121" i="5"/>
  <c r="AC120" i="5"/>
  <c r="AB120" i="5"/>
  <c r="Z120" i="5"/>
  <c r="Y120" i="5"/>
  <c r="AA120" i="5" s="1"/>
  <c r="X120" i="5"/>
  <c r="AC119" i="5"/>
  <c r="AB119" i="5"/>
  <c r="Z119" i="5"/>
  <c r="AD119" i="5" s="1"/>
  <c r="Y119" i="5"/>
  <c r="AA119" i="5" s="1"/>
  <c r="X119" i="5"/>
  <c r="AC118" i="5"/>
  <c r="AB118" i="5"/>
  <c r="Z118" i="5"/>
  <c r="Y118" i="5"/>
  <c r="X118" i="5"/>
  <c r="AC117" i="5"/>
  <c r="AB117" i="5"/>
  <c r="Z117" i="5"/>
  <c r="Y117" i="5"/>
  <c r="X117" i="5"/>
  <c r="AD116" i="5"/>
  <c r="AC116" i="5"/>
  <c r="AB116" i="5"/>
  <c r="Z116" i="5"/>
  <c r="Y116" i="5"/>
  <c r="X116" i="5"/>
  <c r="AC115" i="5"/>
  <c r="AB115" i="5"/>
  <c r="Z115" i="5"/>
  <c r="AD115" i="5" s="1"/>
  <c r="Y115" i="5"/>
  <c r="X115" i="5"/>
  <c r="AC114" i="5"/>
  <c r="AB114" i="5"/>
  <c r="Z114" i="5"/>
  <c r="AD114" i="5" s="1"/>
  <c r="Y114" i="5"/>
  <c r="X114" i="5"/>
  <c r="AC113" i="5"/>
  <c r="AB113" i="5"/>
  <c r="AA113" i="5"/>
  <c r="Z113" i="5"/>
  <c r="AD113" i="5" s="1"/>
  <c r="Y113" i="5"/>
  <c r="X113" i="5"/>
  <c r="AC112" i="5"/>
  <c r="AB112" i="5"/>
  <c r="Z112" i="5"/>
  <c r="AD112" i="5" s="1"/>
  <c r="Y112" i="5"/>
  <c r="AA112" i="5" s="1"/>
  <c r="X112" i="5"/>
  <c r="AC111" i="5"/>
  <c r="AB111" i="5"/>
  <c r="AA111" i="5"/>
  <c r="Z111" i="5"/>
  <c r="AD111" i="5" s="1"/>
  <c r="Y111" i="5"/>
  <c r="X111" i="5"/>
  <c r="AC110" i="5"/>
  <c r="AB110" i="5"/>
  <c r="Z110" i="5"/>
  <c r="AD110" i="5" s="1"/>
  <c r="Y110" i="5"/>
  <c r="AA110" i="5" s="1"/>
  <c r="X110" i="5"/>
  <c r="AC109" i="5"/>
  <c r="AB109" i="5"/>
  <c r="Z109" i="5"/>
  <c r="Y109" i="5"/>
  <c r="AA109" i="5" s="1"/>
  <c r="X109" i="5"/>
  <c r="AC108" i="5"/>
  <c r="AB108" i="5"/>
  <c r="AA108" i="5"/>
  <c r="Z108" i="5"/>
  <c r="Y108" i="5"/>
  <c r="X108" i="5"/>
  <c r="AC107" i="5"/>
  <c r="AB107" i="5"/>
  <c r="Z107" i="5"/>
  <c r="Y107" i="5"/>
  <c r="AA107" i="5" s="1"/>
  <c r="X107" i="5"/>
  <c r="AC106" i="5"/>
  <c r="AB106" i="5"/>
  <c r="Z106" i="5"/>
  <c r="AD106" i="5" s="1"/>
  <c r="Y106" i="5"/>
  <c r="X106" i="5"/>
  <c r="AC105" i="5"/>
  <c r="AB105" i="5"/>
  <c r="Z105" i="5"/>
  <c r="Y105" i="5"/>
  <c r="AA105" i="5" s="1"/>
  <c r="X105" i="5"/>
  <c r="AC104" i="5"/>
  <c r="AB104" i="5"/>
  <c r="Z104" i="5"/>
  <c r="Y104" i="5"/>
  <c r="AA104" i="5" s="1"/>
  <c r="X104" i="5"/>
  <c r="AD104" i="5" s="1"/>
  <c r="AC103" i="5"/>
  <c r="AB103" i="5"/>
  <c r="Z103" i="5"/>
  <c r="AD103" i="5" s="1"/>
  <c r="Y103" i="5"/>
  <c r="X103" i="5"/>
  <c r="AC102" i="5"/>
  <c r="AB102" i="5"/>
  <c r="Z102" i="5"/>
  <c r="AD102" i="5" s="1"/>
  <c r="Y102" i="5"/>
  <c r="X102" i="5"/>
  <c r="AD101" i="5"/>
  <c r="AC101" i="5"/>
  <c r="AB101" i="5"/>
  <c r="AA101" i="5"/>
  <c r="Z101" i="5"/>
  <c r="Y101" i="5"/>
  <c r="X101" i="5"/>
  <c r="AC100" i="5"/>
  <c r="AB100" i="5"/>
  <c r="Z100" i="5"/>
  <c r="Y100" i="5"/>
  <c r="X100" i="5"/>
  <c r="AD99" i="5"/>
  <c r="AC99" i="5"/>
  <c r="AB99" i="5"/>
  <c r="AA99" i="5"/>
  <c r="Z99" i="5"/>
  <c r="Y99" i="5"/>
  <c r="X99" i="5"/>
  <c r="AC98" i="5"/>
  <c r="AB98" i="5"/>
  <c r="Z98" i="5"/>
  <c r="Y98" i="5"/>
  <c r="X98" i="5"/>
  <c r="AC97" i="5"/>
  <c r="AB97" i="5"/>
  <c r="Z97" i="5"/>
  <c r="AD97" i="5" s="1"/>
  <c r="Y97" i="5"/>
  <c r="AA97" i="5" s="1"/>
  <c r="X97" i="5"/>
  <c r="AC96" i="5"/>
  <c r="AB96" i="5"/>
  <c r="Z96" i="5"/>
  <c r="Y96" i="5"/>
  <c r="X96" i="5"/>
  <c r="AC95" i="5"/>
  <c r="AB95" i="5"/>
  <c r="Z95" i="5"/>
  <c r="AD95" i="5" s="1"/>
  <c r="Y95" i="5"/>
  <c r="X95" i="5"/>
  <c r="AC94" i="5"/>
  <c r="AB94" i="5"/>
  <c r="Z94" i="5"/>
  <c r="Y94" i="5"/>
  <c r="X94" i="5"/>
  <c r="AC93" i="5"/>
  <c r="AB93" i="5"/>
  <c r="Z93" i="5"/>
  <c r="Y93" i="5"/>
  <c r="AA93" i="5" s="1"/>
  <c r="X93" i="5"/>
  <c r="AD92" i="5"/>
  <c r="AC92" i="5"/>
  <c r="AB92" i="5"/>
  <c r="Z92" i="5"/>
  <c r="Y92" i="5"/>
  <c r="AA92" i="5" s="1"/>
  <c r="X92" i="5"/>
  <c r="AC91" i="5"/>
  <c r="AB91" i="5"/>
  <c r="Z91" i="5"/>
  <c r="Y91" i="5"/>
  <c r="X91" i="5"/>
  <c r="AD90" i="5"/>
  <c r="AC90" i="5"/>
  <c r="AB90" i="5"/>
  <c r="Z90" i="5"/>
  <c r="Y90" i="5"/>
  <c r="X90" i="5"/>
  <c r="AC89" i="5"/>
  <c r="AB89" i="5"/>
  <c r="Z89" i="5"/>
  <c r="AD89" i="5" s="1"/>
  <c r="Y89" i="5"/>
  <c r="X89" i="5"/>
  <c r="AC88" i="5"/>
  <c r="AB88" i="5"/>
  <c r="Z88" i="5"/>
  <c r="AD88" i="5" s="1"/>
  <c r="Y88" i="5"/>
  <c r="AA88" i="5" s="1"/>
  <c r="X88" i="5"/>
  <c r="AC87" i="5"/>
  <c r="AB87" i="5"/>
  <c r="AA87" i="5"/>
  <c r="Z87" i="5"/>
  <c r="AD87" i="5" s="1"/>
  <c r="Y87" i="5"/>
  <c r="X87" i="5"/>
  <c r="AC86" i="5"/>
  <c r="AB86" i="5"/>
  <c r="Z86" i="5"/>
  <c r="AD86" i="5" s="1"/>
  <c r="Y86" i="5"/>
  <c r="AA86" i="5" s="1"/>
  <c r="X86" i="5"/>
  <c r="AC85" i="5"/>
  <c r="AB85" i="5"/>
  <c r="Z85" i="5"/>
  <c r="Y85" i="5"/>
  <c r="AA85" i="5" s="1"/>
  <c r="X85" i="5"/>
  <c r="AC84" i="5"/>
  <c r="AB84" i="5"/>
  <c r="AA84" i="5"/>
  <c r="Z84" i="5"/>
  <c r="Y84" i="5"/>
  <c r="X84" i="5"/>
  <c r="AC83" i="5"/>
  <c r="AB83" i="5"/>
  <c r="Z83" i="5"/>
  <c r="Y83" i="5"/>
  <c r="AA83" i="5" s="1"/>
  <c r="X83" i="5"/>
  <c r="AC82" i="5"/>
  <c r="AB82" i="5"/>
  <c r="Z82" i="5"/>
  <c r="AD82" i="5" s="1"/>
  <c r="Y82" i="5"/>
  <c r="X82" i="5"/>
  <c r="AC81" i="5"/>
  <c r="AB81" i="5"/>
  <c r="Z81" i="5"/>
  <c r="AD81" i="5" s="1"/>
  <c r="Y81" i="5"/>
  <c r="AA81" i="5" s="1"/>
  <c r="X81" i="5"/>
  <c r="AC80" i="5"/>
  <c r="AB80" i="5"/>
  <c r="Z80" i="5"/>
  <c r="Y80" i="5"/>
  <c r="AA80" i="5" s="1"/>
  <c r="X80" i="5"/>
  <c r="AC79" i="5"/>
  <c r="AB79" i="5"/>
  <c r="Z79" i="5"/>
  <c r="AD79" i="5" s="1"/>
  <c r="Y79" i="5"/>
  <c r="X79" i="5"/>
  <c r="AC78" i="5"/>
  <c r="AB78" i="5"/>
  <c r="Z78" i="5"/>
  <c r="AD78" i="5" s="1"/>
  <c r="Y78" i="5"/>
  <c r="AA78" i="5" s="1"/>
  <c r="X78" i="5"/>
  <c r="AD77" i="5"/>
  <c r="AC77" i="5"/>
  <c r="AB77" i="5"/>
  <c r="Z77" i="5"/>
  <c r="Y77" i="5"/>
  <c r="X77" i="5"/>
  <c r="AC76" i="5"/>
  <c r="AB76" i="5"/>
  <c r="Z76" i="5"/>
  <c r="AD76" i="5" s="1"/>
  <c r="Y76" i="5"/>
  <c r="X76" i="5"/>
  <c r="AC75" i="5"/>
  <c r="AB75" i="5"/>
  <c r="Z75" i="5"/>
  <c r="AD75" i="5" s="1"/>
  <c r="Y75" i="5"/>
  <c r="X75" i="5"/>
  <c r="AC74" i="5"/>
  <c r="AB74" i="5"/>
  <c r="Z74" i="5"/>
  <c r="AD74" i="5" s="1"/>
  <c r="Y74" i="5"/>
  <c r="X74" i="5"/>
  <c r="AC73" i="5"/>
  <c r="AB73" i="5"/>
  <c r="Z73" i="5"/>
  <c r="Y73" i="5"/>
  <c r="AA73" i="5" s="1"/>
  <c r="X73" i="5"/>
  <c r="AC72" i="5"/>
  <c r="AB72" i="5"/>
  <c r="Z72" i="5"/>
  <c r="Y72" i="5"/>
  <c r="AA72" i="5" s="1"/>
  <c r="X72" i="5"/>
  <c r="AC71" i="5"/>
  <c r="AB71" i="5"/>
  <c r="Z71" i="5"/>
  <c r="AD71" i="5" s="1"/>
  <c r="Y71" i="5"/>
  <c r="X71" i="5"/>
  <c r="AC70" i="5"/>
  <c r="AB70" i="5"/>
  <c r="Z70" i="5"/>
  <c r="Y70" i="5"/>
  <c r="X70" i="5"/>
  <c r="AC69" i="5"/>
  <c r="AB69" i="5"/>
  <c r="Z69" i="5"/>
  <c r="Y69" i="5"/>
  <c r="AA69" i="5" s="1"/>
  <c r="X69" i="5"/>
  <c r="AD68" i="5"/>
  <c r="AC68" i="5"/>
  <c r="AB68" i="5"/>
  <c r="Z68" i="5"/>
  <c r="Y68" i="5"/>
  <c r="X68" i="5"/>
  <c r="AC67" i="5"/>
  <c r="AB67" i="5"/>
  <c r="Z67" i="5"/>
  <c r="Y67" i="5"/>
  <c r="X67" i="5"/>
  <c r="AD66" i="5"/>
  <c r="AC66" i="5"/>
  <c r="AB66" i="5"/>
  <c r="Z66" i="5"/>
  <c r="Y66" i="5"/>
  <c r="X66" i="5"/>
  <c r="AC65" i="5"/>
  <c r="AB65" i="5"/>
  <c r="Z65" i="5"/>
  <c r="AD65" i="5" s="1"/>
  <c r="Y65" i="5"/>
  <c r="AA65" i="5" s="1"/>
  <c r="X65" i="5"/>
  <c r="AC64" i="5"/>
  <c r="AB64" i="5"/>
  <c r="Z64" i="5"/>
  <c r="AD64" i="5" s="1"/>
  <c r="Y64" i="5"/>
  <c r="X64" i="5"/>
  <c r="AC63" i="5"/>
  <c r="AB63" i="5"/>
  <c r="Z63" i="5"/>
  <c r="Y63" i="5"/>
  <c r="AA63" i="5" s="1"/>
  <c r="X63" i="5"/>
  <c r="AC62" i="5"/>
  <c r="AB62" i="5"/>
  <c r="Z62" i="5"/>
  <c r="AD62" i="5" s="1"/>
  <c r="Y62" i="5"/>
  <c r="X62" i="5"/>
  <c r="AC61" i="5"/>
  <c r="AB61" i="5"/>
  <c r="Z61" i="5"/>
  <c r="AD61" i="5" s="1"/>
  <c r="Y61" i="5"/>
  <c r="X61" i="5"/>
  <c r="AC60" i="5"/>
  <c r="AB60" i="5"/>
  <c r="Z60" i="5"/>
  <c r="Y60" i="5"/>
  <c r="X60" i="5"/>
  <c r="AC59" i="5"/>
  <c r="AB59" i="5"/>
  <c r="Z59" i="5"/>
  <c r="Y59" i="5"/>
  <c r="AA59" i="5" s="1"/>
  <c r="X59" i="5"/>
  <c r="AC58" i="5"/>
  <c r="AB58" i="5"/>
  <c r="Z58" i="5"/>
  <c r="AD58" i="5" s="1"/>
  <c r="Y58" i="5"/>
  <c r="X58" i="5"/>
  <c r="AC57" i="5"/>
  <c r="AB57" i="5"/>
  <c r="Z57" i="5"/>
  <c r="AD57" i="5" s="1"/>
  <c r="Y57" i="5"/>
  <c r="X57" i="5"/>
  <c r="AC56" i="5"/>
  <c r="AB56" i="5"/>
  <c r="Z56" i="5"/>
  <c r="AD56" i="5" s="1"/>
  <c r="Y56" i="5"/>
  <c r="AA56" i="5" s="1"/>
  <c r="X56" i="5"/>
  <c r="AC55" i="5"/>
  <c r="AB55" i="5"/>
  <c r="Z55" i="5"/>
  <c r="AD55" i="5" s="1"/>
  <c r="Y55" i="5"/>
  <c r="X55" i="5"/>
  <c r="AC54" i="5"/>
  <c r="AB54" i="5"/>
  <c r="Z54" i="5"/>
  <c r="AD54" i="5" s="1"/>
  <c r="Y54" i="5"/>
  <c r="X54" i="5"/>
  <c r="AD53" i="5"/>
  <c r="AC53" i="5"/>
  <c r="AB53" i="5"/>
  <c r="Z53" i="5"/>
  <c r="Y53" i="5"/>
  <c r="X53" i="5"/>
  <c r="AC52" i="5"/>
  <c r="AB52" i="5"/>
  <c r="Z52" i="5"/>
  <c r="AD52" i="5" s="1"/>
  <c r="Y52" i="5"/>
  <c r="X52" i="5"/>
  <c r="AC51" i="5"/>
  <c r="AB51" i="5"/>
  <c r="AA51" i="5"/>
  <c r="Z51" i="5"/>
  <c r="AD51" i="5" s="1"/>
  <c r="Y51" i="5"/>
  <c r="X51" i="5"/>
  <c r="AC50" i="5"/>
  <c r="AB50" i="5"/>
  <c r="Z50" i="5"/>
  <c r="AD50" i="5" s="1"/>
  <c r="Y50" i="5"/>
  <c r="X50" i="5"/>
  <c r="AC49" i="5"/>
  <c r="AB49" i="5"/>
  <c r="Z49" i="5"/>
  <c r="Y49" i="5"/>
  <c r="AA49" i="5" s="1"/>
  <c r="X49" i="5"/>
  <c r="AC48" i="5"/>
  <c r="AB48" i="5"/>
  <c r="Z48" i="5"/>
  <c r="Y48" i="5"/>
  <c r="AA48" i="5" s="1"/>
  <c r="X48" i="5"/>
  <c r="AC47" i="5"/>
  <c r="AB47" i="5"/>
  <c r="Z47" i="5"/>
  <c r="AD47" i="5" s="1"/>
  <c r="Y47" i="5"/>
  <c r="X47" i="5"/>
  <c r="AC46" i="5"/>
  <c r="AB46" i="5"/>
  <c r="Z46" i="5"/>
  <c r="Y46" i="5"/>
  <c r="X46" i="5"/>
  <c r="AC45" i="5"/>
  <c r="AB45" i="5"/>
  <c r="Z45" i="5"/>
  <c r="Y45" i="5"/>
  <c r="AA45" i="5" s="1"/>
  <c r="X45" i="5"/>
  <c r="AD44" i="5"/>
  <c r="AC44" i="5"/>
  <c r="AB44" i="5"/>
  <c r="Z44" i="5"/>
  <c r="Y44" i="5"/>
  <c r="X44" i="5"/>
  <c r="AC43" i="5"/>
  <c r="AB43" i="5"/>
  <c r="Z43" i="5"/>
  <c r="Y43" i="5"/>
  <c r="X43" i="5"/>
  <c r="AD42" i="5"/>
  <c r="AC42" i="5"/>
  <c r="AB42" i="5"/>
  <c r="Z42" i="5"/>
  <c r="Y42" i="5"/>
  <c r="X42" i="5"/>
  <c r="AC41" i="5"/>
  <c r="AB41" i="5"/>
  <c r="Z41" i="5"/>
  <c r="AD41" i="5" s="1"/>
  <c r="Y41" i="5"/>
  <c r="X41" i="5"/>
  <c r="AC40" i="5"/>
  <c r="AB40" i="5"/>
  <c r="Z40" i="5"/>
  <c r="AD40" i="5" s="1"/>
  <c r="Y40" i="5"/>
  <c r="X40" i="5"/>
  <c r="AC39" i="5"/>
  <c r="AB39" i="5"/>
  <c r="AA39" i="5"/>
  <c r="Z39" i="5"/>
  <c r="AD39" i="5" s="1"/>
  <c r="Y39" i="5"/>
  <c r="X39" i="5"/>
  <c r="AC38" i="5"/>
  <c r="AB38" i="5"/>
  <c r="Z38" i="5"/>
  <c r="AD38" i="5" s="1"/>
  <c r="Y38" i="5"/>
  <c r="AA38" i="5" s="1"/>
  <c r="X38" i="5"/>
  <c r="AC37" i="5"/>
  <c r="AB37" i="5"/>
  <c r="Z37" i="5"/>
  <c r="Y37" i="5"/>
  <c r="AA37" i="5" s="1"/>
  <c r="X37" i="5"/>
  <c r="AC36" i="5"/>
  <c r="AB36" i="5"/>
  <c r="AA36" i="5"/>
  <c r="Z36" i="5"/>
  <c r="Y36" i="5"/>
  <c r="X36" i="5"/>
  <c r="AC35" i="5"/>
  <c r="AB35" i="5"/>
  <c r="Z35" i="5"/>
  <c r="Y35" i="5"/>
  <c r="AA35" i="5" s="1"/>
  <c r="X35" i="5"/>
  <c r="AC34" i="5"/>
  <c r="AB34" i="5"/>
  <c r="Z34" i="5"/>
  <c r="Y34" i="5"/>
  <c r="X34" i="5"/>
  <c r="AC33" i="5"/>
  <c r="AB33" i="5"/>
  <c r="Z33" i="5"/>
  <c r="Y33" i="5"/>
  <c r="X33" i="5"/>
  <c r="AD32" i="5"/>
  <c r="AC32" i="5"/>
  <c r="AB32" i="5"/>
  <c r="Z32" i="5"/>
  <c r="Y32" i="5"/>
  <c r="AA32" i="5" s="1"/>
  <c r="X32" i="5"/>
  <c r="AC31" i="5"/>
  <c r="AB31" i="5"/>
  <c r="Z31" i="5"/>
  <c r="AD31" i="5" s="1"/>
  <c r="Y31" i="5"/>
  <c r="X31" i="5"/>
  <c r="AC30" i="5"/>
  <c r="AB30" i="5"/>
  <c r="Z30" i="5"/>
  <c r="Y30" i="5"/>
  <c r="AA30" i="5" s="1"/>
  <c r="X30" i="5"/>
  <c r="AD29" i="5"/>
  <c r="AC29" i="5"/>
  <c r="AB29" i="5"/>
  <c r="AA29" i="5"/>
  <c r="Z29" i="5"/>
  <c r="Y29" i="5"/>
  <c r="X29" i="5"/>
  <c r="AC28" i="5"/>
  <c r="AB28" i="5"/>
  <c r="Z28" i="5"/>
  <c r="Y28" i="5"/>
  <c r="AA28" i="5" s="1"/>
  <c r="X28" i="5"/>
  <c r="AD27" i="5"/>
  <c r="AC27" i="5"/>
  <c r="AB27" i="5"/>
  <c r="AA27" i="5"/>
  <c r="Z27" i="5"/>
  <c r="Y27" i="5"/>
  <c r="X27" i="5"/>
  <c r="AC26" i="5"/>
  <c r="AB26" i="5"/>
  <c r="Z26" i="5"/>
  <c r="Y26" i="5"/>
  <c r="AA26" i="5" s="1"/>
  <c r="X26" i="5"/>
  <c r="AC25" i="5"/>
  <c r="AB25" i="5"/>
  <c r="Z25" i="5"/>
  <c r="AD25" i="5" s="1"/>
  <c r="Y25" i="5"/>
  <c r="X25" i="5"/>
  <c r="AC24" i="5"/>
  <c r="AB24" i="5"/>
  <c r="Z24" i="5"/>
  <c r="AD24" i="5" s="1"/>
  <c r="Y24" i="5"/>
  <c r="X24" i="5"/>
  <c r="AC23" i="5"/>
  <c r="AB23" i="5"/>
  <c r="Z23" i="5"/>
  <c r="Y23" i="5"/>
  <c r="AA23" i="5" s="1"/>
  <c r="X23" i="5"/>
  <c r="AC22" i="5"/>
  <c r="AB22" i="5"/>
  <c r="Z22" i="5"/>
  <c r="Y22" i="5"/>
  <c r="X22" i="5"/>
  <c r="AC21" i="5"/>
  <c r="AB21" i="5"/>
  <c r="Z21" i="5"/>
  <c r="AD21" i="5" s="1"/>
  <c r="Y21" i="5"/>
  <c r="AA21" i="5" s="1"/>
  <c r="X21" i="5"/>
  <c r="AD20" i="5"/>
  <c r="AC20" i="5"/>
  <c r="AB20" i="5"/>
  <c r="Z20" i="5"/>
  <c r="Y20" i="5"/>
  <c r="AA20" i="5" s="1"/>
  <c r="X20" i="5"/>
  <c r="AC19" i="5"/>
  <c r="AB19" i="5"/>
  <c r="Z19" i="5"/>
  <c r="Y19" i="5"/>
  <c r="AA19" i="5" s="1"/>
  <c r="X19" i="5"/>
  <c r="AD18" i="5"/>
  <c r="AC18" i="5"/>
  <c r="AB18" i="5"/>
  <c r="Z18" i="5"/>
  <c r="Y18" i="5"/>
  <c r="X18" i="5"/>
  <c r="AC17" i="5"/>
  <c r="AB17" i="5"/>
  <c r="Z17" i="5"/>
  <c r="AD17" i="5" s="1"/>
  <c r="Y17" i="5"/>
  <c r="AA17" i="5" s="1"/>
  <c r="X17" i="5"/>
  <c r="AC16" i="5"/>
  <c r="AB16" i="5"/>
  <c r="Z16" i="5"/>
  <c r="AD16" i="5" s="1"/>
  <c r="Y16" i="5"/>
  <c r="X16" i="5"/>
  <c r="AC15" i="5"/>
  <c r="AB15" i="5"/>
  <c r="Z15" i="5"/>
  <c r="AD15" i="5" s="1"/>
  <c r="Y15" i="5"/>
  <c r="AA15" i="5" s="1"/>
  <c r="X15" i="5"/>
  <c r="AC14" i="5"/>
  <c r="AB14" i="5"/>
  <c r="Z14" i="5"/>
  <c r="AD14" i="5" s="1"/>
  <c r="Y14" i="5"/>
  <c r="X14" i="5"/>
  <c r="AC13" i="5"/>
  <c r="AB13" i="5"/>
  <c r="Z13" i="5"/>
  <c r="AD13" i="5" s="1"/>
  <c r="Y13" i="5"/>
  <c r="X13" i="5"/>
  <c r="AC12" i="5"/>
  <c r="AB12" i="5"/>
  <c r="Z12" i="5"/>
  <c r="AD12" i="5" s="1"/>
  <c r="Y12" i="5"/>
  <c r="AA12" i="5" s="1"/>
  <c r="X12" i="5"/>
  <c r="AC11" i="5"/>
  <c r="AB11" i="5"/>
  <c r="Z11" i="5"/>
  <c r="Y11" i="5"/>
  <c r="AA11" i="5" s="1"/>
  <c r="X11" i="5"/>
  <c r="AC10" i="5"/>
  <c r="AB10" i="5"/>
  <c r="Z10" i="5"/>
  <c r="AD10" i="5" s="1"/>
  <c r="Y10" i="5"/>
  <c r="X10" i="5"/>
  <c r="AC9" i="5"/>
  <c r="AB9" i="5"/>
  <c r="Z9" i="5"/>
  <c r="Y9" i="5"/>
  <c r="AA9" i="5" s="1"/>
  <c r="X9" i="5"/>
  <c r="AD8" i="5"/>
  <c r="AC8" i="5"/>
  <c r="AB8" i="5"/>
  <c r="Z8" i="5"/>
  <c r="Y8" i="5"/>
  <c r="AA8" i="5" s="1"/>
  <c r="X8" i="5"/>
  <c r="AC7" i="5"/>
  <c r="AB7" i="5"/>
  <c r="Z7" i="5"/>
  <c r="AD7" i="5" s="1"/>
  <c r="Y7" i="5"/>
  <c r="X7" i="5"/>
  <c r="AC6" i="5"/>
  <c r="AB6" i="5"/>
  <c r="Z6" i="5"/>
  <c r="AD6" i="5" s="1"/>
  <c r="Y6" i="5"/>
  <c r="AA6" i="5" s="1"/>
  <c r="X6" i="5"/>
  <c r="AD5" i="5"/>
  <c r="AC5" i="5"/>
  <c r="AB5" i="5"/>
  <c r="AA5" i="5"/>
  <c r="Z5" i="5"/>
  <c r="Y5" i="5"/>
  <c r="X5" i="5"/>
  <c r="AC4" i="5"/>
  <c r="AB4" i="5"/>
  <c r="Z4" i="5"/>
  <c r="Y4" i="5"/>
  <c r="AA4" i="5" s="1"/>
  <c r="X4" i="5"/>
  <c r="AD3" i="5"/>
  <c r="AC3" i="5"/>
  <c r="AB3" i="5"/>
  <c r="AA3" i="5"/>
  <c r="Z3" i="5"/>
  <c r="Y3" i="5"/>
  <c r="X3" i="5"/>
  <c r="AC2" i="5"/>
  <c r="AB2" i="5"/>
  <c r="Z2" i="5"/>
  <c r="Y2" i="5"/>
  <c r="AA2" i="5" s="1"/>
  <c r="X2" i="5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Z2" i="4"/>
  <c r="Y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X188" i="4" s="1"/>
  <c r="W189" i="4"/>
  <c r="W190" i="4"/>
  <c r="W191" i="4"/>
  <c r="W192" i="4"/>
  <c r="W193" i="4"/>
  <c r="W194" i="4"/>
  <c r="W195" i="4"/>
  <c r="W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AA48" i="4" s="1"/>
  <c r="U49" i="4"/>
  <c r="U50" i="4"/>
  <c r="U51" i="4"/>
  <c r="U52" i="4"/>
  <c r="U53" i="4"/>
  <c r="U54" i="4"/>
  <c r="U55" i="4"/>
  <c r="U56" i="4"/>
  <c r="U57" i="4"/>
  <c r="U58" i="4"/>
  <c r="U59" i="4"/>
  <c r="U60" i="4"/>
  <c r="AA60" i="4" s="1"/>
  <c r="U61" i="4"/>
  <c r="U62" i="4"/>
  <c r="U63" i="4"/>
  <c r="U64" i="4"/>
  <c r="U65" i="4"/>
  <c r="U66" i="4"/>
  <c r="U67" i="4"/>
  <c r="U68" i="4"/>
  <c r="U69" i="4"/>
  <c r="U70" i="4"/>
  <c r="U71" i="4"/>
  <c r="U72" i="4"/>
  <c r="AA72" i="4" s="1"/>
  <c r="U73" i="4"/>
  <c r="U74" i="4"/>
  <c r="U75" i="4"/>
  <c r="U76" i="4"/>
  <c r="U77" i="4"/>
  <c r="U78" i="4"/>
  <c r="U79" i="4"/>
  <c r="U80" i="4"/>
  <c r="U81" i="4"/>
  <c r="U82" i="4"/>
  <c r="U83" i="4"/>
  <c r="U84" i="4"/>
  <c r="AA84" i="4" s="1"/>
  <c r="U85" i="4"/>
  <c r="U86" i="4"/>
  <c r="U87" i="4"/>
  <c r="U88" i="4"/>
  <c r="U89" i="4"/>
  <c r="U90" i="4"/>
  <c r="U91" i="4"/>
  <c r="U92" i="4"/>
  <c r="U93" i="4"/>
  <c r="U94" i="4"/>
  <c r="U95" i="4"/>
  <c r="U96" i="4"/>
  <c r="AA96" i="4" s="1"/>
  <c r="U97" i="4"/>
  <c r="U98" i="4"/>
  <c r="U99" i="4"/>
  <c r="U100" i="4"/>
  <c r="U101" i="4"/>
  <c r="U102" i="4"/>
  <c r="U103" i="4"/>
  <c r="U104" i="4"/>
  <c r="U105" i="4"/>
  <c r="U106" i="4"/>
  <c r="U107" i="4"/>
  <c r="U108" i="4"/>
  <c r="AA108" i="4" s="1"/>
  <c r="U109" i="4"/>
  <c r="U110" i="4"/>
  <c r="U111" i="4"/>
  <c r="U112" i="4"/>
  <c r="U113" i="4"/>
  <c r="U114" i="4"/>
  <c r="U115" i="4"/>
  <c r="U116" i="4"/>
  <c r="U117" i="4"/>
  <c r="U118" i="4"/>
  <c r="U119" i="4"/>
  <c r="U120" i="4"/>
  <c r="AA120" i="4" s="1"/>
  <c r="U121" i="4"/>
  <c r="U122" i="4"/>
  <c r="U123" i="4"/>
  <c r="U124" i="4"/>
  <c r="U125" i="4"/>
  <c r="U126" i="4"/>
  <c r="U127" i="4"/>
  <c r="U128" i="4"/>
  <c r="U129" i="4"/>
  <c r="U130" i="4"/>
  <c r="U131" i="4"/>
  <c r="U132" i="4"/>
  <c r="AA132" i="4" s="1"/>
  <c r="U133" i="4"/>
  <c r="U134" i="4"/>
  <c r="U135" i="4"/>
  <c r="U136" i="4"/>
  <c r="U137" i="4"/>
  <c r="U138" i="4"/>
  <c r="U139" i="4"/>
  <c r="U140" i="4"/>
  <c r="U141" i="4"/>
  <c r="U142" i="4"/>
  <c r="U143" i="4"/>
  <c r="U144" i="4"/>
  <c r="AA144" i="4" s="1"/>
  <c r="U145" i="4"/>
  <c r="U146" i="4"/>
  <c r="U147" i="4"/>
  <c r="U148" i="4"/>
  <c r="U149" i="4"/>
  <c r="U150" i="4"/>
  <c r="U151" i="4"/>
  <c r="U152" i="4"/>
  <c r="U153" i="4"/>
  <c r="U154" i="4"/>
  <c r="U155" i="4"/>
  <c r="U156" i="4"/>
  <c r="AA156" i="4" s="1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AA180" i="4" s="1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V3" i="4"/>
  <c r="V4" i="4"/>
  <c r="V5" i="4"/>
  <c r="V6" i="4"/>
  <c r="V7" i="4"/>
  <c r="V8" i="4"/>
  <c r="V9" i="4"/>
  <c r="V10" i="4"/>
  <c r="V11" i="4"/>
  <c r="X11" i="4" s="1"/>
  <c r="V12" i="4"/>
  <c r="V13" i="4"/>
  <c r="V14" i="4"/>
  <c r="V15" i="4"/>
  <c r="V16" i="4"/>
  <c r="V17" i="4"/>
  <c r="V18" i="4"/>
  <c r="V19" i="4"/>
  <c r="V20" i="4"/>
  <c r="V21" i="4"/>
  <c r="V22" i="4"/>
  <c r="V23" i="4"/>
  <c r="X23" i="4" s="1"/>
  <c r="V24" i="4"/>
  <c r="V25" i="4"/>
  <c r="V26" i="4"/>
  <c r="V27" i="4"/>
  <c r="V28" i="4"/>
  <c r="V29" i="4"/>
  <c r="V30" i="4"/>
  <c r="V31" i="4"/>
  <c r="V32" i="4"/>
  <c r="V33" i="4"/>
  <c r="V34" i="4"/>
  <c r="V35" i="4"/>
  <c r="X35" i="4" s="1"/>
  <c r="V36" i="4"/>
  <c r="V37" i="4"/>
  <c r="V38" i="4"/>
  <c r="V39" i="4"/>
  <c r="V40" i="4"/>
  <c r="V41" i="4"/>
  <c r="V42" i="4"/>
  <c r="V43" i="4"/>
  <c r="V44" i="4"/>
  <c r="V45" i="4"/>
  <c r="V46" i="4"/>
  <c r="V47" i="4"/>
  <c r="X47" i="4" s="1"/>
  <c r="V48" i="4"/>
  <c r="V49" i="4"/>
  <c r="V50" i="4"/>
  <c r="V51" i="4"/>
  <c r="V52" i="4"/>
  <c r="V53" i="4"/>
  <c r="V54" i="4"/>
  <c r="V55" i="4"/>
  <c r="V56" i="4"/>
  <c r="V57" i="4"/>
  <c r="V58" i="4"/>
  <c r="V59" i="4"/>
  <c r="X59" i="4" s="1"/>
  <c r="V60" i="4"/>
  <c r="V61" i="4"/>
  <c r="V62" i="4"/>
  <c r="V63" i="4"/>
  <c r="V64" i="4"/>
  <c r="V65" i="4"/>
  <c r="V66" i="4"/>
  <c r="V67" i="4"/>
  <c r="V68" i="4"/>
  <c r="V69" i="4"/>
  <c r="V70" i="4"/>
  <c r="V71" i="4"/>
  <c r="X71" i="4" s="1"/>
  <c r="V72" i="4"/>
  <c r="V73" i="4"/>
  <c r="V74" i="4"/>
  <c r="V75" i="4"/>
  <c r="V76" i="4"/>
  <c r="V77" i="4"/>
  <c r="V78" i="4"/>
  <c r="V79" i="4"/>
  <c r="V80" i="4"/>
  <c r="V81" i="4"/>
  <c r="V82" i="4"/>
  <c r="V83" i="4"/>
  <c r="X83" i="4" s="1"/>
  <c r="V84" i="4"/>
  <c r="V85" i="4"/>
  <c r="V86" i="4"/>
  <c r="V87" i="4"/>
  <c r="V88" i="4"/>
  <c r="V89" i="4"/>
  <c r="V90" i="4"/>
  <c r="V91" i="4"/>
  <c r="V92" i="4"/>
  <c r="V93" i="4"/>
  <c r="V94" i="4"/>
  <c r="V95" i="4"/>
  <c r="X95" i="4" s="1"/>
  <c r="V96" i="4"/>
  <c r="V97" i="4"/>
  <c r="V98" i="4"/>
  <c r="V99" i="4"/>
  <c r="V100" i="4"/>
  <c r="V101" i="4"/>
  <c r="V102" i="4"/>
  <c r="V103" i="4"/>
  <c r="V104" i="4"/>
  <c r="V105" i="4"/>
  <c r="V106" i="4"/>
  <c r="V107" i="4"/>
  <c r="X107" i="4" s="1"/>
  <c r="V108" i="4"/>
  <c r="V109" i="4"/>
  <c r="V110" i="4"/>
  <c r="V111" i="4"/>
  <c r="V112" i="4"/>
  <c r="V113" i="4"/>
  <c r="V114" i="4"/>
  <c r="V115" i="4"/>
  <c r="V116" i="4"/>
  <c r="V117" i="4"/>
  <c r="V118" i="4"/>
  <c r="V119" i="4"/>
  <c r="X119" i="4" s="1"/>
  <c r="V120" i="4"/>
  <c r="V121" i="4"/>
  <c r="V122" i="4"/>
  <c r="V123" i="4"/>
  <c r="V124" i="4"/>
  <c r="V125" i="4"/>
  <c r="V126" i="4"/>
  <c r="V127" i="4"/>
  <c r="V128" i="4"/>
  <c r="V129" i="4"/>
  <c r="V130" i="4"/>
  <c r="V131" i="4"/>
  <c r="X131" i="4" s="1"/>
  <c r="V132" i="4"/>
  <c r="V133" i="4"/>
  <c r="V134" i="4"/>
  <c r="V135" i="4"/>
  <c r="V136" i="4"/>
  <c r="V137" i="4"/>
  <c r="V138" i="4"/>
  <c r="V139" i="4"/>
  <c r="V140" i="4"/>
  <c r="V141" i="4"/>
  <c r="V142" i="4"/>
  <c r="V143" i="4"/>
  <c r="X143" i="4" s="1"/>
  <c r="V144" i="4"/>
  <c r="V145" i="4"/>
  <c r="V146" i="4"/>
  <c r="V147" i="4"/>
  <c r="V148" i="4"/>
  <c r="V149" i="4"/>
  <c r="V150" i="4"/>
  <c r="V151" i="4"/>
  <c r="V152" i="4"/>
  <c r="V153" i="4"/>
  <c r="V154" i="4"/>
  <c r="V155" i="4"/>
  <c r="X155" i="4" s="1"/>
  <c r="V156" i="4"/>
  <c r="V157" i="4"/>
  <c r="V158" i="4"/>
  <c r="V159" i="4"/>
  <c r="V160" i="4"/>
  <c r="V161" i="4"/>
  <c r="V162" i="4"/>
  <c r="V163" i="4"/>
  <c r="V164" i="4"/>
  <c r="V165" i="4"/>
  <c r="V166" i="4"/>
  <c r="V167" i="4"/>
  <c r="X167" i="4" s="1"/>
  <c r="V168" i="4"/>
  <c r="V169" i="4"/>
  <c r="V170" i="4"/>
  <c r="V171" i="4"/>
  <c r="V172" i="4"/>
  <c r="V173" i="4"/>
  <c r="V174" i="4"/>
  <c r="V175" i="4"/>
  <c r="V176" i="4"/>
  <c r="V177" i="4"/>
  <c r="V178" i="4"/>
  <c r="V179" i="4"/>
  <c r="X179" i="4" s="1"/>
  <c r="V180" i="4"/>
  <c r="V181" i="4"/>
  <c r="V182" i="4"/>
  <c r="V183" i="4"/>
  <c r="V184" i="4"/>
  <c r="V185" i="4"/>
  <c r="V186" i="4"/>
  <c r="V187" i="4"/>
  <c r="V188" i="4"/>
  <c r="V189" i="4"/>
  <c r="V190" i="4"/>
  <c r="V191" i="4"/>
  <c r="X191" i="4" s="1"/>
  <c r="V192" i="4"/>
  <c r="V193" i="4"/>
  <c r="V194" i="4"/>
  <c r="V195" i="4"/>
  <c r="V2" i="4"/>
  <c r="U2" i="4"/>
  <c r="AA130" i="7" l="1"/>
  <c r="AF130" i="7" s="1"/>
  <c r="Z163" i="7"/>
  <c r="AE163" i="7" s="1"/>
  <c r="Z138" i="7"/>
  <c r="AE138" i="7" s="1"/>
  <c r="Z108" i="7"/>
  <c r="AE108" i="7" s="1"/>
  <c r="Z5" i="7"/>
  <c r="AE5" i="7" s="1"/>
  <c r="Z73" i="7"/>
  <c r="AE73" i="7" s="1"/>
  <c r="Z57" i="7"/>
  <c r="AE57" i="7" s="1"/>
  <c r="Z159" i="7"/>
  <c r="AE159" i="7" s="1"/>
  <c r="Z154" i="7"/>
  <c r="AE154" i="7" s="1"/>
  <c r="Z241" i="7"/>
  <c r="AE241" i="7" s="1"/>
  <c r="Z251" i="7"/>
  <c r="AE251" i="7" s="1"/>
  <c r="Z239" i="7"/>
  <c r="AE239" i="7" s="1"/>
  <c r="Z303" i="7"/>
  <c r="AE303" i="7" s="1"/>
  <c r="Z217" i="7"/>
  <c r="AE217" i="7" s="1"/>
  <c r="Z359" i="7"/>
  <c r="AE359" i="7" s="1"/>
  <c r="Z292" i="7"/>
  <c r="AE292" i="7" s="1"/>
  <c r="AA14" i="7"/>
  <c r="AF14" i="7" s="1"/>
  <c r="Z6" i="7"/>
  <c r="AE6" i="7" s="1"/>
  <c r="Z133" i="7"/>
  <c r="AE133" i="7" s="1"/>
  <c r="Z176" i="7"/>
  <c r="AE176" i="7" s="1"/>
  <c r="Z19" i="7"/>
  <c r="AE19" i="7" s="1"/>
  <c r="Z83" i="7"/>
  <c r="AE83" i="7" s="1"/>
  <c r="Z55" i="7"/>
  <c r="AE55" i="7" s="1"/>
  <c r="Z97" i="7"/>
  <c r="AE97" i="7" s="1"/>
  <c r="Z344" i="7"/>
  <c r="AE344" i="7" s="1"/>
  <c r="Z223" i="7"/>
  <c r="AE223" i="7" s="1"/>
  <c r="Z264" i="7"/>
  <c r="AE264" i="7" s="1"/>
  <c r="Z288" i="7"/>
  <c r="AE288" i="7" s="1"/>
  <c r="AA64" i="7"/>
  <c r="AF64" i="7" s="1"/>
  <c r="Z126" i="7"/>
  <c r="AE126" i="7" s="1"/>
  <c r="Z80" i="7"/>
  <c r="AE80" i="7" s="1"/>
  <c r="Z194" i="7"/>
  <c r="AE194" i="7" s="1"/>
  <c r="Z101" i="7"/>
  <c r="AE101" i="7" s="1"/>
  <c r="Z296" i="7"/>
  <c r="AE296" i="7" s="1"/>
  <c r="Z282" i="7"/>
  <c r="AE282" i="7" s="1"/>
  <c r="Z161" i="7"/>
  <c r="AE161" i="7" s="1"/>
  <c r="Z331" i="7"/>
  <c r="AE331" i="7" s="1"/>
  <c r="Z61" i="7"/>
  <c r="AE61" i="7" s="1"/>
  <c r="Z246" i="7"/>
  <c r="AE246" i="7" s="1"/>
  <c r="Z88" i="7"/>
  <c r="AE88" i="7" s="1"/>
  <c r="Z333" i="7"/>
  <c r="AE333" i="7" s="1"/>
  <c r="Z18" i="7"/>
  <c r="AE18" i="7" s="1"/>
  <c r="Z348" i="7"/>
  <c r="AE348" i="7" s="1"/>
  <c r="Z183" i="7"/>
  <c r="AE183" i="7" s="1"/>
  <c r="Z127" i="7"/>
  <c r="AE127" i="7" s="1"/>
  <c r="Z275" i="7"/>
  <c r="AE275" i="7" s="1"/>
  <c r="Z15" i="7"/>
  <c r="AE15" i="7" s="1"/>
  <c r="Z314" i="7"/>
  <c r="AE314" i="7" s="1"/>
  <c r="AA142" i="7"/>
  <c r="AF142" i="7" s="1"/>
  <c r="Z168" i="7"/>
  <c r="AE168" i="7" s="1"/>
  <c r="Z104" i="7"/>
  <c r="AE104" i="7" s="1"/>
  <c r="Z308" i="7"/>
  <c r="AE308" i="7" s="1"/>
  <c r="Z346" i="7"/>
  <c r="AE346" i="7" s="1"/>
  <c r="AA125" i="7"/>
  <c r="AF125" i="7" s="1"/>
  <c r="Z13" i="7"/>
  <c r="AE13" i="7" s="1"/>
  <c r="Z218" i="7"/>
  <c r="AE218" i="7" s="1"/>
  <c r="AA206" i="7"/>
  <c r="AF206" i="7" s="1"/>
  <c r="Z92" i="7"/>
  <c r="AE92" i="7" s="1"/>
  <c r="Z58" i="7"/>
  <c r="AE58" i="7" s="1"/>
  <c r="Z153" i="7"/>
  <c r="AE153" i="7" s="1"/>
  <c r="Z221" i="7"/>
  <c r="AE221" i="7" s="1"/>
  <c r="AA16" i="7"/>
  <c r="AF16" i="7" s="1"/>
  <c r="Z9" i="7"/>
  <c r="AE9" i="7" s="1"/>
  <c r="Z29" i="7"/>
  <c r="AE29" i="7" s="1"/>
  <c r="Z179" i="7"/>
  <c r="AE179" i="7" s="1"/>
  <c r="Z322" i="7"/>
  <c r="AE322" i="7" s="1"/>
  <c r="AA356" i="7"/>
  <c r="AF356" i="7" s="1"/>
  <c r="Z200" i="7"/>
  <c r="AE200" i="7" s="1"/>
  <c r="AA8" i="7"/>
  <c r="AF8" i="7" s="1"/>
  <c r="AE2" i="7"/>
  <c r="Z77" i="7"/>
  <c r="AE77" i="7" s="1"/>
  <c r="Z56" i="7"/>
  <c r="AE56" i="7" s="1"/>
  <c r="Z367" i="7"/>
  <c r="AE367" i="7" s="1"/>
  <c r="Z247" i="7"/>
  <c r="AE247" i="7" s="1"/>
  <c r="Z240" i="7"/>
  <c r="AE240" i="7" s="1"/>
  <c r="AA323" i="7"/>
  <c r="AF323" i="7" s="1"/>
  <c r="AB323" i="7"/>
  <c r="AB324" i="7"/>
  <c r="AA324" i="7"/>
  <c r="AF324" i="7" s="1"/>
  <c r="AB269" i="7"/>
  <c r="AA269" i="7"/>
  <c r="AF269" i="7" s="1"/>
  <c r="AB367" i="7"/>
  <c r="AA367" i="7"/>
  <c r="AF367" i="7" s="1"/>
  <c r="AB211" i="7"/>
  <c r="AA211" i="7"/>
  <c r="AF211" i="7" s="1"/>
  <c r="AB256" i="7"/>
  <c r="AA256" i="7"/>
  <c r="AF256" i="7" s="1"/>
  <c r="AC90" i="7"/>
  <c r="Z90" i="7"/>
  <c r="AE90" i="7" s="1"/>
  <c r="AC41" i="7"/>
  <c r="Z41" i="7"/>
  <c r="AE41" i="7" s="1"/>
  <c r="AC33" i="7"/>
  <c r="Z33" i="7"/>
  <c r="AE33" i="7" s="1"/>
  <c r="AC121" i="7"/>
  <c r="Z121" i="7"/>
  <c r="AE121" i="7" s="1"/>
  <c r="AC12" i="7"/>
  <c r="Z12" i="7"/>
  <c r="AE12" i="7" s="1"/>
  <c r="Z110" i="7"/>
  <c r="AE110" i="7" s="1"/>
  <c r="AC110" i="7"/>
  <c r="AC309" i="7"/>
  <c r="Z309" i="7"/>
  <c r="AE309" i="7" s="1"/>
  <c r="AC358" i="7"/>
  <c r="Z358" i="7"/>
  <c r="AE358" i="7" s="1"/>
  <c r="AD133" i="7"/>
  <c r="AA133" i="7"/>
  <c r="AF133" i="7" s="1"/>
  <c r="AD51" i="7"/>
  <c r="AA51" i="7"/>
  <c r="AF51" i="7" s="1"/>
  <c r="AD180" i="7"/>
  <c r="AA180" i="7"/>
  <c r="AF180" i="7" s="1"/>
  <c r="AA184" i="7"/>
  <c r="AF184" i="7" s="1"/>
  <c r="AD184" i="7"/>
  <c r="AA301" i="7"/>
  <c r="AF301" i="7" s="1"/>
  <c r="Z39" i="7"/>
  <c r="AE39" i="7" s="1"/>
  <c r="Z91" i="7"/>
  <c r="AE91" i="7" s="1"/>
  <c r="Z26" i="7"/>
  <c r="AE26" i="7" s="1"/>
  <c r="Z132" i="7"/>
  <c r="AE132" i="7" s="1"/>
  <c r="Z25" i="7"/>
  <c r="AE25" i="7" s="1"/>
  <c r="Z62" i="7"/>
  <c r="AE62" i="7" s="1"/>
  <c r="Z118" i="7"/>
  <c r="AE118" i="7" s="1"/>
  <c r="Z130" i="7"/>
  <c r="AE130" i="7" s="1"/>
  <c r="Z192" i="7"/>
  <c r="AE192" i="7" s="1"/>
  <c r="Z123" i="7"/>
  <c r="AE123" i="7" s="1"/>
  <c r="Z87" i="7"/>
  <c r="AE87" i="7" s="1"/>
  <c r="Z255" i="7"/>
  <c r="AE255" i="7" s="1"/>
  <c r="Z252" i="7"/>
  <c r="AE252" i="7" s="1"/>
  <c r="Z263" i="7"/>
  <c r="AE263" i="7" s="1"/>
  <c r="Z205" i="7"/>
  <c r="AE205" i="7" s="1"/>
  <c r="Z284" i="7"/>
  <c r="AE284" i="7" s="1"/>
  <c r="Z203" i="7"/>
  <c r="AE203" i="7" s="1"/>
  <c r="Z334" i="7"/>
  <c r="AE334" i="7" s="1"/>
  <c r="Z276" i="7"/>
  <c r="AE276" i="7" s="1"/>
  <c r="Z316" i="7"/>
  <c r="AE316" i="7" s="1"/>
  <c r="AA152" i="7"/>
  <c r="AF152" i="7" s="1"/>
  <c r="AA6" i="7"/>
  <c r="AF6" i="7" s="1"/>
  <c r="AA10" i="7"/>
  <c r="AF10" i="7" s="1"/>
  <c r="AA43" i="7"/>
  <c r="AF43" i="7" s="1"/>
  <c r="AA80" i="7"/>
  <c r="AF80" i="7" s="1"/>
  <c r="AA63" i="7"/>
  <c r="AF63" i="7" s="1"/>
  <c r="AA70" i="7"/>
  <c r="AF70" i="7" s="1"/>
  <c r="AA144" i="7"/>
  <c r="AF144" i="7" s="1"/>
  <c r="AA221" i="7"/>
  <c r="AF221" i="7" s="1"/>
  <c r="AA284" i="7"/>
  <c r="AF284" i="7" s="1"/>
  <c r="AA204" i="7"/>
  <c r="AF204" i="7" s="1"/>
  <c r="AC2" i="7"/>
  <c r="AC77" i="7"/>
  <c r="AC56" i="7"/>
  <c r="AC97" i="7"/>
  <c r="AC308" i="7"/>
  <c r="AC223" i="7"/>
  <c r="AD125" i="7"/>
  <c r="AB295" i="7"/>
  <c r="AA295" i="7"/>
  <c r="AF295" i="7" s="1"/>
  <c r="AC124" i="7"/>
  <c r="Z124" i="7"/>
  <c r="AE124" i="7" s="1"/>
  <c r="AC66" i="7"/>
  <c r="Z66" i="7"/>
  <c r="AE66" i="7" s="1"/>
  <c r="AC99" i="7"/>
  <c r="Z99" i="7"/>
  <c r="AE99" i="7" s="1"/>
  <c r="AC191" i="7"/>
  <c r="Z191" i="7"/>
  <c r="AE191" i="7" s="1"/>
  <c r="Z44" i="7"/>
  <c r="AE44" i="7" s="1"/>
  <c r="AC44" i="7"/>
  <c r="AC270" i="7"/>
  <c r="Z270" i="7"/>
  <c r="AE270" i="7" s="1"/>
  <c r="Z258" i="7"/>
  <c r="AE258" i="7" s="1"/>
  <c r="AC258" i="7"/>
  <c r="AD132" i="7"/>
  <c r="AA132" i="7"/>
  <c r="AF132" i="7" s="1"/>
  <c r="AD74" i="7"/>
  <c r="AA74" i="7"/>
  <c r="AF74" i="7" s="1"/>
  <c r="AD171" i="7"/>
  <c r="AA171" i="7"/>
  <c r="AF171" i="7" s="1"/>
  <c r="AA173" i="7"/>
  <c r="AF173" i="7" s="1"/>
  <c r="AD173" i="7"/>
  <c r="AD35" i="7"/>
  <c r="AA35" i="7"/>
  <c r="AF35" i="7" s="1"/>
  <c r="AD154" i="7"/>
  <c r="AA154" i="7"/>
  <c r="AF154" i="7" s="1"/>
  <c r="AD52" i="7"/>
  <c r="AA52" i="7"/>
  <c r="AF52" i="7" s="1"/>
  <c r="AD207" i="7"/>
  <c r="AA207" i="7"/>
  <c r="AF207" i="7" s="1"/>
  <c r="AD353" i="7"/>
  <c r="AA353" i="7"/>
  <c r="AF353" i="7" s="1"/>
  <c r="AD201" i="7"/>
  <c r="AA201" i="7"/>
  <c r="AF201" i="7" s="1"/>
  <c r="AD250" i="7"/>
  <c r="AA250" i="7"/>
  <c r="AF250" i="7" s="1"/>
  <c r="AD232" i="7"/>
  <c r="AA232" i="7"/>
  <c r="AF232" i="7" s="1"/>
  <c r="AD300" i="7"/>
  <c r="AA300" i="7"/>
  <c r="AF300" i="7" s="1"/>
  <c r="AD249" i="7"/>
  <c r="AA249" i="7"/>
  <c r="AF249" i="7" s="1"/>
  <c r="AD262" i="7"/>
  <c r="AA262" i="7"/>
  <c r="AF262" i="7" s="1"/>
  <c r="AD288" i="7"/>
  <c r="AA288" i="7"/>
  <c r="AF288" i="7" s="1"/>
  <c r="AD225" i="7"/>
  <c r="AA225" i="7"/>
  <c r="AF225" i="7" s="1"/>
  <c r="AD330" i="7"/>
  <c r="AA330" i="7"/>
  <c r="AF330" i="7" s="1"/>
  <c r="Z3" i="7"/>
  <c r="AE3" i="7" s="1"/>
  <c r="Z30" i="7"/>
  <c r="AE30" i="7" s="1"/>
  <c r="Z75" i="7"/>
  <c r="AE75" i="7" s="1"/>
  <c r="Z102" i="7"/>
  <c r="AE102" i="7" s="1"/>
  <c r="Z131" i="7"/>
  <c r="AE131" i="7" s="1"/>
  <c r="Z113" i="7"/>
  <c r="AE113" i="7" s="1"/>
  <c r="Z199" i="7"/>
  <c r="AE199" i="7" s="1"/>
  <c r="Z277" i="7"/>
  <c r="AE277" i="7" s="1"/>
  <c r="Z300" i="7"/>
  <c r="AE300" i="7" s="1"/>
  <c r="Z215" i="7"/>
  <c r="AE215" i="7" s="1"/>
  <c r="AA5" i="7"/>
  <c r="AF5" i="7" s="1"/>
  <c r="AA91" i="7"/>
  <c r="AF91" i="7" s="1"/>
  <c r="AA75" i="7"/>
  <c r="AF75" i="7" s="1"/>
  <c r="AA104" i="7"/>
  <c r="AF104" i="7" s="1"/>
  <c r="AA138" i="7"/>
  <c r="AF138" i="7" s="1"/>
  <c r="AA122" i="7"/>
  <c r="AF122" i="7" s="1"/>
  <c r="AA84" i="7"/>
  <c r="AF84" i="7" s="1"/>
  <c r="AA242" i="7"/>
  <c r="AF242" i="7" s="1"/>
  <c r="AA343" i="7"/>
  <c r="AF343" i="7" s="1"/>
  <c r="AC6" i="7"/>
  <c r="AC176" i="7"/>
  <c r="AC83" i="7"/>
  <c r="AC154" i="7"/>
  <c r="AC221" i="7"/>
  <c r="AC264" i="7"/>
  <c r="AC292" i="7"/>
  <c r="AD16" i="7"/>
  <c r="AB352" i="7"/>
  <c r="AA352" i="7"/>
  <c r="AF352" i="7" s="1"/>
  <c r="Z10" i="7"/>
  <c r="AE10" i="7" s="1"/>
  <c r="AC10" i="7"/>
  <c r="Z43" i="7"/>
  <c r="AE43" i="7" s="1"/>
  <c r="AC43" i="7"/>
  <c r="AC89" i="7"/>
  <c r="Z89" i="7"/>
  <c r="AE89" i="7" s="1"/>
  <c r="Z245" i="7"/>
  <c r="AE245" i="7" s="1"/>
  <c r="AC245" i="7"/>
  <c r="AC312" i="7"/>
  <c r="Z312" i="7"/>
  <c r="AE312" i="7" s="1"/>
  <c r="Z279" i="7"/>
  <c r="AE279" i="7" s="1"/>
  <c r="AC279" i="7"/>
  <c r="AA116" i="7"/>
  <c r="AF116" i="7" s="1"/>
  <c r="AD92" i="7"/>
  <c r="AA92" i="7"/>
  <c r="AF92" i="7" s="1"/>
  <c r="AD65" i="7"/>
  <c r="AA65" i="7"/>
  <c r="AF65" i="7" s="1"/>
  <c r="AD45" i="7"/>
  <c r="AA45" i="7"/>
  <c r="AF45" i="7" s="1"/>
  <c r="AD87" i="7"/>
  <c r="AA87" i="7"/>
  <c r="AF87" i="7" s="1"/>
  <c r="AA252" i="7"/>
  <c r="AF252" i="7" s="1"/>
  <c r="AD252" i="7"/>
  <c r="AD213" i="7"/>
  <c r="AA213" i="7"/>
  <c r="AF213" i="7" s="1"/>
  <c r="AD317" i="7"/>
  <c r="AA317" i="7"/>
  <c r="AF317" i="7" s="1"/>
  <c r="AD305" i="7"/>
  <c r="AA305" i="7"/>
  <c r="AF305" i="7" s="1"/>
  <c r="AD310" i="7"/>
  <c r="AA310" i="7"/>
  <c r="AF310" i="7" s="1"/>
  <c r="AD282" i="7"/>
  <c r="AA282" i="7"/>
  <c r="AF282" i="7" s="1"/>
  <c r="AD362" i="7"/>
  <c r="AA362" i="7"/>
  <c r="AF362" i="7" s="1"/>
  <c r="Z50" i="7"/>
  <c r="AE50" i="7" s="1"/>
  <c r="Z145" i="7"/>
  <c r="AE145" i="7" s="1"/>
  <c r="Z109" i="7"/>
  <c r="AE109" i="7" s="1"/>
  <c r="Z189" i="7"/>
  <c r="AE189" i="7" s="1"/>
  <c r="Z60" i="7"/>
  <c r="AE60" i="7" s="1"/>
  <c r="Z122" i="7"/>
  <c r="AE122" i="7" s="1"/>
  <c r="Z21" i="7"/>
  <c r="AE21" i="7" s="1"/>
  <c r="Z135" i="7"/>
  <c r="AE135" i="7" s="1"/>
  <c r="Z42" i="7"/>
  <c r="AE42" i="7" s="1"/>
  <c r="Z226" i="7"/>
  <c r="AE226" i="7" s="1"/>
  <c r="Z336" i="7"/>
  <c r="AE336" i="7" s="1"/>
  <c r="Z209" i="7"/>
  <c r="AE209" i="7" s="1"/>
  <c r="Z305" i="7"/>
  <c r="AE305" i="7" s="1"/>
  <c r="Z224" i="7"/>
  <c r="AE224" i="7" s="1"/>
  <c r="Z278" i="7"/>
  <c r="AE278" i="7" s="1"/>
  <c r="AA39" i="7"/>
  <c r="AF39" i="7" s="1"/>
  <c r="AA30" i="7"/>
  <c r="AF30" i="7" s="1"/>
  <c r="AA109" i="7"/>
  <c r="AF109" i="7" s="1"/>
  <c r="AA153" i="7"/>
  <c r="AF153" i="7" s="1"/>
  <c r="AA98" i="7"/>
  <c r="AF98" i="7" s="1"/>
  <c r="AA193" i="7"/>
  <c r="AF193" i="7" s="1"/>
  <c r="AA111" i="7"/>
  <c r="AF111" i="7" s="1"/>
  <c r="AA169" i="7"/>
  <c r="AF169" i="7" s="1"/>
  <c r="AA302" i="7"/>
  <c r="AF302" i="7" s="1"/>
  <c r="AA247" i="7"/>
  <c r="AF247" i="7" s="1"/>
  <c r="AA219" i="7"/>
  <c r="AF219" i="7" s="1"/>
  <c r="AC133" i="7"/>
  <c r="AC19" i="7"/>
  <c r="AC55" i="7"/>
  <c r="AC359" i="7"/>
  <c r="AD64" i="7"/>
  <c r="AC69" i="7"/>
  <c r="Z69" i="7"/>
  <c r="AE69" i="7" s="1"/>
  <c r="AC321" i="7"/>
  <c r="Z321" i="7"/>
  <c r="AE321" i="7" s="1"/>
  <c r="Z299" i="7"/>
  <c r="AE299" i="7" s="1"/>
  <c r="AC299" i="7"/>
  <c r="Z335" i="7"/>
  <c r="AE335" i="7" s="1"/>
  <c r="AC335" i="7"/>
  <c r="AC287" i="7"/>
  <c r="Z287" i="7"/>
  <c r="AE287" i="7" s="1"/>
  <c r="Z351" i="7"/>
  <c r="AE351" i="7" s="1"/>
  <c r="AC351" i="7"/>
  <c r="AA108" i="7"/>
  <c r="AF108" i="7" s="1"/>
  <c r="AD108" i="7"/>
  <c r="AA13" i="7"/>
  <c r="AF13" i="7" s="1"/>
  <c r="AD13" i="7"/>
  <c r="AD23" i="7"/>
  <c r="AA23" i="7"/>
  <c r="AF23" i="7" s="1"/>
  <c r="AD149" i="7"/>
  <c r="AA149" i="7"/>
  <c r="AF149" i="7" s="1"/>
  <c r="AD167" i="7"/>
  <c r="AA167" i="7"/>
  <c r="AF167" i="7" s="1"/>
  <c r="AD93" i="7"/>
  <c r="AA93" i="7"/>
  <c r="AF93" i="7" s="1"/>
  <c r="AD15" i="7"/>
  <c r="AA15" i="7"/>
  <c r="AF15" i="7" s="1"/>
  <c r="AD208" i="7"/>
  <c r="AA208" i="7"/>
  <c r="AF208" i="7" s="1"/>
  <c r="AA218" i="7"/>
  <c r="AF218" i="7" s="1"/>
  <c r="AD218" i="7"/>
  <c r="AD298" i="7"/>
  <c r="AA298" i="7"/>
  <c r="AF298" i="7" s="1"/>
  <c r="AD306" i="7"/>
  <c r="AA306" i="7"/>
  <c r="AF306" i="7" s="1"/>
  <c r="AD237" i="7"/>
  <c r="AA237" i="7"/>
  <c r="AF237" i="7" s="1"/>
  <c r="AD280" i="7"/>
  <c r="AA280" i="7"/>
  <c r="AF280" i="7" s="1"/>
  <c r="AD363" i="7"/>
  <c r="AA363" i="7"/>
  <c r="AF363" i="7" s="1"/>
  <c r="AD337" i="7"/>
  <c r="AA337" i="7"/>
  <c r="AF337" i="7" s="1"/>
  <c r="AD231" i="7"/>
  <c r="AA231" i="7"/>
  <c r="AF231" i="7" s="1"/>
  <c r="AD327" i="7"/>
  <c r="AA327" i="7"/>
  <c r="AF327" i="7" s="1"/>
  <c r="AD329" i="7"/>
  <c r="AA329" i="7"/>
  <c r="AF329" i="7" s="1"/>
  <c r="Z86" i="7"/>
  <c r="AE86" i="7" s="1"/>
  <c r="Z7" i="7"/>
  <c r="AE7" i="7" s="1"/>
  <c r="Z134" i="7"/>
  <c r="AE134" i="7" s="1"/>
  <c r="Z105" i="7"/>
  <c r="AE105" i="7" s="1"/>
  <c r="Z193" i="7"/>
  <c r="AE193" i="7" s="1"/>
  <c r="Z173" i="7"/>
  <c r="AE173" i="7" s="1"/>
  <c r="Z11" i="7"/>
  <c r="AE11" i="7" s="1"/>
  <c r="Z207" i="7"/>
  <c r="AE207" i="7" s="1"/>
  <c r="Z196" i="7"/>
  <c r="AE196" i="7" s="1"/>
  <c r="Z210" i="7"/>
  <c r="AE210" i="7" s="1"/>
  <c r="Z280" i="7"/>
  <c r="AE280" i="7" s="1"/>
  <c r="Z273" i="7"/>
  <c r="AE273" i="7" s="1"/>
  <c r="Z345" i="7"/>
  <c r="AE345" i="7" s="1"/>
  <c r="AA3" i="7"/>
  <c r="AF3" i="7" s="1"/>
  <c r="AA145" i="7"/>
  <c r="AF145" i="7" s="1"/>
  <c r="AA77" i="7"/>
  <c r="AF77" i="7" s="1"/>
  <c r="AA24" i="7"/>
  <c r="AF24" i="7" s="1"/>
  <c r="AA158" i="7"/>
  <c r="AF158" i="7" s="1"/>
  <c r="AA147" i="7"/>
  <c r="AF147" i="7" s="1"/>
  <c r="AA162" i="7"/>
  <c r="AF162" i="7" s="1"/>
  <c r="AA257" i="7"/>
  <c r="AF257" i="7" s="1"/>
  <c r="AA223" i="7"/>
  <c r="AF223" i="7" s="1"/>
  <c r="AA357" i="7"/>
  <c r="AF357" i="7" s="1"/>
  <c r="AC57" i="7"/>
  <c r="AC159" i="7"/>
  <c r="AC239" i="7"/>
  <c r="AC8" i="7"/>
  <c r="Z8" i="7"/>
  <c r="AE8" i="7" s="1"/>
  <c r="Z178" i="7"/>
  <c r="AE178" i="7" s="1"/>
  <c r="AC178" i="7"/>
  <c r="Z268" i="7"/>
  <c r="AE268" i="7" s="1"/>
  <c r="AC268" i="7"/>
  <c r="AC289" i="7"/>
  <c r="Z289" i="7"/>
  <c r="AE289" i="7" s="1"/>
  <c r="AA32" i="7"/>
  <c r="AF32" i="7" s="1"/>
  <c r="AD9" i="7"/>
  <c r="AA9" i="7"/>
  <c r="AF9" i="7" s="1"/>
  <c r="AD129" i="7"/>
  <c r="AA129" i="7"/>
  <c r="AF129" i="7" s="1"/>
  <c r="AA29" i="7"/>
  <c r="AF29" i="7" s="1"/>
  <c r="AD29" i="7"/>
  <c r="AD165" i="7"/>
  <c r="AA165" i="7"/>
  <c r="AF165" i="7" s="1"/>
  <c r="AA100" i="7"/>
  <c r="AF100" i="7" s="1"/>
  <c r="AD100" i="7"/>
  <c r="AD27" i="7"/>
  <c r="AA27" i="7"/>
  <c r="AF27" i="7" s="1"/>
  <c r="AA22" i="7"/>
  <c r="AF22" i="7" s="1"/>
  <c r="AA47" i="7"/>
  <c r="AF47" i="7" s="1"/>
  <c r="AD47" i="7"/>
  <c r="AA187" i="7"/>
  <c r="AF187" i="7" s="1"/>
  <c r="AD187" i="7"/>
  <c r="AD179" i="7"/>
  <c r="AA179" i="7"/>
  <c r="AF179" i="7" s="1"/>
  <c r="AA266" i="7"/>
  <c r="AF266" i="7" s="1"/>
  <c r="AD266" i="7"/>
  <c r="AD271" i="7"/>
  <c r="AA271" i="7"/>
  <c r="AF271" i="7" s="1"/>
  <c r="AA322" i="7"/>
  <c r="AF322" i="7" s="1"/>
  <c r="AD322" i="7"/>
  <c r="AD293" i="7"/>
  <c r="AA293" i="7"/>
  <c r="AF293" i="7" s="1"/>
  <c r="AA261" i="7"/>
  <c r="AF261" i="7" s="1"/>
  <c r="AD261" i="7"/>
  <c r="AA267" i="7"/>
  <c r="AF267" i="7" s="1"/>
  <c r="AD267" i="7"/>
  <c r="AD202" i="7"/>
  <c r="AA202" i="7"/>
  <c r="AF202" i="7" s="1"/>
  <c r="AD253" i="7"/>
  <c r="AA253" i="7"/>
  <c r="AF253" i="7" s="1"/>
  <c r="AA230" i="7"/>
  <c r="AF230" i="7" s="1"/>
  <c r="AD230" i="7"/>
  <c r="AD331" i="7"/>
  <c r="AA331" i="7"/>
  <c r="AF331" i="7" s="1"/>
  <c r="AD366" i="7"/>
  <c r="AA366" i="7"/>
  <c r="AF366" i="7" s="1"/>
  <c r="AA260" i="7"/>
  <c r="AF260" i="7" s="1"/>
  <c r="AD260" i="7"/>
  <c r="AA348" i="7"/>
  <c r="AF348" i="7" s="1"/>
  <c r="AD348" i="7"/>
  <c r="AA283" i="7"/>
  <c r="AF283" i="7" s="1"/>
  <c r="AD283" i="7"/>
  <c r="Z79" i="7"/>
  <c r="AE79" i="7" s="1"/>
  <c r="Z139" i="7"/>
  <c r="AE139" i="7" s="1"/>
  <c r="Z14" i="7"/>
  <c r="AE14" i="7" s="1"/>
  <c r="Z158" i="7"/>
  <c r="AE158" i="7" s="1"/>
  <c r="Z49" i="7"/>
  <c r="AE49" i="7" s="1"/>
  <c r="Z45" i="7"/>
  <c r="AE45" i="7" s="1"/>
  <c r="Z182" i="7"/>
  <c r="AE182" i="7" s="1"/>
  <c r="Z233" i="7"/>
  <c r="AE233" i="7" s="1"/>
  <c r="Z261" i="7"/>
  <c r="AE261" i="7" s="1"/>
  <c r="Z220" i="7"/>
  <c r="AE220" i="7" s="1"/>
  <c r="Z202" i="7"/>
  <c r="AE202" i="7" s="1"/>
  <c r="Z360" i="7"/>
  <c r="AE360" i="7" s="1"/>
  <c r="Z361" i="7"/>
  <c r="AE361" i="7" s="1"/>
  <c r="Z319" i="7"/>
  <c r="AE319" i="7" s="1"/>
  <c r="Z291" i="7"/>
  <c r="AE291" i="7" s="1"/>
  <c r="AA50" i="7"/>
  <c r="AF50" i="7" s="1"/>
  <c r="AA7" i="7"/>
  <c r="AF7" i="7" s="1"/>
  <c r="AA176" i="7"/>
  <c r="AF176" i="7" s="1"/>
  <c r="AA188" i="7"/>
  <c r="AF188" i="7" s="1"/>
  <c r="AA103" i="7"/>
  <c r="AF103" i="7" s="1"/>
  <c r="AA146" i="7"/>
  <c r="AF146" i="7" s="1"/>
  <c r="AA157" i="7"/>
  <c r="AF157" i="7" s="1"/>
  <c r="AA198" i="7"/>
  <c r="AF198" i="7" s="1"/>
  <c r="AA264" i="7"/>
  <c r="AF264" i="7" s="1"/>
  <c r="AA345" i="7"/>
  <c r="AF345" i="7" s="1"/>
  <c r="AC126" i="7"/>
  <c r="AC80" i="7"/>
  <c r="AC346" i="7"/>
  <c r="AD22" i="7"/>
  <c r="AB236" i="7"/>
  <c r="AA236" i="7"/>
  <c r="AF236" i="7" s="1"/>
  <c r="AB222" i="7"/>
  <c r="AA222" i="7"/>
  <c r="AF222" i="7" s="1"/>
  <c r="AA291" i="7"/>
  <c r="AF291" i="7" s="1"/>
  <c r="AB291" i="7"/>
  <c r="Z82" i="7"/>
  <c r="AE82" i="7" s="1"/>
  <c r="AC82" i="7"/>
  <c r="Z24" i="7"/>
  <c r="AE24" i="7" s="1"/>
  <c r="AC24" i="7"/>
  <c r="Z150" i="7"/>
  <c r="AE150" i="7" s="1"/>
  <c r="AC150" i="7"/>
  <c r="Z206" i="7"/>
  <c r="AE206" i="7" s="1"/>
  <c r="AC206" i="7"/>
  <c r="Z302" i="7"/>
  <c r="AE302" i="7" s="1"/>
  <c r="AC302" i="7"/>
  <c r="AC347" i="7"/>
  <c r="Z347" i="7"/>
  <c r="AE347" i="7" s="1"/>
  <c r="Z242" i="7"/>
  <c r="AE242" i="7" s="1"/>
  <c r="AC242" i="7"/>
  <c r="AC313" i="7"/>
  <c r="Z313" i="7"/>
  <c r="AE313" i="7" s="1"/>
  <c r="Z295" i="7"/>
  <c r="AE295" i="7" s="1"/>
  <c r="AC295" i="7"/>
  <c r="Z343" i="7"/>
  <c r="AE343" i="7" s="1"/>
  <c r="AC343" i="7"/>
  <c r="Z219" i="7"/>
  <c r="AE219" i="7" s="1"/>
  <c r="AC219" i="7"/>
  <c r="AC364" i="7"/>
  <c r="Z364" i="7"/>
  <c r="AE364" i="7" s="1"/>
  <c r="Z352" i="7"/>
  <c r="AE352" i="7" s="1"/>
  <c r="AC352" i="7"/>
  <c r="AA107" i="7"/>
  <c r="AF107" i="7" s="1"/>
  <c r="AA38" i="7"/>
  <c r="AF38" i="7" s="1"/>
  <c r="AD38" i="7"/>
  <c r="AD137" i="7"/>
  <c r="AA137" i="7"/>
  <c r="AF137" i="7" s="1"/>
  <c r="AA26" i="7"/>
  <c r="AF26" i="7" s="1"/>
  <c r="AD26" i="7"/>
  <c r="AA78" i="7"/>
  <c r="AF78" i="7" s="1"/>
  <c r="AD78" i="7"/>
  <c r="AA101" i="7"/>
  <c r="AF101" i="7" s="1"/>
  <c r="AD101" i="7"/>
  <c r="AD25" i="7"/>
  <c r="AA25" i="7"/>
  <c r="AF25" i="7" s="1"/>
  <c r="AA160" i="7"/>
  <c r="AF160" i="7" s="1"/>
  <c r="AA61" i="7"/>
  <c r="AF61" i="7" s="1"/>
  <c r="AD61" i="7"/>
  <c r="AA118" i="7"/>
  <c r="AF118" i="7" s="1"/>
  <c r="AD118" i="7"/>
  <c r="AA151" i="7"/>
  <c r="AF151" i="7" s="1"/>
  <c r="AD151" i="7"/>
  <c r="AD18" i="7"/>
  <c r="AA18" i="7"/>
  <c r="AF18" i="7" s="1"/>
  <c r="AD71" i="7"/>
  <c r="AA71" i="7"/>
  <c r="AF71" i="7" s="1"/>
  <c r="AD143" i="7"/>
  <c r="AA143" i="7"/>
  <c r="AF143" i="7" s="1"/>
  <c r="AD181" i="7"/>
  <c r="AA181" i="7"/>
  <c r="AF181" i="7" s="1"/>
  <c r="AD58" i="7"/>
  <c r="AA58" i="7"/>
  <c r="AF58" i="7" s="1"/>
  <c r="AD214" i="7"/>
  <c r="AA214" i="7"/>
  <c r="AF214" i="7" s="1"/>
  <c r="AD234" i="7"/>
  <c r="AA234" i="7"/>
  <c r="AF234" i="7" s="1"/>
  <c r="AD200" i="7"/>
  <c r="AA200" i="7"/>
  <c r="AF200" i="7" s="1"/>
  <c r="AD354" i="7"/>
  <c r="AA354" i="7"/>
  <c r="AF354" i="7" s="1"/>
  <c r="AD274" i="7"/>
  <c r="AA274" i="7"/>
  <c r="AF274" i="7" s="1"/>
  <c r="AD325" i="7"/>
  <c r="AA325" i="7"/>
  <c r="AF325" i="7" s="1"/>
  <c r="AD365" i="7"/>
  <c r="AA365" i="7"/>
  <c r="AF365" i="7" s="1"/>
  <c r="AD315" i="7"/>
  <c r="AA315" i="7"/>
  <c r="AF315" i="7" s="1"/>
  <c r="AD203" i="7"/>
  <c r="AA203" i="7"/>
  <c r="AF203" i="7" s="1"/>
  <c r="AD320" i="7"/>
  <c r="AA320" i="7"/>
  <c r="AF320" i="7" s="1"/>
  <c r="AD246" i="7"/>
  <c r="AA246" i="7"/>
  <c r="AF246" i="7" s="1"/>
  <c r="AD339" i="7"/>
  <c r="AA339" i="7"/>
  <c r="AF339" i="7" s="1"/>
  <c r="AD340" i="7"/>
  <c r="AA340" i="7"/>
  <c r="AF340" i="7" s="1"/>
  <c r="AD275" i="7"/>
  <c r="AA275" i="7"/>
  <c r="AF275" i="7" s="1"/>
  <c r="AD281" i="7"/>
  <c r="AA281" i="7"/>
  <c r="AF281" i="7" s="1"/>
  <c r="Z140" i="7"/>
  <c r="AE140" i="7" s="1"/>
  <c r="Z40" i="7"/>
  <c r="AE40" i="7" s="1"/>
  <c r="Z116" i="7"/>
  <c r="AE116" i="7" s="1"/>
  <c r="Z148" i="7"/>
  <c r="AE148" i="7" s="1"/>
  <c r="Z28" i="7"/>
  <c r="AE28" i="7" s="1"/>
  <c r="Z103" i="7"/>
  <c r="AE103" i="7" s="1"/>
  <c r="Z164" i="7"/>
  <c r="AE164" i="7" s="1"/>
  <c r="Z67" i="7"/>
  <c r="AE67" i="7" s="1"/>
  <c r="Z93" i="7"/>
  <c r="AE93" i="7" s="1"/>
  <c r="Z31" i="7"/>
  <c r="AE31" i="7" s="1"/>
  <c r="Z328" i="7"/>
  <c r="AE328" i="7" s="1"/>
  <c r="Z297" i="7"/>
  <c r="AE297" i="7" s="1"/>
  <c r="Z274" i="7"/>
  <c r="AE274" i="7" s="1"/>
  <c r="Z323" i="7"/>
  <c r="AE323" i="7" s="1"/>
  <c r="Z315" i="7"/>
  <c r="AE315" i="7" s="1"/>
  <c r="Z311" i="7"/>
  <c r="AE311" i="7" s="1"/>
  <c r="Z235" i="7"/>
  <c r="AE235" i="7" s="1"/>
  <c r="Z327" i="7"/>
  <c r="AE327" i="7" s="1"/>
  <c r="Z330" i="7"/>
  <c r="AE330" i="7" s="1"/>
  <c r="AA86" i="7"/>
  <c r="AF86" i="7" s="1"/>
  <c r="AA124" i="7"/>
  <c r="AF124" i="7" s="1"/>
  <c r="AA99" i="7"/>
  <c r="AF99" i="7" s="1"/>
  <c r="AA155" i="7"/>
  <c r="AF155" i="7" s="1"/>
  <c r="AA54" i="7"/>
  <c r="AF54" i="7" s="1"/>
  <c r="AA56" i="7"/>
  <c r="AF56" i="7" s="1"/>
  <c r="AA192" i="7"/>
  <c r="AF192" i="7" s="1"/>
  <c r="AA259" i="7"/>
  <c r="AF259" i="7" s="1"/>
  <c r="AA243" i="7"/>
  <c r="AF243" i="7" s="1"/>
  <c r="AA228" i="7"/>
  <c r="AF228" i="7" s="1"/>
  <c r="AA319" i="7"/>
  <c r="AF319" i="7" s="1"/>
  <c r="AC163" i="7"/>
  <c r="AC138" i="7"/>
  <c r="AC183" i="7"/>
  <c r="AC303" i="7"/>
  <c r="Z51" i="7"/>
  <c r="AE51" i="7" s="1"/>
  <c r="AC51" i="7"/>
  <c r="Z172" i="7"/>
  <c r="AE172" i="7" s="1"/>
  <c r="AC172" i="7"/>
  <c r="Z188" i="7"/>
  <c r="AE188" i="7" s="1"/>
  <c r="AC188" i="7"/>
  <c r="Z180" i="7"/>
  <c r="AE180" i="7" s="1"/>
  <c r="AC180" i="7"/>
  <c r="Z147" i="7"/>
  <c r="AE147" i="7" s="1"/>
  <c r="AC147" i="7"/>
  <c r="Z184" i="7"/>
  <c r="AE184" i="7" s="1"/>
  <c r="AC184" i="7"/>
  <c r="Z170" i="7"/>
  <c r="AE170" i="7" s="1"/>
  <c r="AC170" i="7"/>
  <c r="Z162" i="7"/>
  <c r="AE162" i="7" s="1"/>
  <c r="AC162" i="7"/>
  <c r="Z236" i="7"/>
  <c r="AE236" i="7" s="1"/>
  <c r="AC236" i="7"/>
  <c r="Z269" i="7"/>
  <c r="AE269" i="7" s="1"/>
  <c r="AC269" i="7"/>
  <c r="Z257" i="7"/>
  <c r="AE257" i="7" s="1"/>
  <c r="AC257" i="7"/>
  <c r="Z248" i="7"/>
  <c r="AE248" i="7" s="1"/>
  <c r="AC248" i="7"/>
  <c r="Z324" i="7"/>
  <c r="AE324" i="7" s="1"/>
  <c r="AC324" i="7"/>
  <c r="Z195" i="7"/>
  <c r="AE195" i="7" s="1"/>
  <c r="AC195" i="7"/>
  <c r="Z349" i="7"/>
  <c r="AE349" i="7" s="1"/>
  <c r="AC349" i="7"/>
  <c r="Z211" i="7"/>
  <c r="AE211" i="7" s="1"/>
  <c r="AC211" i="7"/>
  <c r="Z256" i="7"/>
  <c r="AE256" i="7" s="1"/>
  <c r="AC256" i="7"/>
  <c r="Z357" i="7"/>
  <c r="AE357" i="7" s="1"/>
  <c r="AC357" i="7"/>
  <c r="Z301" i="7"/>
  <c r="AE301" i="7" s="1"/>
  <c r="AC301" i="7"/>
  <c r="Z222" i="7"/>
  <c r="AE222" i="7" s="1"/>
  <c r="AC222" i="7"/>
  <c r="AA90" i="7"/>
  <c r="AF90" i="7" s="1"/>
  <c r="AA41" i="7"/>
  <c r="AF41" i="7" s="1"/>
  <c r="AD41" i="7"/>
  <c r="AA33" i="7"/>
  <c r="AF33" i="7" s="1"/>
  <c r="AA121" i="7"/>
  <c r="AF121" i="7" s="1"/>
  <c r="AD121" i="7"/>
  <c r="AA95" i="7"/>
  <c r="AF95" i="7" s="1"/>
  <c r="AD95" i="7"/>
  <c r="AA148" i="7"/>
  <c r="AF148" i="7" s="1"/>
  <c r="AD148" i="7"/>
  <c r="AA161" i="7"/>
  <c r="AF161" i="7" s="1"/>
  <c r="AD161" i="7"/>
  <c r="AD175" i="7"/>
  <c r="AA175" i="7"/>
  <c r="AF175" i="7" s="1"/>
  <c r="AD28" i="7"/>
  <c r="AA28" i="7"/>
  <c r="AF28" i="7" s="1"/>
  <c r="AD88" i="7"/>
  <c r="AA88" i="7"/>
  <c r="AF88" i="7" s="1"/>
  <c r="AD112" i="7"/>
  <c r="AA112" i="7"/>
  <c r="AF112" i="7" s="1"/>
  <c r="AD164" i="7"/>
  <c r="AA164" i="7"/>
  <c r="AF164" i="7" s="1"/>
  <c r="AD127" i="7"/>
  <c r="AA127" i="7"/>
  <c r="AF127" i="7" s="1"/>
  <c r="AD12" i="7"/>
  <c r="AA12" i="7"/>
  <c r="AF12" i="7" s="1"/>
  <c r="AD110" i="7"/>
  <c r="AA110" i="7"/>
  <c r="AF110" i="7" s="1"/>
  <c r="AD183" i="7"/>
  <c r="AA183" i="7"/>
  <c r="AF183" i="7" s="1"/>
  <c r="AD255" i="7"/>
  <c r="AA255" i="7"/>
  <c r="AF255" i="7" s="1"/>
  <c r="AD350" i="7"/>
  <c r="AA350" i="7"/>
  <c r="AF350" i="7" s="1"/>
  <c r="AD240" i="7"/>
  <c r="AA240" i="7"/>
  <c r="AF240" i="7" s="1"/>
  <c r="AD227" i="7"/>
  <c r="AA227" i="7"/>
  <c r="AF227" i="7" s="1"/>
  <c r="AD326" i="7"/>
  <c r="AA326" i="7"/>
  <c r="AF326" i="7" s="1"/>
  <c r="AD194" i="7"/>
  <c r="AA194" i="7"/>
  <c r="AF194" i="7" s="1"/>
  <c r="AD309" i="7"/>
  <c r="AA309" i="7"/>
  <c r="AF309" i="7" s="1"/>
  <c r="AD244" i="7"/>
  <c r="AA244" i="7"/>
  <c r="AF244" i="7" s="1"/>
  <c r="AD296" i="7"/>
  <c r="AA296" i="7"/>
  <c r="AF296" i="7" s="1"/>
  <c r="AD290" i="7"/>
  <c r="AA290" i="7"/>
  <c r="AF290" i="7" s="1"/>
  <c r="AD333" i="7"/>
  <c r="AA333" i="7"/>
  <c r="AF333" i="7" s="1"/>
  <c r="AD285" i="7"/>
  <c r="AA285" i="7"/>
  <c r="AF285" i="7" s="1"/>
  <c r="AD358" i="7"/>
  <c r="AA358" i="7"/>
  <c r="AF358" i="7" s="1"/>
  <c r="AD314" i="7"/>
  <c r="AA314" i="7"/>
  <c r="AF314" i="7" s="1"/>
  <c r="AD304" i="7"/>
  <c r="AA304" i="7"/>
  <c r="AF304" i="7" s="1"/>
  <c r="Z68" i="7"/>
  <c r="AE68" i="7" s="1"/>
  <c r="Z96" i="7"/>
  <c r="AE96" i="7" s="1"/>
  <c r="Z125" i="7"/>
  <c r="AE125" i="7" s="1"/>
  <c r="Z64" i="7"/>
  <c r="AE64" i="7" s="1"/>
  <c r="Z76" i="7"/>
  <c r="AE76" i="7" s="1"/>
  <c r="Z117" i="7"/>
  <c r="AE117" i="7" s="1"/>
  <c r="Z46" i="7"/>
  <c r="AE46" i="7" s="1"/>
  <c r="Z187" i="7"/>
  <c r="AE187" i="7" s="1"/>
  <c r="Z169" i="7"/>
  <c r="AE169" i="7" s="1"/>
  <c r="Z271" i="7"/>
  <c r="AE271" i="7" s="1"/>
  <c r="Z254" i="7"/>
  <c r="AE254" i="7" s="1"/>
  <c r="Z326" i="7"/>
  <c r="AE326" i="7" s="1"/>
  <c r="Z232" i="7"/>
  <c r="AE232" i="7" s="1"/>
  <c r="Z244" i="7"/>
  <c r="AE244" i="7" s="1"/>
  <c r="Z230" i="7"/>
  <c r="AE230" i="7" s="1"/>
  <c r="Z338" i="7"/>
  <c r="AE338" i="7" s="1"/>
  <c r="Z260" i="7"/>
  <c r="AE260" i="7" s="1"/>
  <c r="Z362" i="7"/>
  <c r="AE362" i="7" s="1"/>
  <c r="AA79" i="7"/>
  <c r="AF79" i="7" s="1"/>
  <c r="AA139" i="7"/>
  <c r="AF139" i="7" s="1"/>
  <c r="AA73" i="7"/>
  <c r="AF73" i="7" s="1"/>
  <c r="AA114" i="7"/>
  <c r="AF114" i="7" s="1"/>
  <c r="AA102" i="7"/>
  <c r="AF102" i="7" s="1"/>
  <c r="AA83" i="7"/>
  <c r="AF83" i="7" s="1"/>
  <c r="AA94" i="7"/>
  <c r="AF94" i="7" s="1"/>
  <c r="AA233" i="7"/>
  <c r="AF233" i="7" s="1"/>
  <c r="AA205" i="7"/>
  <c r="AF205" i="7" s="1"/>
  <c r="AA360" i="7"/>
  <c r="AF360" i="7" s="1"/>
  <c r="AA272" i="7"/>
  <c r="AF272" i="7" s="1"/>
  <c r="AB130" i="7"/>
  <c r="AC108" i="7"/>
  <c r="AC241" i="7"/>
  <c r="AC288" i="7"/>
  <c r="AB212" i="7"/>
  <c r="AA212" i="7"/>
  <c r="AF212" i="7" s="1"/>
  <c r="AC54" i="7"/>
  <c r="Z54" i="7"/>
  <c r="AE54" i="7" s="1"/>
  <c r="Z74" i="7"/>
  <c r="AE74" i="7" s="1"/>
  <c r="AC74" i="7"/>
  <c r="Z171" i="7"/>
  <c r="AE171" i="7" s="1"/>
  <c r="AC171" i="7"/>
  <c r="Z201" i="7"/>
  <c r="AE201" i="7" s="1"/>
  <c r="AC201" i="7"/>
  <c r="Z198" i="7"/>
  <c r="AE198" i="7" s="1"/>
  <c r="Z249" i="7"/>
  <c r="AE249" i="7" s="1"/>
  <c r="AC249" i="7"/>
  <c r="AC262" i="7"/>
  <c r="Z262" i="7"/>
  <c r="AE262" i="7" s="1"/>
  <c r="AA166" i="7"/>
  <c r="AF166" i="7" s="1"/>
  <c r="AD120" i="7"/>
  <c r="AA120" i="7"/>
  <c r="AF120" i="7" s="1"/>
  <c r="AA189" i="7"/>
  <c r="AF189" i="7" s="1"/>
  <c r="AD189" i="7"/>
  <c r="AD37" i="7"/>
  <c r="AA37" i="7"/>
  <c r="AF37" i="7" s="1"/>
  <c r="AD177" i="7"/>
  <c r="AA177" i="7"/>
  <c r="AF177" i="7" s="1"/>
  <c r="AD117" i="7"/>
  <c r="AA117" i="7"/>
  <c r="AF117" i="7" s="1"/>
  <c r="AD135" i="7"/>
  <c r="AA135" i="7"/>
  <c r="AF135" i="7" s="1"/>
  <c r="AD191" i="7"/>
  <c r="AA191" i="7"/>
  <c r="AF191" i="7" s="1"/>
  <c r="AD44" i="7"/>
  <c r="AA44" i="7"/>
  <c r="AF44" i="7" s="1"/>
  <c r="AD241" i="7"/>
  <c r="AA241" i="7"/>
  <c r="AF241" i="7" s="1"/>
  <c r="AD297" i="7"/>
  <c r="AA297" i="7"/>
  <c r="AF297" i="7" s="1"/>
  <c r="AD263" i="7"/>
  <c r="AA263" i="7"/>
  <c r="AF263" i="7" s="1"/>
  <c r="AD303" i="7"/>
  <c r="AA303" i="7"/>
  <c r="AF303" i="7" s="1"/>
  <c r="AD217" i="7"/>
  <c r="AA217" i="7"/>
  <c r="AF217" i="7" s="1"/>
  <c r="AD270" i="7"/>
  <c r="AA270" i="7"/>
  <c r="AF270" i="7" s="1"/>
  <c r="AD224" i="7"/>
  <c r="AA224" i="7"/>
  <c r="AF224" i="7" s="1"/>
  <c r="AD361" i="7"/>
  <c r="AA361" i="7"/>
  <c r="AF361" i="7" s="1"/>
  <c r="AD307" i="7"/>
  <c r="AA307" i="7"/>
  <c r="AF307" i="7" s="1"/>
  <c r="AD258" i="7"/>
  <c r="AA258" i="7"/>
  <c r="AF258" i="7" s="1"/>
  <c r="Z332" i="7"/>
  <c r="AE332" i="7" s="1"/>
  <c r="Z120" i="7"/>
  <c r="AE120" i="7" s="1"/>
  <c r="Z141" i="7"/>
  <c r="AE141" i="7" s="1"/>
  <c r="Z16" i="7"/>
  <c r="AE16" i="7" s="1"/>
  <c r="Z98" i="7"/>
  <c r="AE98" i="7" s="1"/>
  <c r="Z185" i="7"/>
  <c r="AE185" i="7" s="1"/>
  <c r="Z100" i="7"/>
  <c r="AE100" i="7" s="1"/>
  <c r="Z72" i="7"/>
  <c r="AE72" i="7" s="1"/>
  <c r="Z35" i="7"/>
  <c r="AE35" i="7" s="1"/>
  <c r="Z59" i="7"/>
  <c r="AE59" i="7" s="1"/>
  <c r="Z157" i="7"/>
  <c r="AE157" i="7" s="1"/>
  <c r="Z234" i="7"/>
  <c r="AE234" i="7" s="1"/>
  <c r="Z213" i="7"/>
  <c r="AE213" i="7" s="1"/>
  <c r="Z317" i="7"/>
  <c r="AE317" i="7" s="1"/>
  <c r="Z212" i="7"/>
  <c r="AE212" i="7" s="1"/>
  <c r="Z320" i="7"/>
  <c r="AE320" i="7" s="1"/>
  <c r="Z204" i="7"/>
  <c r="AE204" i="7" s="1"/>
  <c r="Z318" i="7"/>
  <c r="AE318" i="7" s="1"/>
  <c r="Z329" i="7"/>
  <c r="AE329" i="7" s="1"/>
  <c r="AA140" i="7"/>
  <c r="AF140" i="7" s="1"/>
  <c r="AA57" i="7"/>
  <c r="AF57" i="7" s="1"/>
  <c r="AA168" i="7"/>
  <c r="AF168" i="7" s="1"/>
  <c r="AA69" i="7"/>
  <c r="AF69" i="7" s="1"/>
  <c r="AA60" i="7"/>
  <c r="AF60" i="7" s="1"/>
  <c r="AA190" i="7"/>
  <c r="AF190" i="7" s="1"/>
  <c r="AA174" i="7"/>
  <c r="AF174" i="7" s="1"/>
  <c r="AA328" i="7"/>
  <c r="AF328" i="7" s="1"/>
  <c r="AA265" i="7"/>
  <c r="AF265" i="7" s="1"/>
  <c r="AA311" i="7"/>
  <c r="AF311" i="7" s="1"/>
  <c r="AA316" i="7"/>
  <c r="AF316" i="7" s="1"/>
  <c r="AB8" i="7"/>
  <c r="AC251" i="7"/>
  <c r="AC367" i="7"/>
  <c r="AC282" i="7"/>
  <c r="AD160" i="7"/>
  <c r="AB278" i="7"/>
  <c r="AA278" i="7"/>
  <c r="AF278" i="7" s="1"/>
  <c r="Z48" i="7"/>
  <c r="AE48" i="7" s="1"/>
  <c r="AC48" i="7"/>
  <c r="Z65" i="7"/>
  <c r="AE65" i="7" s="1"/>
  <c r="AC65" i="7"/>
  <c r="Z70" i="7"/>
  <c r="AE70" i="7" s="1"/>
  <c r="Z243" i="7"/>
  <c r="AE243" i="7" s="1"/>
  <c r="AC310" i="7"/>
  <c r="Z310" i="7"/>
  <c r="AE310" i="7" s="1"/>
  <c r="AD4" i="7"/>
  <c r="AA4" i="7"/>
  <c r="AF4" i="7" s="1"/>
  <c r="AD105" i="7"/>
  <c r="AA105" i="7"/>
  <c r="AF105" i="7" s="1"/>
  <c r="AD136" i="7"/>
  <c r="AA136" i="7"/>
  <c r="AF136" i="7" s="1"/>
  <c r="AA72" i="7"/>
  <c r="AF72" i="7" s="1"/>
  <c r="AD11" i="7"/>
  <c r="AA11" i="7"/>
  <c r="AF11" i="7" s="1"/>
  <c r="AD89" i="7"/>
  <c r="AA89" i="7"/>
  <c r="AF89" i="7" s="1"/>
  <c r="AD251" i="7"/>
  <c r="AA251" i="7"/>
  <c r="AF251" i="7" s="1"/>
  <c r="AD277" i="7"/>
  <c r="AA277" i="7"/>
  <c r="AF277" i="7" s="1"/>
  <c r="AD342" i="7"/>
  <c r="AA342" i="7"/>
  <c r="AF342" i="7" s="1"/>
  <c r="AA312" i="7"/>
  <c r="AF312" i="7" s="1"/>
  <c r="AD312" i="7"/>
  <c r="AD273" i="7"/>
  <c r="AA273" i="7"/>
  <c r="AF273" i="7" s="1"/>
  <c r="AD276" i="7"/>
  <c r="AA276" i="7"/>
  <c r="AF276" i="7" s="1"/>
  <c r="AD318" i="7"/>
  <c r="AA318" i="7"/>
  <c r="AF318" i="7" s="1"/>
  <c r="Z152" i="7"/>
  <c r="AE152" i="7" s="1"/>
  <c r="Z4" i="7"/>
  <c r="AE4" i="7" s="1"/>
  <c r="Z78" i="7"/>
  <c r="AE78" i="7" s="1"/>
  <c r="Z155" i="7"/>
  <c r="AE155" i="7" s="1"/>
  <c r="Z160" i="7"/>
  <c r="AE160" i="7" s="1"/>
  <c r="Z81" i="7"/>
  <c r="AE81" i="7" s="1"/>
  <c r="Z151" i="7"/>
  <c r="AE151" i="7" s="1"/>
  <c r="Z186" i="7"/>
  <c r="AE186" i="7" s="1"/>
  <c r="Z94" i="7"/>
  <c r="AE94" i="7" s="1"/>
  <c r="Z34" i="7"/>
  <c r="AE34" i="7" s="1"/>
  <c r="Z259" i="7"/>
  <c r="AE259" i="7" s="1"/>
  <c r="Z350" i="7"/>
  <c r="AE350" i="7" s="1"/>
  <c r="Z298" i="7"/>
  <c r="AE298" i="7" s="1"/>
  <c r="Z342" i="7"/>
  <c r="AE342" i="7" s="1"/>
  <c r="Z237" i="7"/>
  <c r="AE237" i="7" s="1"/>
  <c r="Z290" i="7"/>
  <c r="AE290" i="7" s="1"/>
  <c r="Z355" i="7"/>
  <c r="AE355" i="7" s="1"/>
  <c r="Z283" i="7"/>
  <c r="AE283" i="7" s="1"/>
  <c r="AA68" i="7"/>
  <c r="AF68" i="7" s="1"/>
  <c r="AA126" i="7"/>
  <c r="AF126" i="7" s="1"/>
  <c r="AA17" i="7"/>
  <c r="AF17" i="7" s="1"/>
  <c r="AA76" i="7"/>
  <c r="AF76" i="7" s="1"/>
  <c r="AA36" i="7"/>
  <c r="AF36" i="7" s="1"/>
  <c r="AA294" i="7"/>
  <c r="AF294" i="7" s="1"/>
  <c r="AA209" i="7"/>
  <c r="AF209" i="7" s="1"/>
  <c r="AA359" i="7"/>
  <c r="AF359" i="7" s="1"/>
  <c r="AA292" i="7"/>
  <c r="AF292" i="7" s="1"/>
  <c r="AC5" i="7"/>
  <c r="AC73" i="7"/>
  <c r="AC344" i="7"/>
  <c r="AD33" i="7"/>
  <c r="AB238" i="7"/>
  <c r="AA238" i="7"/>
  <c r="AF238" i="7" s="1"/>
  <c r="AA334" i="7"/>
  <c r="AF334" i="7" s="1"/>
  <c r="AB334" i="7"/>
  <c r="AB31" i="7"/>
  <c r="AA31" i="7"/>
  <c r="AF31" i="7" s="1"/>
  <c r="Z149" i="7"/>
  <c r="AE149" i="7" s="1"/>
  <c r="AC149" i="7"/>
  <c r="Z84" i="7"/>
  <c r="AE84" i="7" s="1"/>
  <c r="Z167" i="7"/>
  <c r="AE167" i="7" s="1"/>
  <c r="Z306" i="7"/>
  <c r="AE306" i="7" s="1"/>
  <c r="AC265" i="7"/>
  <c r="Z265" i="7"/>
  <c r="AE265" i="7" s="1"/>
  <c r="Z337" i="7"/>
  <c r="AE337" i="7" s="1"/>
  <c r="AC337" i="7"/>
  <c r="AC231" i="7"/>
  <c r="Z231" i="7"/>
  <c r="AE231" i="7" s="1"/>
  <c r="AA156" i="7"/>
  <c r="AF156" i="7" s="1"/>
  <c r="AD156" i="7"/>
  <c r="AA40" i="7"/>
  <c r="AF40" i="7" s="1"/>
  <c r="AD40" i="7"/>
  <c r="AD62" i="7"/>
  <c r="AA62" i="7"/>
  <c r="AF62" i="7" s="1"/>
  <c r="AD186" i="7"/>
  <c r="AA186" i="7"/>
  <c r="AF186" i="7" s="1"/>
  <c r="AD49" i="7"/>
  <c r="AA49" i="7"/>
  <c r="AF49" i="7" s="1"/>
  <c r="AD123" i="7"/>
  <c r="AA123" i="7"/>
  <c r="AF123" i="7" s="1"/>
  <c r="AD182" i="7"/>
  <c r="AA182" i="7"/>
  <c r="AF182" i="7" s="1"/>
  <c r="AD321" i="7"/>
  <c r="AA321" i="7"/>
  <c r="AF321" i="7" s="1"/>
  <c r="AD299" i="7"/>
  <c r="AA299" i="7"/>
  <c r="AF299" i="7" s="1"/>
  <c r="AD336" i="7"/>
  <c r="AA336" i="7"/>
  <c r="AF336" i="7" s="1"/>
  <c r="AD197" i="7"/>
  <c r="AA197" i="7"/>
  <c r="AF197" i="7" s="1"/>
  <c r="AD220" i="7"/>
  <c r="AA220" i="7"/>
  <c r="AF220" i="7" s="1"/>
  <c r="AA335" i="7"/>
  <c r="AF335" i="7" s="1"/>
  <c r="AD335" i="7"/>
  <c r="AD287" i="7"/>
  <c r="AA287" i="7"/>
  <c r="AF287" i="7" s="1"/>
  <c r="AD346" i="7"/>
  <c r="AA346" i="7"/>
  <c r="AF346" i="7" s="1"/>
  <c r="AD215" i="7"/>
  <c r="AA215" i="7"/>
  <c r="AF215" i="7" s="1"/>
  <c r="AD355" i="7"/>
  <c r="AA355" i="7"/>
  <c r="AF355" i="7" s="1"/>
  <c r="AD351" i="7"/>
  <c r="AA351" i="7"/>
  <c r="AF351" i="7" s="1"/>
  <c r="Z156" i="7"/>
  <c r="AE156" i="7" s="1"/>
  <c r="Z95" i="7"/>
  <c r="AE95" i="7" s="1"/>
  <c r="Z114" i="7"/>
  <c r="AE114" i="7" s="1"/>
  <c r="Z175" i="7"/>
  <c r="AE175" i="7" s="1"/>
  <c r="Z20" i="7"/>
  <c r="AE20" i="7" s="1"/>
  <c r="Z112" i="7"/>
  <c r="AE112" i="7" s="1"/>
  <c r="Z106" i="7"/>
  <c r="AE106" i="7" s="1"/>
  <c r="Z174" i="7"/>
  <c r="AE174" i="7" s="1"/>
  <c r="Z144" i="7"/>
  <c r="AE144" i="7" s="1"/>
  <c r="Z208" i="7"/>
  <c r="AE208" i="7" s="1"/>
  <c r="Z294" i="7"/>
  <c r="AE294" i="7" s="1"/>
  <c r="Z293" i="7"/>
  <c r="AE293" i="7" s="1"/>
  <c r="Z197" i="7"/>
  <c r="AE197" i="7" s="1"/>
  <c r="Z267" i="7"/>
  <c r="AE267" i="7" s="1"/>
  <c r="Z228" i="7"/>
  <c r="AE228" i="7" s="1"/>
  <c r="Z341" i="7"/>
  <c r="AE341" i="7" s="1"/>
  <c r="Z281" i="7"/>
  <c r="AE281" i="7" s="1"/>
  <c r="AA115" i="7"/>
  <c r="AF115" i="7" s="1"/>
  <c r="AA163" i="7"/>
  <c r="AF163" i="7" s="1"/>
  <c r="AA119" i="7"/>
  <c r="AF119" i="7" s="1"/>
  <c r="AA82" i="7"/>
  <c r="AF82" i="7" s="1"/>
  <c r="AA185" i="7"/>
  <c r="AF185" i="7" s="1"/>
  <c r="AA131" i="7"/>
  <c r="AF131" i="7" s="1"/>
  <c r="AA85" i="7"/>
  <c r="AF85" i="7" s="1"/>
  <c r="AA245" i="7"/>
  <c r="AF245" i="7" s="1"/>
  <c r="AA210" i="7"/>
  <c r="AF210" i="7" s="1"/>
  <c r="AA239" i="7"/>
  <c r="AF239" i="7" s="1"/>
  <c r="AA279" i="7"/>
  <c r="AF279" i="7" s="1"/>
  <c r="AC168" i="7"/>
  <c r="AC217" i="7"/>
  <c r="AB196" i="7"/>
  <c r="AA196" i="7"/>
  <c r="AF196" i="7" s="1"/>
  <c r="AA113" i="7"/>
  <c r="AF113" i="7" s="1"/>
  <c r="AB113" i="7"/>
  <c r="AA268" i="7"/>
  <c r="AF268" i="7" s="1"/>
  <c r="AB268" i="7"/>
  <c r="AB195" i="7"/>
  <c r="AA195" i="7"/>
  <c r="AF195" i="7" s="1"/>
  <c r="Z32" i="7"/>
  <c r="AE32" i="7" s="1"/>
  <c r="AC115" i="7"/>
  <c r="Z115" i="7"/>
  <c r="AE115" i="7" s="1"/>
  <c r="Z27" i="7"/>
  <c r="AE27" i="7" s="1"/>
  <c r="AC27" i="7"/>
  <c r="Z22" i="7"/>
  <c r="AE22" i="7" s="1"/>
  <c r="AC47" i="7"/>
  <c r="Z47" i="7"/>
  <c r="AE47" i="7" s="1"/>
  <c r="AC356" i="7"/>
  <c r="Z356" i="7"/>
  <c r="AE356" i="7" s="1"/>
  <c r="AC366" i="7"/>
  <c r="Z366" i="7"/>
  <c r="AE366" i="7" s="1"/>
  <c r="AD96" i="7"/>
  <c r="AA96" i="7"/>
  <c r="AF96" i="7" s="1"/>
  <c r="AA178" i="7"/>
  <c r="AF178" i="7" s="1"/>
  <c r="AD20" i="7"/>
  <c r="AA20" i="7"/>
  <c r="AF20" i="7" s="1"/>
  <c r="AD106" i="7"/>
  <c r="AA106" i="7"/>
  <c r="AF106" i="7" s="1"/>
  <c r="Z166" i="7"/>
  <c r="AE166" i="7" s="1"/>
  <c r="Z128" i="7"/>
  <c r="AE128" i="7" s="1"/>
  <c r="Z17" i="7"/>
  <c r="AE17" i="7" s="1"/>
  <c r="Z23" i="7"/>
  <c r="AE23" i="7" s="1"/>
  <c r="Z37" i="7"/>
  <c r="AE37" i="7" s="1"/>
  <c r="Z63" i="7"/>
  <c r="AE63" i="7" s="1"/>
  <c r="Z177" i="7"/>
  <c r="AE177" i="7" s="1"/>
  <c r="Z111" i="7"/>
  <c r="AE111" i="7" s="1"/>
  <c r="Z36" i="7"/>
  <c r="AE36" i="7" s="1"/>
  <c r="Z142" i="7"/>
  <c r="AE142" i="7" s="1"/>
  <c r="Z266" i="7"/>
  <c r="AE266" i="7" s="1"/>
  <c r="Z238" i="7"/>
  <c r="AE238" i="7" s="1"/>
  <c r="Z354" i="7"/>
  <c r="AE354" i="7" s="1"/>
  <c r="Z216" i="7"/>
  <c r="AE216" i="7" s="1"/>
  <c r="Z229" i="7"/>
  <c r="AE229" i="7" s="1"/>
  <c r="Z363" i="7"/>
  <c r="AE363" i="7" s="1"/>
  <c r="Z285" i="7"/>
  <c r="AE285" i="7" s="1"/>
  <c r="Z225" i="7"/>
  <c r="AE225" i="7" s="1"/>
  <c r="Z304" i="7"/>
  <c r="AE304" i="7" s="1"/>
  <c r="AA128" i="7"/>
  <c r="AF128" i="7" s="1"/>
  <c r="AA53" i="7"/>
  <c r="AF53" i="7" s="1"/>
  <c r="AA172" i="7"/>
  <c r="AF172" i="7" s="1"/>
  <c r="AA19" i="7"/>
  <c r="AF19" i="7" s="1"/>
  <c r="AA81" i="7"/>
  <c r="AF81" i="7" s="1"/>
  <c r="AA21" i="7"/>
  <c r="AF21" i="7" s="1"/>
  <c r="AA59" i="7"/>
  <c r="AF59" i="7" s="1"/>
  <c r="AA254" i="7"/>
  <c r="AF254" i="7" s="1"/>
  <c r="AA229" i="7"/>
  <c r="AF229" i="7" s="1"/>
  <c r="AA235" i="7"/>
  <c r="AF235" i="7" s="1"/>
  <c r="AC104" i="7"/>
  <c r="AD14" i="7"/>
  <c r="AD356" i="7"/>
  <c r="AB42" i="7"/>
  <c r="AA42" i="7"/>
  <c r="AF42" i="7" s="1"/>
  <c r="AB170" i="7"/>
  <c r="AA170" i="7"/>
  <c r="AF170" i="7" s="1"/>
  <c r="AC107" i="7"/>
  <c r="Z107" i="7"/>
  <c r="AE107" i="7" s="1"/>
  <c r="AC38" i="7"/>
  <c r="Z38" i="7"/>
  <c r="AE38" i="7" s="1"/>
  <c r="AC137" i="7"/>
  <c r="Z137" i="7"/>
  <c r="AE137" i="7" s="1"/>
  <c r="AC71" i="7"/>
  <c r="Z71" i="7"/>
  <c r="AE71" i="7" s="1"/>
  <c r="AC143" i="7"/>
  <c r="Z143" i="7"/>
  <c r="AE143" i="7" s="1"/>
  <c r="AC181" i="7"/>
  <c r="Z181" i="7"/>
  <c r="AE181" i="7" s="1"/>
  <c r="AC325" i="7"/>
  <c r="Z325" i="7"/>
  <c r="AE325" i="7" s="1"/>
  <c r="AC365" i="7"/>
  <c r="Z365" i="7"/>
  <c r="AE365" i="7" s="1"/>
  <c r="AC339" i="7"/>
  <c r="Z339" i="7"/>
  <c r="AE339" i="7" s="1"/>
  <c r="AC340" i="7"/>
  <c r="Z340" i="7"/>
  <c r="AE340" i="7" s="1"/>
  <c r="AD141" i="7"/>
  <c r="AA141" i="7"/>
  <c r="AF141" i="7" s="1"/>
  <c r="AD134" i="7"/>
  <c r="AA134" i="7"/>
  <c r="AF134" i="7" s="1"/>
  <c r="AD150" i="7"/>
  <c r="AA150" i="7"/>
  <c r="AF150" i="7" s="1"/>
  <c r="AA46" i="7"/>
  <c r="AF46" i="7" s="1"/>
  <c r="AA226" i="7"/>
  <c r="AF226" i="7" s="1"/>
  <c r="AA364" i="7"/>
  <c r="AF364" i="7" s="1"/>
  <c r="Z53" i="7"/>
  <c r="AE53" i="7" s="1"/>
  <c r="Z119" i="7"/>
  <c r="AE119" i="7" s="1"/>
  <c r="Z129" i="7"/>
  <c r="AE129" i="7" s="1"/>
  <c r="Z136" i="7"/>
  <c r="AE136" i="7" s="1"/>
  <c r="Z165" i="7"/>
  <c r="AE165" i="7" s="1"/>
  <c r="Z190" i="7"/>
  <c r="AE190" i="7" s="1"/>
  <c r="Z146" i="7"/>
  <c r="AE146" i="7" s="1"/>
  <c r="Z85" i="7"/>
  <c r="AE85" i="7" s="1"/>
  <c r="Z52" i="7"/>
  <c r="AE52" i="7" s="1"/>
  <c r="Z214" i="7"/>
  <c r="AE214" i="7" s="1"/>
  <c r="Z353" i="7"/>
  <c r="AE353" i="7" s="1"/>
  <c r="Z227" i="7"/>
  <c r="AE227" i="7" s="1"/>
  <c r="Z250" i="7"/>
  <c r="AE250" i="7" s="1"/>
  <c r="Z286" i="7"/>
  <c r="AE286" i="7" s="1"/>
  <c r="Z253" i="7"/>
  <c r="AE253" i="7" s="1"/>
  <c r="Z307" i="7"/>
  <c r="AE307" i="7" s="1"/>
  <c r="Z272" i="7"/>
  <c r="AE272" i="7" s="1"/>
  <c r="AA332" i="7"/>
  <c r="AF332" i="7" s="1"/>
  <c r="AA2" i="7"/>
  <c r="AF2" i="7" s="1"/>
  <c r="AA66" i="7"/>
  <c r="AF66" i="7" s="1"/>
  <c r="AA159" i="7"/>
  <c r="AF159" i="7" s="1"/>
  <c r="AA48" i="7"/>
  <c r="AF48" i="7" s="1"/>
  <c r="AA55" i="7"/>
  <c r="AF55" i="7" s="1"/>
  <c r="AA34" i="7"/>
  <c r="AF34" i="7" s="1"/>
  <c r="AA308" i="7"/>
  <c r="AF308" i="7" s="1"/>
  <c r="AA286" i="7"/>
  <c r="AF286" i="7" s="1"/>
  <c r="AA338" i="7"/>
  <c r="AF338" i="7" s="1"/>
  <c r="AC153" i="7"/>
  <c r="AC247" i="7"/>
  <c r="AD116" i="7"/>
  <c r="AD46" i="7"/>
  <c r="AD226" i="7"/>
  <c r="AA97" i="7"/>
  <c r="AF97" i="7" s="1"/>
  <c r="AA67" i="7"/>
  <c r="AF67" i="7" s="1"/>
  <c r="AA199" i="7"/>
  <c r="AF199" i="7" s="1"/>
  <c r="AA216" i="7"/>
  <c r="AF216" i="7" s="1"/>
  <c r="AA289" i="7"/>
  <c r="AF289" i="7" s="1"/>
  <c r="AA341" i="7"/>
  <c r="AF341" i="7" s="1"/>
  <c r="AD364" i="7"/>
  <c r="AA347" i="7"/>
  <c r="AF347" i="7" s="1"/>
  <c r="AA313" i="7"/>
  <c r="AF313" i="7" s="1"/>
  <c r="AD301" i="7"/>
  <c r="AA344" i="7"/>
  <c r="AF344" i="7" s="1"/>
  <c r="AA248" i="7"/>
  <c r="AF248" i="7" s="1"/>
  <c r="AA349" i="7"/>
  <c r="AF349" i="7" s="1"/>
  <c r="AA188" i="4"/>
  <c r="AA164" i="4"/>
  <c r="AA140" i="4"/>
  <c r="AA128" i="4"/>
  <c r="AA116" i="4"/>
  <c r="AA92" i="4"/>
  <c r="AA68" i="4"/>
  <c r="AA56" i="4"/>
  <c r="AA44" i="4"/>
  <c r="AA32" i="4"/>
  <c r="AA20" i="4"/>
  <c r="X190" i="4"/>
  <c r="X166" i="4"/>
  <c r="X130" i="4"/>
  <c r="X106" i="4"/>
  <c r="X82" i="4"/>
  <c r="X58" i="4"/>
  <c r="X34" i="4"/>
  <c r="X10" i="4"/>
  <c r="X189" i="4"/>
  <c r="X177" i="4"/>
  <c r="X165" i="4"/>
  <c r="X153" i="4"/>
  <c r="X141" i="4"/>
  <c r="X129" i="4"/>
  <c r="X117" i="4"/>
  <c r="X105" i="4"/>
  <c r="X93" i="4"/>
  <c r="X81" i="4"/>
  <c r="X69" i="4"/>
  <c r="X57" i="4"/>
  <c r="X45" i="4"/>
  <c r="X33" i="4"/>
  <c r="X21" i="4"/>
  <c r="X9" i="4"/>
  <c r="AA142" i="4"/>
  <c r="AA70" i="4"/>
  <c r="X178" i="4"/>
  <c r="X142" i="4"/>
  <c r="X118" i="4"/>
  <c r="X94" i="4"/>
  <c r="X70" i="4"/>
  <c r="X46" i="4"/>
  <c r="X22" i="4"/>
  <c r="X176" i="4"/>
  <c r="X164" i="4"/>
  <c r="X152" i="4"/>
  <c r="X140" i="4"/>
  <c r="X128" i="4"/>
  <c r="X116" i="4"/>
  <c r="X104" i="4"/>
  <c r="X92" i="4"/>
  <c r="X80" i="4"/>
  <c r="X68" i="4"/>
  <c r="X56" i="4"/>
  <c r="X44" i="4"/>
  <c r="X32" i="4"/>
  <c r="X20" i="4"/>
  <c r="X8" i="4"/>
  <c r="AA170" i="4"/>
  <c r="AA122" i="4"/>
  <c r="AA74" i="4"/>
  <c r="AA26" i="4"/>
  <c r="AA169" i="4"/>
  <c r="AA133" i="4"/>
  <c r="AA37" i="4"/>
  <c r="AA134" i="4"/>
  <c r="AA61" i="4"/>
  <c r="AA182" i="4"/>
  <c r="AA86" i="4"/>
  <c r="AA194" i="4"/>
  <c r="AA146" i="4"/>
  <c r="AA98" i="4"/>
  <c r="AA62" i="4"/>
  <c r="AA38" i="4"/>
  <c r="AA193" i="4"/>
  <c r="AA145" i="4"/>
  <c r="AA109" i="4"/>
  <c r="AA73" i="4"/>
  <c r="AA25" i="4"/>
  <c r="AA167" i="4"/>
  <c r="AA143" i="4"/>
  <c r="AA95" i="4"/>
  <c r="AA166" i="4"/>
  <c r="AA46" i="4"/>
  <c r="AA158" i="4"/>
  <c r="AA110" i="4"/>
  <c r="AA50" i="4"/>
  <c r="AA14" i="4"/>
  <c r="AA181" i="4"/>
  <c r="AA157" i="4"/>
  <c r="AA121" i="4"/>
  <c r="AA97" i="4"/>
  <c r="AA85" i="4"/>
  <c r="AA49" i="4"/>
  <c r="AA13" i="4"/>
  <c r="AA191" i="4"/>
  <c r="AA119" i="4"/>
  <c r="AA71" i="4"/>
  <c r="AA47" i="4"/>
  <c r="AA23" i="4"/>
  <c r="AA190" i="4"/>
  <c r="AA118" i="4"/>
  <c r="AA94" i="4"/>
  <c r="AA22" i="4"/>
  <c r="AA176" i="4"/>
  <c r="AA152" i="4"/>
  <c r="AA104" i="4"/>
  <c r="AA80" i="4"/>
  <c r="AA8" i="4"/>
  <c r="AA168" i="4"/>
  <c r="AA12" i="4"/>
  <c r="AA155" i="4"/>
  <c r="AA178" i="4"/>
  <c r="AA82" i="4"/>
  <c r="AA34" i="4"/>
  <c r="AA189" i="4"/>
  <c r="AA153" i="4"/>
  <c r="AA117" i="4"/>
  <c r="AA81" i="4"/>
  <c r="AA33" i="4"/>
  <c r="X192" i="4"/>
  <c r="X180" i="4"/>
  <c r="X168" i="4"/>
  <c r="X156" i="4"/>
  <c r="X144" i="4"/>
  <c r="X132" i="4"/>
  <c r="X120" i="4"/>
  <c r="X108" i="4"/>
  <c r="X96" i="4"/>
  <c r="X84" i="4"/>
  <c r="X72" i="4"/>
  <c r="X60" i="4"/>
  <c r="X48" i="4"/>
  <c r="X36" i="4"/>
  <c r="X24" i="4"/>
  <c r="X12" i="4"/>
  <c r="AA24" i="4"/>
  <c r="AA131" i="4"/>
  <c r="AA11" i="4"/>
  <c r="AA45" i="4"/>
  <c r="AA192" i="4"/>
  <c r="AA83" i="4"/>
  <c r="AA35" i="4"/>
  <c r="AA130" i="4"/>
  <c r="AA10" i="4"/>
  <c r="AA177" i="4"/>
  <c r="AA141" i="4"/>
  <c r="AA105" i="4"/>
  <c r="AA69" i="4"/>
  <c r="AA21" i="4"/>
  <c r="AA185" i="4"/>
  <c r="AA173" i="4"/>
  <c r="AA161" i="4"/>
  <c r="AA149" i="4"/>
  <c r="AA137" i="4"/>
  <c r="AA125" i="4"/>
  <c r="AA113" i="4"/>
  <c r="AA101" i="4"/>
  <c r="X89" i="4"/>
  <c r="AA77" i="4"/>
  <c r="AA65" i="4"/>
  <c r="AA53" i="4"/>
  <c r="AA41" i="4"/>
  <c r="AA29" i="4"/>
  <c r="AA17" i="4"/>
  <c r="AA5" i="4"/>
  <c r="AA36" i="4"/>
  <c r="AA179" i="4"/>
  <c r="AA107" i="4"/>
  <c r="AA59" i="4"/>
  <c r="AA154" i="4"/>
  <c r="AA106" i="4"/>
  <c r="AA58" i="4"/>
  <c r="AA165" i="4"/>
  <c r="AA129" i="4"/>
  <c r="AA93" i="4"/>
  <c r="AA57" i="4"/>
  <c r="AA9" i="4"/>
  <c r="X193" i="4"/>
  <c r="X181" i="4"/>
  <c r="X169" i="4"/>
  <c r="X157" i="4"/>
  <c r="X145" i="4"/>
  <c r="X133" i="4"/>
  <c r="X121" i="4"/>
  <c r="X109" i="4"/>
  <c r="X97" i="4"/>
  <c r="X85" i="4"/>
  <c r="X73" i="4"/>
  <c r="X61" i="4"/>
  <c r="X49" i="4"/>
  <c r="X37" i="4"/>
  <c r="X25" i="4"/>
  <c r="X13" i="4"/>
  <c r="AA2" i="4"/>
  <c r="AA184" i="4"/>
  <c r="AA172" i="4"/>
  <c r="AA160" i="4"/>
  <c r="AA148" i="4"/>
  <c r="AA136" i="4"/>
  <c r="AA124" i="4"/>
  <c r="AA112" i="4"/>
  <c r="AA100" i="4"/>
  <c r="AA88" i="4"/>
  <c r="AA76" i="4"/>
  <c r="AA64" i="4"/>
  <c r="AA52" i="4"/>
  <c r="AA40" i="4"/>
  <c r="AA28" i="4"/>
  <c r="AA16" i="4"/>
  <c r="AA4" i="4"/>
  <c r="AD63" i="5"/>
  <c r="AD80" i="5"/>
  <c r="AA34" i="5"/>
  <c r="AD34" i="5"/>
  <c r="X194" i="4"/>
  <c r="X182" i="4"/>
  <c r="X170" i="4"/>
  <c r="X158" i="4"/>
  <c r="X146" i="4"/>
  <c r="X134" i="4"/>
  <c r="X122" i="4"/>
  <c r="X110" i="4"/>
  <c r="X98" i="4"/>
  <c r="X86" i="4"/>
  <c r="X74" i="4"/>
  <c r="X62" i="4"/>
  <c r="X50" i="4"/>
  <c r="X38" i="4"/>
  <c r="X26" i="4"/>
  <c r="X14" i="4"/>
  <c r="AD30" i="5"/>
  <c r="AA40" i="5"/>
  <c r="AA114" i="5"/>
  <c r="AA177" i="5"/>
  <c r="AA75" i="5"/>
  <c r="AA195" i="4"/>
  <c r="AA183" i="4"/>
  <c r="AA171" i="4"/>
  <c r="AA159" i="4"/>
  <c r="AA147" i="4"/>
  <c r="AA135" i="4"/>
  <c r="AA123" i="4"/>
  <c r="AA111" i="4"/>
  <c r="AA99" i="4"/>
  <c r="AA87" i="4"/>
  <c r="AA75" i="4"/>
  <c r="AA63" i="4"/>
  <c r="AA51" i="4"/>
  <c r="AA39" i="4"/>
  <c r="AA27" i="4"/>
  <c r="AA15" i="4"/>
  <c r="AA3" i="4"/>
  <c r="AD23" i="5"/>
  <c r="AD36" i="5"/>
  <c r="AA47" i="5"/>
  <c r="AD49" i="5"/>
  <c r="AD60" i="5"/>
  <c r="AA71" i="5"/>
  <c r="AD73" i="5"/>
  <c r="AD84" i="5"/>
  <c r="AA95" i="5"/>
  <c r="AD108" i="5"/>
  <c r="AD127" i="5"/>
  <c r="AD134" i="5"/>
  <c r="AD136" i="5"/>
  <c r="AA145" i="5"/>
  <c r="AD158" i="5"/>
  <c r="AD160" i="5"/>
  <c r="AA169" i="5"/>
  <c r="AD175" i="5"/>
  <c r="AA188" i="5"/>
  <c r="AD190" i="5"/>
  <c r="AD203" i="5"/>
  <c r="AD214" i="5"/>
  <c r="AD2" i="5"/>
  <c r="AD4" i="5"/>
  <c r="AD19" i="5"/>
  <c r="AD26" i="5"/>
  <c r="AD28" i="5"/>
  <c r="AA41" i="5"/>
  <c r="AA43" i="5"/>
  <c r="AD45" i="5"/>
  <c r="AA54" i="5"/>
  <c r="AA67" i="5"/>
  <c r="AD69" i="5"/>
  <c r="AA89" i="5"/>
  <c r="AA91" i="5"/>
  <c r="AD93" i="5"/>
  <c r="AA98" i="5"/>
  <c r="AA100" i="5"/>
  <c r="AA102" i="5"/>
  <c r="AA117" i="5"/>
  <c r="AA141" i="5"/>
  <c r="AA152" i="5"/>
  <c r="AD154" i="5"/>
  <c r="AD180" i="5"/>
  <c r="AD199" i="5"/>
  <c r="AD206" i="5"/>
  <c r="AD208" i="5"/>
  <c r="AA156" i="5"/>
  <c r="AA13" i="5"/>
  <c r="AD43" i="5"/>
  <c r="AA50" i="5"/>
  <c r="AA52" i="5"/>
  <c r="AA61" i="5"/>
  <c r="AD67" i="5"/>
  <c r="AA74" i="5"/>
  <c r="AA76" i="5"/>
  <c r="AD91" i="5"/>
  <c r="AD98" i="5"/>
  <c r="AD100" i="5"/>
  <c r="AA115" i="5"/>
  <c r="AD117" i="5"/>
  <c r="AA128" i="5"/>
  <c r="AD130" i="5"/>
  <c r="AA137" i="5"/>
  <c r="AA139" i="5"/>
  <c r="AD141" i="5"/>
  <c r="AA150" i="5"/>
  <c r="AA161" i="5"/>
  <c r="AA163" i="5"/>
  <c r="AD165" i="5"/>
  <c r="AA176" i="5"/>
  <c r="AA178" i="5"/>
  <c r="AA191" i="5"/>
  <c r="AD193" i="5"/>
  <c r="AD11" i="5"/>
  <c r="AD37" i="5"/>
  <c r="AD48" i="5"/>
  <c r="AD72" i="5"/>
  <c r="AD85" i="5"/>
  <c r="AD96" i="5"/>
  <c r="AD109" i="5"/>
  <c r="AD146" i="5"/>
  <c r="AD148" i="5"/>
  <c r="AD172" i="5"/>
  <c r="AD22" i="5"/>
  <c r="AA33" i="5"/>
  <c r="AD35" i="5"/>
  <c r="AD59" i="5"/>
  <c r="AD83" i="5"/>
  <c r="AD107" i="5"/>
  <c r="AD122" i="5"/>
  <c r="AD124" i="5"/>
  <c r="AD133" i="5"/>
  <c r="AD144" i="5"/>
  <c r="AD157" i="5"/>
  <c r="AD168" i="5"/>
  <c r="AD178" i="5"/>
  <c r="AD189" i="5"/>
  <c r="AD202" i="5"/>
  <c r="X184" i="4"/>
  <c r="X160" i="4"/>
  <c r="X148" i="4"/>
  <c r="X136" i="4"/>
  <c r="X124" i="4"/>
  <c r="X112" i="4"/>
  <c r="X100" i="4"/>
  <c r="X88" i="4"/>
  <c r="X76" i="4"/>
  <c r="X64" i="4"/>
  <c r="X52" i="4"/>
  <c r="X40" i="4"/>
  <c r="X28" i="4"/>
  <c r="X16" i="4"/>
  <c r="X4" i="4"/>
  <c r="AA187" i="4"/>
  <c r="AA175" i="4"/>
  <c r="AA163" i="4"/>
  <c r="AA151" i="4"/>
  <c r="X139" i="4"/>
  <c r="AA127" i="4"/>
  <c r="AA115" i="4"/>
  <c r="AA103" i="4"/>
  <c r="AA91" i="4"/>
  <c r="AA79" i="4"/>
  <c r="AA67" i="4"/>
  <c r="AA55" i="4"/>
  <c r="AA43" i="4"/>
  <c r="AA31" i="4"/>
  <c r="AA19" i="4"/>
  <c r="AA7" i="4"/>
  <c r="AA7" i="5"/>
  <c r="AD9" i="5"/>
  <c r="AA18" i="5"/>
  <c r="AA31" i="5"/>
  <c r="AD33" i="5"/>
  <c r="AA44" i="5"/>
  <c r="AD46" i="5"/>
  <c r="AA57" i="5"/>
  <c r="AA68" i="5"/>
  <c r="AD70" i="5"/>
  <c r="AD94" i="5"/>
  <c r="AD120" i="5"/>
  <c r="AA131" i="5"/>
  <c r="AD155" i="5"/>
  <c r="AD187" i="5"/>
  <c r="AA198" i="5"/>
  <c r="AD211" i="5"/>
  <c r="AD213" i="5"/>
  <c r="X154" i="4"/>
  <c r="X2" i="4"/>
  <c r="X172" i="4"/>
  <c r="X195" i="4"/>
  <c r="X183" i="4"/>
  <c r="X171" i="4"/>
  <c r="X159" i="4"/>
  <c r="X147" i="4"/>
  <c r="X135" i="4"/>
  <c r="X123" i="4"/>
  <c r="X111" i="4"/>
  <c r="X99" i="4"/>
  <c r="X87" i="4"/>
  <c r="X75" i="4"/>
  <c r="X63" i="4"/>
  <c r="X51" i="4"/>
  <c r="X39" i="4"/>
  <c r="X27" i="4"/>
  <c r="X15" i="4"/>
  <c r="X3" i="4"/>
  <c r="AA186" i="4"/>
  <c r="AA174" i="4"/>
  <c r="AA162" i="4"/>
  <c r="AA150" i="4"/>
  <c r="AA138" i="4"/>
  <c r="AA126" i="4"/>
  <c r="AA114" i="4"/>
  <c r="AA102" i="4"/>
  <c r="AA90" i="4"/>
  <c r="AA78" i="4"/>
  <c r="AA66" i="4"/>
  <c r="AA54" i="4"/>
  <c r="AA42" i="4"/>
  <c r="AA30" i="4"/>
  <c r="AA18" i="4"/>
  <c r="AA6" i="4"/>
  <c r="AA14" i="5"/>
  <c r="AA16" i="5"/>
  <c r="AA25" i="5"/>
  <c r="AA42" i="5"/>
  <c r="AA53" i="5"/>
  <c r="AA55" i="5"/>
  <c r="AA62" i="5"/>
  <c r="AA64" i="5"/>
  <c r="AA66" i="5"/>
  <c r="AA77" i="5"/>
  <c r="AA79" i="5"/>
  <c r="AA90" i="5"/>
  <c r="AA103" i="5"/>
  <c r="AD105" i="5"/>
  <c r="AA116" i="5"/>
  <c r="AD118" i="5"/>
  <c r="AD131" i="5"/>
  <c r="AA140" i="5"/>
  <c r="AD142" i="5"/>
  <c r="AA153" i="5"/>
  <c r="AA164" i="5"/>
  <c r="AD166" i="5"/>
  <c r="AA179" i="5"/>
  <c r="AD181" i="5"/>
  <c r="AD194" i="5"/>
  <c r="AD196" i="5"/>
  <c r="AA205" i="5"/>
  <c r="X43" i="4"/>
  <c r="X29" i="4"/>
  <c r="X115" i="4"/>
  <c r="X149" i="4"/>
  <c r="X53" i="4"/>
  <c r="X186" i="4"/>
  <c r="X174" i="4"/>
  <c r="X162" i="4"/>
  <c r="X150" i="4"/>
  <c r="X138" i="4"/>
  <c r="X126" i="4"/>
  <c r="X114" i="4"/>
  <c r="X102" i="4"/>
  <c r="X90" i="4"/>
  <c r="X78" i="4"/>
  <c r="X66" i="4"/>
  <c r="X54" i="4"/>
  <c r="X42" i="4"/>
  <c r="X30" i="4"/>
  <c r="X18" i="4"/>
  <c r="X6" i="4"/>
  <c r="X103" i="4"/>
  <c r="X151" i="4"/>
  <c r="X67" i="4"/>
  <c r="X19" i="4"/>
  <c r="X137" i="4"/>
  <c r="X17" i="4"/>
  <c r="X163" i="4"/>
  <c r="X91" i="4"/>
  <c r="X55" i="4"/>
  <c r="X7" i="4"/>
  <c r="X173" i="4"/>
  <c r="X125" i="4"/>
  <c r="X101" i="4"/>
  <c r="X77" i="4"/>
  <c r="X5" i="4"/>
  <c r="X187" i="4"/>
  <c r="X127" i="4"/>
  <c r="X79" i="4"/>
  <c r="X31" i="4"/>
  <c r="X185" i="4"/>
  <c r="X113" i="4"/>
  <c r="X41" i="4"/>
  <c r="X175" i="4"/>
  <c r="X161" i="4"/>
  <c r="X65" i="4"/>
  <c r="AA139" i="4"/>
  <c r="AA89" i="4"/>
  <c r="AA10" i="5"/>
  <c r="AA22" i="5"/>
  <c r="AA46" i="5"/>
  <c r="AA58" i="5"/>
  <c r="AA70" i="5"/>
  <c r="AA82" i="5"/>
  <c r="AA94" i="5"/>
  <c r="AA106" i="5"/>
  <c r="AA118" i="5"/>
  <c r="AA130" i="5"/>
  <c r="AA142" i="5"/>
  <c r="AA154" i="5"/>
  <c r="AA166" i="5"/>
  <c r="AA190" i="5"/>
  <c r="AA202" i="5"/>
  <c r="AA214" i="5"/>
  <c r="AA24" i="5"/>
  <c r="AA60" i="5"/>
  <c r="AA96" i="5"/>
  <c r="AA132" i="5"/>
  <c r="AA204" i="5"/>
  <c r="AA20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C86DEE-EE3F-BB4B-B88F-ADAD0C7212C6}" keepAlive="1" name="Query - Cleaned_MLB_Stats_Dataset (1)" description="Connection to the 'Cleaned_MLB_Stats_Dataset (1)' query in the workbook." type="5" refreshedVersion="8" background="1" saveData="1">
    <dbPr connection="Provider=Microsoft.Mashup.OleDb.1;Data Source=$Workbook$;Location=&quot;Cleaned_MLB_Stats_Dataset (1)&quot;;Extended Properties=&quot;&quot;" command="SELECT * FROM [Cleaned_MLB_Stats_Dataset (1)]"/>
  </connection>
  <connection id="2" xr16:uid="{C18E8281-DD8C-CD4F-8134-E9E4AE374D37}" keepAlive="1" name="Query - Merged_Batting_AllStar_Data" description="Connection to the 'Merged_Batting_AllStar_Data' query in the workbook." type="5" refreshedVersion="8" background="1" saveData="1">
    <dbPr connection="Provider=Microsoft.Mashup.OleDb.1;Data Source=$Workbook$;Location=Merged_Batting_AllStar_Data;Extended Properties=&quot;&quot;" command="SELECT * FROM [Merged_Batting_AllStar_Data]"/>
  </connection>
</connections>
</file>

<file path=xl/sharedStrings.xml><?xml version="1.0" encoding="utf-8"?>
<sst xmlns="http://schemas.openxmlformats.org/spreadsheetml/2006/main" count="5314" uniqueCount="362">
  <si>
    <t>HR</t>
  </si>
  <si>
    <t>RBI</t>
  </si>
  <si>
    <t>LAA</t>
  </si>
  <si>
    <t>NL</t>
  </si>
  <si>
    <t>2B</t>
  </si>
  <si>
    <t>3B</t>
  </si>
  <si>
    <t>AL</t>
  </si>
  <si>
    <t>playerID</t>
  </si>
  <si>
    <t>yearID</t>
  </si>
  <si>
    <t>stint</t>
  </si>
  <si>
    <t>teamID</t>
  </si>
  <si>
    <t>lgID</t>
  </si>
  <si>
    <t>G</t>
  </si>
  <si>
    <t>AB</t>
  </si>
  <si>
    <t>R</t>
  </si>
  <si>
    <t>H</t>
  </si>
  <si>
    <t>SB</t>
  </si>
  <si>
    <t>CS</t>
  </si>
  <si>
    <t>BB</t>
  </si>
  <si>
    <t>SO</t>
  </si>
  <si>
    <t>IBB</t>
  </si>
  <si>
    <t>HBP</t>
  </si>
  <si>
    <t>SH</t>
  </si>
  <si>
    <t>SF</t>
  </si>
  <si>
    <t>GIDP</t>
  </si>
  <si>
    <t>startingPos</t>
  </si>
  <si>
    <t/>
  </si>
  <si>
    <t>CHN</t>
  </si>
  <si>
    <t>0.0</t>
  </si>
  <si>
    <t>PHI</t>
  </si>
  <si>
    <t>1.0</t>
  </si>
  <si>
    <t>2.0</t>
  </si>
  <si>
    <t>5.0</t>
  </si>
  <si>
    <t>4.0</t>
  </si>
  <si>
    <t>3.0</t>
  </si>
  <si>
    <t>13.0</t>
  </si>
  <si>
    <t>6.0</t>
  </si>
  <si>
    <t>10.0</t>
  </si>
  <si>
    <t>12.0</t>
  </si>
  <si>
    <t>8.0</t>
  </si>
  <si>
    <t>11.0</t>
  </si>
  <si>
    <t>7.0</t>
  </si>
  <si>
    <t>9.0</t>
  </si>
  <si>
    <t>14.0</t>
  </si>
  <si>
    <t>15.0</t>
  </si>
  <si>
    <t>18.0</t>
  </si>
  <si>
    <t>PIT</t>
  </si>
  <si>
    <t>17.0</t>
  </si>
  <si>
    <t>29.0</t>
  </si>
  <si>
    <t>21.0</t>
  </si>
  <si>
    <t>16.0</t>
  </si>
  <si>
    <t>33.0</t>
  </si>
  <si>
    <t>19.0</t>
  </si>
  <si>
    <t>CIN</t>
  </si>
  <si>
    <t>20.0</t>
  </si>
  <si>
    <t>25.0</t>
  </si>
  <si>
    <t>32.0</t>
  </si>
  <si>
    <t>24.0</t>
  </si>
  <si>
    <t>28.0</t>
  </si>
  <si>
    <t>WAS</t>
  </si>
  <si>
    <t>SLN</t>
  </si>
  <si>
    <t>26.0</t>
  </si>
  <si>
    <t>27.0</t>
  </si>
  <si>
    <t>23.0</t>
  </si>
  <si>
    <t>22.0</t>
  </si>
  <si>
    <t>31.0</t>
  </si>
  <si>
    <t>CLE</t>
  </si>
  <si>
    <t>DET</t>
  </si>
  <si>
    <t>BOS</t>
  </si>
  <si>
    <t>CHA</t>
  </si>
  <si>
    <t>35.0</t>
  </si>
  <si>
    <t>NYA</t>
  </si>
  <si>
    <t>34.0</t>
  </si>
  <si>
    <t>30.0</t>
  </si>
  <si>
    <t>43.0</t>
  </si>
  <si>
    <t>37.0</t>
  </si>
  <si>
    <t>38.0</t>
  </si>
  <si>
    <t>44.0</t>
  </si>
  <si>
    <t>BAL</t>
  </si>
  <si>
    <t>SFN</t>
  </si>
  <si>
    <t>LAN</t>
  </si>
  <si>
    <t>MIN</t>
  </si>
  <si>
    <t>HOU</t>
  </si>
  <si>
    <t>NYN</t>
  </si>
  <si>
    <t>CAL</t>
  </si>
  <si>
    <t>ATL</t>
  </si>
  <si>
    <t>OAK</t>
  </si>
  <si>
    <t>KCA</t>
  </si>
  <si>
    <t>SDN</t>
  </si>
  <si>
    <t>MON</t>
  </si>
  <si>
    <t>TEX</t>
  </si>
  <si>
    <t>SEA</t>
  </si>
  <si>
    <t>TOR</t>
  </si>
  <si>
    <t>molitpa01</t>
  </si>
  <si>
    <t>smithoz01</t>
  </si>
  <si>
    <t>ripkeca01</t>
  </si>
  <si>
    <t>sandbry01</t>
  </si>
  <si>
    <t>boggswa01</t>
  </si>
  <si>
    <t>gwynnto01</t>
  </si>
  <si>
    <t>cartejo01</t>
  </si>
  <si>
    <t>daultda01</t>
  </si>
  <si>
    <t>clemero02</t>
  </si>
  <si>
    <t>keyji01</t>
  </si>
  <si>
    <t>langsma01</t>
  </si>
  <si>
    <t>puckeki01</t>
  </si>
  <si>
    <t>duncama01</t>
  </si>
  <si>
    <t>dykstle01</t>
  </si>
  <si>
    <t>galaran01</t>
  </si>
  <si>
    <t>oneilpa01</t>
  </si>
  <si>
    <t>bellja01</t>
  </si>
  <si>
    <t>bondsba01</t>
  </si>
  <si>
    <t>krukjo01</t>
  </si>
  <si>
    <t>larkiba01</t>
  </si>
  <si>
    <t>maddugr01</t>
  </si>
  <si>
    <t>mcgrifr01</t>
  </si>
  <si>
    <t>mcgwima01</t>
  </si>
  <si>
    <t>mulhote01</t>
  </si>
  <si>
    <t>palmera01</t>
  </si>
  <si>
    <t>blausje01</t>
  </si>
  <si>
    <t>caminke01</t>
  </si>
  <si>
    <t>gantro01</t>
  </si>
  <si>
    <t>jeffegr01</t>
  </si>
  <si>
    <t>johnsla03</t>
  </si>
  <si>
    <t>martied01</t>
  </si>
  <si>
    <t>weisswa01</t>
  </si>
  <si>
    <t>wellsda01</t>
  </si>
  <si>
    <t>willima04</t>
  </si>
  <si>
    <t>alomaro01</t>
  </si>
  <si>
    <t>anderbr01</t>
  </si>
  <si>
    <t>bicheda01</t>
  </si>
  <si>
    <t>biggicr01</t>
  </si>
  <si>
    <t>gracema01</t>
  </si>
  <si>
    <t>johnsra05</t>
  </si>
  <si>
    <t>schilcu01</t>
  </si>
  <si>
    <t>sheffga01</t>
  </si>
  <si>
    <t>smoltjo01</t>
  </si>
  <si>
    <t>belleal01</t>
  </si>
  <si>
    <t>gonzaju03</t>
  </si>
  <si>
    <t>griffke02</t>
  </si>
  <si>
    <t>grissma02</t>
  </si>
  <si>
    <t>justida01</t>
  </si>
  <si>
    <t>olerujo01</t>
  </si>
  <si>
    <t>rogerke01</t>
  </si>
  <si>
    <t>sosasa01</t>
  </si>
  <si>
    <t>walkela01</t>
  </si>
  <si>
    <t>baergca01</t>
  </si>
  <si>
    <t>frymatr01</t>
  </si>
  <si>
    <t>gonzalu01</t>
  </si>
  <si>
    <t>lankfra01</t>
  </si>
  <si>
    <t>martiti02</t>
  </si>
  <si>
    <t>nagych01</t>
  </si>
  <si>
    <t>thomafr04</t>
  </si>
  <si>
    <t>bagweje01</t>
  </si>
  <si>
    <t>castivi02</t>
  </si>
  <si>
    <t>loftoke01</t>
  </si>
  <si>
    <t>rodriiv01</t>
  </si>
  <si>
    <t>thomeji01</t>
  </si>
  <si>
    <t>vaughmo01</t>
  </si>
  <si>
    <t>willibe02</t>
  </si>
  <si>
    <t>boonebr01</t>
  </si>
  <si>
    <t>kentje01</t>
  </si>
  <si>
    <t>lopezja01</t>
  </si>
  <si>
    <t>martipe02</t>
  </si>
  <si>
    <t>piazzmi01</t>
  </si>
  <si>
    <t>COL</t>
  </si>
  <si>
    <t>FLO</t>
  </si>
  <si>
    <t>burnije01</t>
  </si>
  <si>
    <t>delgaca01</t>
  </si>
  <si>
    <t>edmonji01</t>
  </si>
  <si>
    <t>evereca01</t>
  </si>
  <si>
    <t>jonesch06</t>
  </si>
  <si>
    <t>ramirma02</t>
  </si>
  <si>
    <t>anderga01</t>
  </si>
  <si>
    <t>rodrial01</t>
  </si>
  <si>
    <t>aurilri01</t>
  </si>
  <si>
    <t>damonjo01</t>
  </si>
  <si>
    <t>giambja01</t>
  </si>
  <si>
    <t>jeterde01</t>
  </si>
  <si>
    <t>loaizes01</t>
  </si>
  <si>
    <t>loretma01</t>
  </si>
  <si>
    <t>nomohi01</t>
  </si>
  <si>
    <t>posadjo01</t>
  </si>
  <si>
    <t>schmija01</t>
  </si>
  <si>
    <t>abreubo01</t>
  </si>
  <si>
    <t>dyeje01</t>
  </si>
  <si>
    <t>garcino01</t>
  </si>
  <si>
    <t>guerrvl01</t>
  </si>
  <si>
    <t>ibanera01</t>
  </si>
  <si>
    <t>kendaja01</t>
  </si>
  <si>
    <t>renteed01</t>
  </si>
  <si>
    <t>rolensc01</t>
  </si>
  <si>
    <t>ANA</t>
  </si>
  <si>
    <t>carpech01</t>
  </si>
  <si>
    <t>heltoto01</t>
  </si>
  <si>
    <t>hunteto01</t>
  </si>
  <si>
    <t>leede02</t>
  </si>
  <si>
    <t>lowede01</t>
  </si>
  <si>
    <t>ordonma01</t>
  </si>
  <si>
    <t>ortizda01</t>
  </si>
  <si>
    <t>tejadmi01</t>
  </si>
  <si>
    <t>varitja01</t>
  </si>
  <si>
    <t>vidrojo01</t>
  </si>
  <si>
    <t>ARI</t>
  </si>
  <si>
    <t>TBA</t>
  </si>
  <si>
    <t>MIL</t>
  </si>
  <si>
    <t>beltrad01</t>
  </si>
  <si>
    <t>beltrca01</t>
  </si>
  <si>
    <t>glaustr01</t>
  </si>
  <si>
    <t>hallaro01</t>
  </si>
  <si>
    <t>loducpa01</t>
  </si>
  <si>
    <t>polanpl01</t>
  </si>
  <si>
    <t>ramirar01</t>
  </si>
  <si>
    <t>berkmla01</t>
  </si>
  <si>
    <t>soriaal01</t>
  </si>
  <si>
    <t>wellsve01</t>
  </si>
  <si>
    <t>bradlmi01</t>
  </si>
  <si>
    <t>buehrma01</t>
  </si>
  <si>
    <t>furcara01</t>
  </si>
  <si>
    <t>muldema01</t>
  </si>
  <si>
    <t>pennybr01</t>
  </si>
  <si>
    <t>rolliji01</t>
  </si>
  <si>
    <t>youngmi02</t>
  </si>
  <si>
    <t>cuddymi01</t>
  </si>
  <si>
    <t>eckstda01</t>
  </si>
  <si>
    <t>hillesh02</t>
  </si>
  <si>
    <t>pujolal01</t>
  </si>
  <si>
    <t>roberbr01</t>
  </si>
  <si>
    <t>sheetbe01</t>
  </si>
  <si>
    <t>suzukic01</t>
  </si>
  <si>
    <t>68.0</t>
  </si>
  <si>
    <t>crawfca02</t>
  </si>
  <si>
    <t>leecl02</t>
  </si>
  <si>
    <t>peavyja01</t>
  </si>
  <si>
    <t>phillbr01</t>
  </si>
  <si>
    <t>bayja01</t>
  </si>
  <si>
    <t>61.0</t>
  </si>
  <si>
    <t>cabremi01</t>
  </si>
  <si>
    <t>harenda01</t>
  </si>
  <si>
    <t>matsuhi01</t>
  </si>
  <si>
    <t>reyesjo01</t>
  </si>
  <si>
    <t>teixema01</t>
  </si>
  <si>
    <t>utleych01</t>
  </si>
  <si>
    <t>victosh01</t>
  </si>
  <si>
    <t>weeksri01</t>
  </si>
  <si>
    <t>bautijo02</t>
  </si>
  <si>
    <t>120.0</t>
  </si>
  <si>
    <t>gonzaad01</t>
  </si>
  <si>
    <t>grandcu01</t>
  </si>
  <si>
    <t>hartco01</t>
  </si>
  <si>
    <t>hollima01</t>
  </si>
  <si>
    <t>howarry01</t>
  </si>
  <si>
    <t>mauerjo01</t>
  </si>
  <si>
    <t>molinya01</t>
  </si>
  <si>
    <t>wrighda03</t>
  </si>
  <si>
    <t>youklke01</t>
  </si>
  <si>
    <t>cabreme01</t>
  </si>
  <si>
    <t>cainma01</t>
  </si>
  <si>
    <t>canoro01</t>
  </si>
  <si>
    <t>fieldpr01</t>
  </si>
  <si>
    <t>hardyjj01</t>
  </si>
  <si>
    <t>hillaa01</t>
  </si>
  <si>
    <t>mccanbr01</t>
  </si>
  <si>
    <t>ramirha01</t>
  </si>
  <si>
    <t>sotoge01</t>
  </si>
  <si>
    <t>verlaju01</t>
  </si>
  <si>
    <t>ethiean01</t>
  </si>
  <si>
    <t>jimenub01</t>
  </si>
  <si>
    <t>jonesad01</t>
  </si>
  <si>
    <t>kempma01</t>
  </si>
  <si>
    <t>martiru01</t>
  </si>
  <si>
    <t>napolmi01</t>
  </si>
  <si>
    <t>pedrodu01</t>
  </si>
  <si>
    <t>pradoma01</t>
  </si>
  <si>
    <t>tulowtr01</t>
  </si>
  <si>
    <t>ugglada01</t>
  </si>
  <si>
    <t>weaveje02</t>
  </si>
  <si>
    <t>braunry02</t>
  </si>
  <si>
    <t>cabreas01</t>
  </si>
  <si>
    <t>hamiljo03</t>
  </si>
  <si>
    <t>linceti01</t>
  </si>
  <si>
    <t>vottojo01</t>
  </si>
  <si>
    <t>davisch02</t>
  </si>
  <si>
    <t>fukudko01</t>
  </si>
  <si>
    <t>gonzaca01</t>
  </si>
  <si>
    <t>longoev01</t>
  </si>
  <si>
    <t>priceda01</t>
  </si>
  <si>
    <t>sandopa01</t>
  </si>
  <si>
    <t>scherma01</t>
  </si>
  <si>
    <t>avilaal01</t>
  </si>
  <si>
    <t>poseybu01</t>
  </si>
  <si>
    <t>troutmi01</t>
  </si>
  <si>
    <t>harpebr03</t>
  </si>
  <si>
    <t>harvema01</t>
  </si>
  <si>
    <t>Batting Average</t>
  </si>
  <si>
    <t>On base percentage</t>
  </si>
  <si>
    <t>Slugging (Power)</t>
  </si>
  <si>
    <t>OPS (Offensive Value)</t>
  </si>
  <si>
    <t>Strikeout %</t>
  </si>
  <si>
    <t>Walk %</t>
  </si>
  <si>
    <t>ISO (isolated power)</t>
  </si>
  <si>
    <t>starting position references</t>
  </si>
  <si>
    <t>OF</t>
  </si>
  <si>
    <t>DH</t>
  </si>
  <si>
    <t>P</t>
  </si>
  <si>
    <t>C</t>
  </si>
  <si>
    <t>SS</t>
  </si>
  <si>
    <t>1B</t>
  </si>
  <si>
    <t>POSITION</t>
  </si>
  <si>
    <t>Era</t>
  </si>
  <si>
    <t>Pre-Moneyball</t>
  </si>
  <si>
    <t>Moneyball Era</t>
  </si>
  <si>
    <t>Year</t>
  </si>
  <si>
    <t>Player</t>
  </si>
  <si>
    <t>League</t>
  </si>
  <si>
    <t>Team</t>
  </si>
  <si>
    <t>Position</t>
  </si>
  <si>
    <t>At Bats</t>
  </si>
  <si>
    <t>Hits</t>
  </si>
  <si>
    <t>Runs</t>
  </si>
  <si>
    <t>Strikeouts</t>
  </si>
  <si>
    <t>Walks</t>
  </si>
  <si>
    <t>Int Walks</t>
  </si>
  <si>
    <t>Hit By Pitch</t>
  </si>
  <si>
    <t>Sac Fly</t>
  </si>
  <si>
    <t>Sac Bunt</t>
  </si>
  <si>
    <t>On Base Percentage</t>
  </si>
  <si>
    <t>OPS (On Base + Slugging)</t>
  </si>
  <si>
    <t>ISO (Isolated Power</t>
  </si>
  <si>
    <t>Slugging %</t>
  </si>
  <si>
    <t>Row Labels</t>
  </si>
  <si>
    <t>Grand Total</t>
  </si>
  <si>
    <t>BA</t>
  </si>
  <si>
    <t>OBP</t>
  </si>
  <si>
    <t>SLG</t>
  </si>
  <si>
    <t>OPS</t>
  </si>
  <si>
    <t xml:space="preserve">ISO </t>
  </si>
  <si>
    <t>EA Batting Avg.</t>
  </si>
  <si>
    <t>EA On Base %</t>
  </si>
  <si>
    <t>EA Slugging %</t>
  </si>
  <si>
    <t>EA On Base + Slugging</t>
  </si>
  <si>
    <t>EA ISO</t>
  </si>
  <si>
    <t>Position#</t>
  </si>
  <si>
    <t>Position Ref Chart</t>
  </si>
  <si>
    <t>LF</t>
  </si>
  <si>
    <t>CF</t>
  </si>
  <si>
    <t>RF</t>
  </si>
  <si>
    <t>Average of EA ISO</t>
  </si>
  <si>
    <t>Average of EA On Base + Slugging</t>
  </si>
  <si>
    <t>Average of EA Slugging %</t>
  </si>
  <si>
    <t>Average of EA On Base %</t>
  </si>
  <si>
    <t>Average of EA Batting Avg.</t>
  </si>
  <si>
    <t>BA - Moneyball</t>
  </si>
  <si>
    <t>OBP - Moneyball</t>
  </si>
  <si>
    <t>EA BA- Pre</t>
  </si>
  <si>
    <t>EA OBP - Pre</t>
  </si>
  <si>
    <t xml:space="preserve">Pre-Moneyball </t>
  </si>
  <si>
    <t>Walk % (Money)</t>
  </si>
  <si>
    <t>Strikeout % (Pre)</t>
  </si>
  <si>
    <t>Strikeout % (Money)</t>
  </si>
  <si>
    <t>Walk % (Pre)</t>
  </si>
  <si>
    <r>
      <rPr>
        <i/>
        <sz val="20"/>
        <color theme="1"/>
        <rFont val="Aptos Narrow"/>
        <scheme val="minor"/>
      </rPr>
      <t>The Moneyball Era</t>
    </r>
    <r>
      <rPr>
        <sz val="20"/>
        <color theme="1"/>
        <rFont val="Aptos Narrow"/>
        <scheme val="minor"/>
      </rPr>
      <t xml:space="preserve"> and Advanced Statistics Impact on All-Star Selection</t>
    </r>
  </si>
  <si>
    <t>League Averages (for era-adjusted stats)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</si>
</sst>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2"/>
      <color theme="4" tint="-0.249977111117893"/>
      <name val="Aptos Narrow"/>
      <family val="2"/>
      <scheme val="minor"/>
    </font>
    <font>
      <sz val="20"/>
      <color theme="1"/>
      <name val="Aptos Narrow"/>
      <scheme val="minor"/>
    </font>
    <font>
      <i/>
      <sz val="20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  <xf numFmtId="0" fontId="0" fillId="0" borderId="1" xfId="0" applyBorder="1"/>
    <xf numFmtId="0" fontId="1" fillId="2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left" indent="1"/>
    </xf>
    <xf numFmtId="0" fontId="3" fillId="0" borderId="0" xfId="0" applyFont="1"/>
    <xf numFmtId="164" fontId="4" fillId="4" borderId="0" xfId="0" applyNumberFormat="1" applyFont="1" applyFill="1"/>
    <xf numFmtId="164" fontId="4" fillId="0" borderId="0" xfId="0" applyNumberFormat="1" applyFont="1"/>
    <xf numFmtId="164" fontId="4" fillId="0" borderId="3" xfId="0" applyNumberFormat="1" applyFont="1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80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left style="thin">
          <color theme="9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[mlb_allstar_metrics_summary.xlsx]Chart1!PivotTable2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Advanced Statistics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OPS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SLG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ln w="28575" cap="rnd">
            <a:solidFill>
              <a:schemeClr val="accent1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ISO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ln w="28575" cap="rnd">
            <a:solidFill>
              <a:schemeClr val="accent1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OBP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ln w="28575" cap="rnd">
            <a:solidFill>
              <a:schemeClr val="accent1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Chart1!$B$3</c:f>
              <c:strCache>
                <c:ptCount val="1"/>
                <c:pt idx="0">
                  <c:v>Average of EA ISO</c:v>
                </c:pt>
              </c:strCache>
            </c:strRef>
          </c:tx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CAEE-5646-A92A-B8F8061737C2}"/>
              </c:ext>
            </c:extLst>
          </c:dPt>
          <c:dLbls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ISO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AEE-5646-A92A-B8F806173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Chart1!$A$4:$A$27</c:f>
              <c:multiLvlStrCache>
                <c:ptCount val="21"/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  <c:pt idx="13">
                    <c:v>2006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2009</c:v>
                  </c:pt>
                  <c:pt idx="17">
                    <c:v>2010</c:v>
                  </c:pt>
                  <c:pt idx="18">
                    <c:v>2011</c:v>
                  </c:pt>
                  <c:pt idx="19">
                    <c:v>2012</c:v>
                  </c:pt>
                  <c:pt idx="20">
                    <c:v>2013</c:v>
                  </c:pt>
                </c:lvl>
                <c:lvl>
                  <c:pt idx="0">
                    <c:v>Pre-Moneyball</c:v>
                  </c:pt>
                  <c:pt idx="10">
                    <c:v>Moneyball Era</c:v>
                  </c:pt>
                </c:lvl>
              </c:multiLvlStrCache>
            </c:multiLvlStrRef>
          </c:cat>
          <c:val>
            <c:numRef>
              <c:f>Chart1!$B$4:$B$27</c:f>
              <c:numCache>
                <c:formatCode>0.000</c:formatCode>
                <c:ptCount val="21"/>
                <c:pt idx="0">
                  <c:v>4.7352996750451813E-2</c:v>
                </c:pt>
                <c:pt idx="1">
                  <c:v>6.5280916784586931E-2</c:v>
                </c:pt>
                <c:pt idx="2">
                  <c:v>5.4150339537508987E-2</c:v>
                </c:pt>
                <c:pt idx="3">
                  <c:v>5.4824022556288765E-2</c:v>
                </c:pt>
                <c:pt idx="4">
                  <c:v>7.9287501171773134E-2</c:v>
                </c:pt>
                <c:pt idx="5">
                  <c:v>6.9554681853812181E-2</c:v>
                </c:pt>
                <c:pt idx="6">
                  <c:v>0.10482700748758715</c:v>
                </c:pt>
                <c:pt idx="7">
                  <c:v>7.7278689337243023E-2</c:v>
                </c:pt>
                <c:pt idx="8">
                  <c:v>0.11250062643869604</c:v>
                </c:pt>
                <c:pt idx="9">
                  <c:v>8.9145779143421325E-2</c:v>
                </c:pt>
                <c:pt idx="10">
                  <c:v>9.1196771305238858E-2</c:v>
                </c:pt>
                <c:pt idx="11">
                  <c:v>7.008599546174521E-2</c:v>
                </c:pt>
                <c:pt idx="12">
                  <c:v>7.6317519680012907E-2</c:v>
                </c:pt>
                <c:pt idx="13">
                  <c:v>4.758927684210025E-2</c:v>
                </c:pt>
                <c:pt idx="14">
                  <c:v>5.7606435292537748E-2</c:v>
                </c:pt>
                <c:pt idx="15">
                  <c:v>6.4553980182218473E-2</c:v>
                </c:pt>
                <c:pt idx="16">
                  <c:v>4.5634440334964992E-2</c:v>
                </c:pt>
                <c:pt idx="17">
                  <c:v>4.7255235087493096E-2</c:v>
                </c:pt>
                <c:pt idx="18">
                  <c:v>8.9158504966227986E-2</c:v>
                </c:pt>
                <c:pt idx="19">
                  <c:v>6.7272519278622225E-2</c:v>
                </c:pt>
                <c:pt idx="20">
                  <c:v>7.4014885171368658E-2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16-384C-B69C-29F7774B50F0}"/>
            </c:ext>
          </c:extLst>
        </c:ser>
        <c:ser>
          <c:idx val="1"/>
          <c:order val="1"/>
          <c:tx>
            <c:strRef>
              <c:f>Chart1!$C$3</c:f>
              <c:strCache>
                <c:ptCount val="1"/>
                <c:pt idx="0">
                  <c:v>Average of EA On Base + Slugging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AEE-5646-A92A-B8F8061737C2}"/>
              </c:ext>
            </c:extLst>
          </c:dPt>
          <c:dLbls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OPS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AEE-5646-A92A-B8F806173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Chart1!$A$4:$A$27</c:f>
              <c:multiLvlStrCache>
                <c:ptCount val="21"/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  <c:pt idx="13">
                    <c:v>2006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2009</c:v>
                  </c:pt>
                  <c:pt idx="17">
                    <c:v>2010</c:v>
                  </c:pt>
                  <c:pt idx="18">
                    <c:v>2011</c:v>
                  </c:pt>
                  <c:pt idx="19">
                    <c:v>2012</c:v>
                  </c:pt>
                  <c:pt idx="20">
                    <c:v>2013</c:v>
                  </c:pt>
                </c:lvl>
                <c:lvl>
                  <c:pt idx="0">
                    <c:v>Pre-Moneyball</c:v>
                  </c:pt>
                  <c:pt idx="10">
                    <c:v>Moneyball Era</c:v>
                  </c:pt>
                </c:lvl>
              </c:multiLvlStrCache>
            </c:multiLvlStrRef>
          </c:cat>
          <c:val>
            <c:numRef>
              <c:f>Chart1!$C$4:$C$27</c:f>
              <c:numCache>
                <c:formatCode>0.000</c:formatCode>
                <c:ptCount val="21"/>
                <c:pt idx="0">
                  <c:v>0.13122766302884981</c:v>
                </c:pt>
                <c:pt idx="1">
                  <c:v>0.15095367962608905</c:v>
                </c:pt>
                <c:pt idx="2">
                  <c:v>0.14584805508069965</c:v>
                </c:pt>
                <c:pt idx="3">
                  <c:v>0.1439553232561458</c:v>
                </c:pt>
                <c:pt idx="4">
                  <c:v>0.18926894247494117</c:v>
                </c:pt>
                <c:pt idx="5">
                  <c:v>0.15216306875081587</c:v>
                </c:pt>
                <c:pt idx="6">
                  <c:v>0.20068186285235601</c:v>
                </c:pt>
                <c:pt idx="7">
                  <c:v>0.18308868287455748</c:v>
                </c:pt>
                <c:pt idx="8">
                  <c:v>0.23260589347178096</c:v>
                </c:pt>
                <c:pt idx="9">
                  <c:v>0.18808577132374668</c:v>
                </c:pt>
                <c:pt idx="10">
                  <c:v>0.19913502427445945</c:v>
                </c:pt>
                <c:pt idx="11">
                  <c:v>0.1606071958439369</c:v>
                </c:pt>
                <c:pt idx="12">
                  <c:v>0.160216659955108</c:v>
                </c:pt>
                <c:pt idx="13">
                  <c:v>0.12430984040892251</c:v>
                </c:pt>
                <c:pt idx="14">
                  <c:v>0.16082850735369375</c:v>
                </c:pt>
                <c:pt idx="15">
                  <c:v>0.18121745773356823</c:v>
                </c:pt>
                <c:pt idx="16">
                  <c:v>0.14071740812410594</c:v>
                </c:pt>
                <c:pt idx="17">
                  <c:v>0.13612635198336406</c:v>
                </c:pt>
                <c:pt idx="18">
                  <c:v>0.18067590851142643</c:v>
                </c:pt>
                <c:pt idx="19">
                  <c:v>0.156588484356322</c:v>
                </c:pt>
                <c:pt idx="20">
                  <c:v>0.17907784572561014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16-384C-B69C-29F7774B50F0}"/>
            </c:ext>
          </c:extLst>
        </c:ser>
        <c:ser>
          <c:idx val="2"/>
          <c:order val="2"/>
          <c:tx>
            <c:strRef>
              <c:f>Chart1!$D$3</c:f>
              <c:strCache>
                <c:ptCount val="1"/>
                <c:pt idx="0">
                  <c:v>Average of EA Slugging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AEE-5646-A92A-B8F8061737C2}"/>
              </c:ext>
            </c:extLst>
          </c:dPt>
          <c:dLbls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SLG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AEE-5646-A92A-B8F806173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Chart1!$A$4:$A$27</c:f>
              <c:multiLvlStrCache>
                <c:ptCount val="21"/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  <c:pt idx="13">
                    <c:v>2006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2009</c:v>
                  </c:pt>
                  <c:pt idx="17">
                    <c:v>2010</c:v>
                  </c:pt>
                  <c:pt idx="18">
                    <c:v>2011</c:v>
                  </c:pt>
                  <c:pt idx="19">
                    <c:v>2012</c:v>
                  </c:pt>
                  <c:pt idx="20">
                    <c:v>2013</c:v>
                  </c:pt>
                </c:lvl>
                <c:lvl>
                  <c:pt idx="0">
                    <c:v>Pre-Moneyball</c:v>
                  </c:pt>
                  <c:pt idx="10">
                    <c:v>Moneyball Era</c:v>
                  </c:pt>
                </c:lvl>
              </c:multiLvlStrCache>
            </c:multiLvlStrRef>
          </c:cat>
          <c:val>
            <c:numRef>
              <c:f>Chart1!$D$4:$D$27</c:f>
              <c:numCache>
                <c:formatCode>0.000</c:formatCode>
                <c:ptCount val="21"/>
                <c:pt idx="0">
                  <c:v>8.3652965879885965E-2</c:v>
                </c:pt>
                <c:pt idx="1">
                  <c:v>0.10682815731966715</c:v>
                </c:pt>
                <c:pt idx="2">
                  <c:v>9.6363050525742164E-2</c:v>
                </c:pt>
                <c:pt idx="3">
                  <c:v>9.4104234616973204E-2</c:v>
                </c:pt>
                <c:pt idx="4">
                  <c:v>0.12543513759618424</c:v>
                </c:pt>
                <c:pt idx="5">
                  <c:v>0.10763226837289409</c:v>
                </c:pt>
                <c:pt idx="6">
                  <c:v>0.14389748104595715</c:v>
                </c:pt>
                <c:pt idx="7">
                  <c:v>0.12711734504581326</c:v>
                </c:pt>
                <c:pt idx="8">
                  <c:v>0.16539903089241623</c:v>
                </c:pt>
                <c:pt idx="9">
                  <c:v>0.13010111464099611</c:v>
                </c:pt>
                <c:pt idx="10">
                  <c:v>0.13528291404586704</c:v>
                </c:pt>
                <c:pt idx="11">
                  <c:v>0.10628417559535458</c:v>
                </c:pt>
                <c:pt idx="12">
                  <c:v>0.11024497556382834</c:v>
                </c:pt>
                <c:pt idx="13">
                  <c:v>8.2237010421435275E-2</c:v>
                </c:pt>
                <c:pt idx="14">
                  <c:v>0.1004960659018229</c:v>
                </c:pt>
                <c:pt idx="15">
                  <c:v>0.11497874549260254</c:v>
                </c:pt>
                <c:pt idx="16">
                  <c:v>9.1231329494047442E-2</c:v>
                </c:pt>
                <c:pt idx="17">
                  <c:v>9.2478095948999917E-2</c:v>
                </c:pt>
                <c:pt idx="18">
                  <c:v>0.12839582314927173</c:v>
                </c:pt>
                <c:pt idx="19">
                  <c:v>0.10354574603003276</c:v>
                </c:pt>
                <c:pt idx="20">
                  <c:v>0.12184322386528275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216-384C-B69C-29F7774B50F0}"/>
            </c:ext>
          </c:extLst>
        </c:ser>
        <c:ser>
          <c:idx val="3"/>
          <c:order val="3"/>
          <c:tx>
            <c:strRef>
              <c:f>Chart1!$E$3</c:f>
              <c:strCache>
                <c:ptCount val="1"/>
                <c:pt idx="0">
                  <c:v>Average of EA On Base %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AEE-5646-A92A-B8F8061737C2}"/>
              </c:ext>
            </c:extLst>
          </c:dPt>
          <c:dLbls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OBP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AEE-5646-A92A-B8F806173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Chart1!$A$4:$A$27</c:f>
              <c:multiLvlStrCache>
                <c:ptCount val="21"/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  <c:pt idx="13">
                    <c:v>2006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2009</c:v>
                  </c:pt>
                  <c:pt idx="17">
                    <c:v>2010</c:v>
                  </c:pt>
                  <c:pt idx="18">
                    <c:v>2011</c:v>
                  </c:pt>
                  <c:pt idx="19">
                    <c:v>2012</c:v>
                  </c:pt>
                  <c:pt idx="20">
                    <c:v>2013</c:v>
                  </c:pt>
                </c:lvl>
                <c:lvl>
                  <c:pt idx="0">
                    <c:v>Pre-Moneyball</c:v>
                  </c:pt>
                  <c:pt idx="10">
                    <c:v>Moneyball Era</c:v>
                  </c:pt>
                </c:lvl>
              </c:multiLvlStrCache>
            </c:multiLvlStrRef>
          </c:cat>
          <c:val>
            <c:numRef>
              <c:f>Chart1!$E$4:$E$27</c:f>
              <c:numCache>
                <c:formatCode>0.000</c:formatCode>
                <c:ptCount val="21"/>
                <c:pt idx="0">
                  <c:v>4.8574697148963814E-2</c:v>
                </c:pt>
                <c:pt idx="1">
                  <c:v>4.4125522306421909E-2</c:v>
                </c:pt>
                <c:pt idx="2">
                  <c:v>4.9485004554957433E-2</c:v>
                </c:pt>
                <c:pt idx="3">
                  <c:v>4.9851088639172592E-2</c:v>
                </c:pt>
                <c:pt idx="4">
                  <c:v>6.3833804878756936E-2</c:v>
                </c:pt>
                <c:pt idx="5">
                  <c:v>4.4530800377921752E-2</c:v>
                </c:pt>
                <c:pt idx="6">
                  <c:v>5.5784381806398921E-2</c:v>
                </c:pt>
                <c:pt idx="7">
                  <c:v>5.597133782874425E-2</c:v>
                </c:pt>
                <c:pt idx="8">
                  <c:v>6.7206862579364743E-2</c:v>
                </c:pt>
                <c:pt idx="9">
                  <c:v>5.7984656682750567E-2</c:v>
                </c:pt>
                <c:pt idx="10">
                  <c:v>6.3852110228592454E-2</c:v>
                </c:pt>
                <c:pt idx="11">
                  <c:v>5.4323020248582272E-2</c:v>
                </c:pt>
                <c:pt idx="12">
                  <c:v>4.9971684391279657E-2</c:v>
                </c:pt>
                <c:pt idx="13">
                  <c:v>4.2072829987487223E-2</c:v>
                </c:pt>
                <c:pt idx="14">
                  <c:v>5.9332441451870888E-2</c:v>
                </c:pt>
                <c:pt idx="15">
                  <c:v>6.6238712240965725E-2</c:v>
                </c:pt>
                <c:pt idx="16">
                  <c:v>4.9486078630058494E-2</c:v>
                </c:pt>
                <c:pt idx="17">
                  <c:v>4.3648256034364036E-2</c:v>
                </c:pt>
                <c:pt idx="18">
                  <c:v>5.228008536215463E-2</c:v>
                </c:pt>
                <c:pt idx="19">
                  <c:v>5.3042738326289224E-2</c:v>
                </c:pt>
                <c:pt idx="20">
                  <c:v>5.7234621860327399E-2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216-384C-B69C-29F7774B50F0}"/>
            </c:ext>
          </c:extLst>
        </c:ser>
        <c:ser>
          <c:idx val="4"/>
          <c:order val="4"/>
          <c:tx>
            <c:strRef>
              <c:f>Chart1!$F$3</c:f>
              <c:strCache>
                <c:ptCount val="1"/>
                <c:pt idx="0">
                  <c:v>Average of EA Batting Avg.</c:v>
                </c:pt>
              </c:strCache>
            </c:strRef>
          </c:tx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CAEE-5646-A92A-B8F8061737C2}"/>
              </c:ext>
            </c:extLst>
          </c:dPt>
          <c:dLbls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BA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CAEE-5646-A92A-B8F8061737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Chart1!$A$4:$A$27</c:f>
              <c:multiLvlStrCache>
                <c:ptCount val="21"/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  <c:pt idx="13">
                    <c:v>2006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2009</c:v>
                  </c:pt>
                  <c:pt idx="17">
                    <c:v>2010</c:v>
                  </c:pt>
                  <c:pt idx="18">
                    <c:v>2011</c:v>
                  </c:pt>
                  <c:pt idx="19">
                    <c:v>2012</c:v>
                  </c:pt>
                  <c:pt idx="20">
                    <c:v>2013</c:v>
                  </c:pt>
                </c:lvl>
                <c:lvl>
                  <c:pt idx="0">
                    <c:v>Pre-Moneyball</c:v>
                  </c:pt>
                  <c:pt idx="10">
                    <c:v>Moneyball Era</c:v>
                  </c:pt>
                </c:lvl>
              </c:multiLvlStrCache>
            </c:multiLvlStrRef>
          </c:cat>
          <c:val>
            <c:numRef>
              <c:f>Chart1!$F$4:$F$27</c:f>
              <c:numCache>
                <c:formatCode>0.000</c:formatCode>
                <c:ptCount val="21"/>
                <c:pt idx="0">
                  <c:v>3.6299969129434166E-2</c:v>
                </c:pt>
                <c:pt idx="1">
                  <c:v>4.1547240535080174E-2</c:v>
                </c:pt>
                <c:pt idx="2">
                  <c:v>4.2212710988233128E-2</c:v>
                </c:pt>
                <c:pt idx="3">
                  <c:v>3.9280212060684397E-2</c:v>
                </c:pt>
                <c:pt idx="4">
                  <c:v>4.6147636424411068E-2</c:v>
                </c:pt>
                <c:pt idx="5">
                  <c:v>3.8077586519081857E-2</c:v>
                </c:pt>
                <c:pt idx="6">
                  <c:v>3.9070473558369977E-2</c:v>
                </c:pt>
                <c:pt idx="7">
                  <c:v>4.9838655708570233E-2</c:v>
                </c:pt>
                <c:pt idx="8">
                  <c:v>5.2898404453720134E-2</c:v>
                </c:pt>
                <c:pt idx="9">
                  <c:v>4.0955335497574775E-2</c:v>
                </c:pt>
                <c:pt idx="10">
                  <c:v>4.408614274062813E-2</c:v>
                </c:pt>
                <c:pt idx="11">
                  <c:v>3.6198180133609342E-2</c:v>
                </c:pt>
                <c:pt idx="12">
                  <c:v>3.3927455883815433E-2</c:v>
                </c:pt>
                <c:pt idx="13">
                  <c:v>3.4647733579334983E-2</c:v>
                </c:pt>
                <c:pt idx="14">
                  <c:v>4.2889630609285107E-2</c:v>
                </c:pt>
                <c:pt idx="15">
                  <c:v>5.0424765310383986E-2</c:v>
                </c:pt>
                <c:pt idx="16">
                  <c:v>4.5596889159082402E-2</c:v>
                </c:pt>
                <c:pt idx="17">
                  <c:v>4.5222860861506869E-2</c:v>
                </c:pt>
                <c:pt idx="18">
                  <c:v>3.9237318183043782E-2</c:v>
                </c:pt>
                <c:pt idx="19">
                  <c:v>3.6273226751410585E-2</c:v>
                </c:pt>
                <c:pt idx="20">
                  <c:v>4.7828338693914098E-2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216-384C-B69C-29F7774B5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259503"/>
        <c:axId val="1236261231"/>
      </c:lineChart>
      <c:catAx>
        <c:axId val="123625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61231"/>
        <c:crosses val="autoZero"/>
        <c:auto val="1"/>
        <c:lblAlgn val="ctr"/>
        <c:lblOffset val="100"/>
        <c:tickLblSkip val="2"/>
        <c:noMultiLvlLbl val="0"/>
      </c:catAx>
      <c:valAx>
        <c:axId val="12362612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crossAx val="123625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Positional</a:t>
            </a:r>
            <a:r>
              <a:rPr lang="en-US" baseline="0"/>
              <a:t> </a:t>
            </a:r>
            <a:r>
              <a:rPr lang="en-US"/>
              <a:t>On</a:t>
            </a:r>
            <a:r>
              <a:rPr lang="en-US" baseline="0"/>
              <a:t> Base Plus Slugging by Era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Chart2!$B$35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>
                  <a:shade val="4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44000"/>
                </a:schemeClr>
              </a:solidFill>
              <a:ln w="9525">
                <a:solidFill>
                  <a:schemeClr val="accent1">
                    <a:shade val="44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F97-1E40-969D-14A9C5218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Chart2!$B$36:$B$37</c:f>
              <c:numCache>
                <c:formatCode>0.000</c:formatCode>
                <c:ptCount val="2"/>
                <c:pt idx="0">
                  <c:v>0.13080219407161756</c:v>
                </c:pt>
                <c:pt idx="1">
                  <c:v>0.10548690207512307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97-1E40-969D-14A9C5218457}"/>
            </c:ext>
          </c:extLst>
        </c:ser>
        <c:ser>
          <c:idx val="1"/>
          <c:order val="1"/>
          <c:tx>
            <c:strRef>
              <c:f>Chart2!$C$35</c:f>
              <c:strCache>
                <c:ptCount val="1"/>
                <c:pt idx="0">
                  <c:v>1B</c:v>
                </c:pt>
              </c:strCache>
            </c:strRef>
          </c:tx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8000"/>
                </a:schemeClr>
              </a:solidFill>
              <a:ln w="9525">
                <a:solidFill>
                  <a:schemeClr val="accent1">
                    <a:shade val="58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F97-1E40-969D-14A9C5218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Chart2!$C$36:$C$37</c:f>
              <c:numCache>
                <c:formatCode>0.000</c:formatCode>
                <c:ptCount val="2"/>
                <c:pt idx="0">
                  <c:v>0.24834635074524708</c:v>
                </c:pt>
                <c:pt idx="1">
                  <c:v>0.25902097659345036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97-1E40-969D-14A9C5218457}"/>
            </c:ext>
          </c:extLst>
        </c:ser>
        <c:ser>
          <c:idx val="2"/>
          <c:order val="2"/>
          <c:tx>
            <c:strRef>
              <c:f>Chart2!$D$35</c:f>
              <c:strCache>
                <c:ptCount val="1"/>
                <c:pt idx="0">
                  <c:v>2B</c:v>
                </c:pt>
              </c:strCache>
            </c:strRef>
          </c:tx>
          <c:spPr>
            <a:ln w="28575" cap="rnd">
              <a:solidFill>
                <a:schemeClr val="accent1">
                  <a:shade val="72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2000"/>
                </a:schemeClr>
              </a:solidFill>
              <a:ln w="9525">
                <a:solidFill>
                  <a:schemeClr val="accent1">
                    <a:shade val="72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FF97-1E40-969D-14A9C5218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Chart2!$D$36:$D$37</c:f>
              <c:numCache>
                <c:formatCode>0.000</c:formatCode>
                <c:ptCount val="2"/>
                <c:pt idx="0">
                  <c:v>0.11357993120163137</c:v>
                </c:pt>
                <c:pt idx="1">
                  <c:v>0.11323116752061013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97-1E40-969D-14A9C5218457}"/>
            </c:ext>
          </c:extLst>
        </c:ser>
        <c:ser>
          <c:idx val="3"/>
          <c:order val="3"/>
          <c:tx>
            <c:strRef>
              <c:f>Chart2!$E$35</c:f>
              <c:strCache>
                <c:ptCount val="1"/>
                <c:pt idx="0">
                  <c:v>3B</c:v>
                </c:pt>
              </c:strCache>
            </c:strRef>
          </c:tx>
          <c:spPr>
            <a:ln w="28575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86000"/>
                </a:schemeClr>
              </a:solidFill>
              <a:ln w="9525">
                <a:solidFill>
                  <a:schemeClr val="accent1">
                    <a:shade val="86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F97-1E40-969D-14A9C5218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Chart2!$E$36:$E$37</c:f>
              <c:numCache>
                <c:formatCode>0.000</c:formatCode>
                <c:ptCount val="2"/>
                <c:pt idx="0">
                  <c:v>0.11925864721736111</c:v>
                </c:pt>
                <c:pt idx="1">
                  <c:v>0.17265951849820838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97-1E40-969D-14A9C5218457}"/>
            </c:ext>
          </c:extLst>
        </c:ser>
        <c:ser>
          <c:idx val="4"/>
          <c:order val="4"/>
          <c:tx>
            <c:strRef>
              <c:f>Chart2!$F$35</c:f>
              <c:strCache>
                <c:ptCount val="1"/>
                <c:pt idx="0">
                  <c:v>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F97-1E40-969D-14A9C5218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Chart2!$F$36:$F$37</c:f>
              <c:numCache>
                <c:formatCode>0.000</c:formatCode>
                <c:ptCount val="2"/>
                <c:pt idx="0">
                  <c:v>7.8319530423803532E-2</c:v>
                </c:pt>
                <c:pt idx="1">
                  <c:v>8.8020973040209269E-2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F97-1E40-969D-14A9C5218457}"/>
            </c:ext>
          </c:extLst>
        </c:ser>
        <c:ser>
          <c:idx val="5"/>
          <c:order val="5"/>
          <c:tx>
            <c:strRef>
              <c:f>Chart2!$G$35</c:f>
              <c:strCache>
                <c:ptCount val="1"/>
                <c:pt idx="0">
                  <c:v>LF</c:v>
                </c:pt>
              </c:strCache>
            </c:strRef>
          </c:tx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6000"/>
                </a:schemeClr>
              </a:solidFill>
              <a:ln w="9525">
                <a:solidFill>
                  <a:schemeClr val="accent1">
                    <a:tint val="86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F97-1E40-969D-14A9C5218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Chart2!$G$36:$G$37</c:f>
              <c:numCache>
                <c:formatCode>0.000</c:formatCode>
                <c:ptCount val="2"/>
                <c:pt idx="0">
                  <c:v>0.2656046780207556</c:v>
                </c:pt>
                <c:pt idx="1">
                  <c:v>0.22609596507221627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F97-1E40-969D-14A9C5218457}"/>
            </c:ext>
          </c:extLst>
        </c:ser>
        <c:ser>
          <c:idx val="6"/>
          <c:order val="6"/>
          <c:tx>
            <c:strRef>
              <c:f>Chart2!$H$35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1">
                  <a:tint val="72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2000"/>
                </a:schemeClr>
              </a:solidFill>
              <a:ln w="9525">
                <a:solidFill>
                  <a:schemeClr val="accent1">
                    <a:tint val="72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F97-1E40-969D-14A9C5218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Chart2!$H$36:$H$37</c:f>
              <c:numCache>
                <c:formatCode>0.000</c:formatCode>
                <c:ptCount val="2"/>
                <c:pt idx="0">
                  <c:v>0.20945943882660051</c:v>
                </c:pt>
                <c:pt idx="1">
                  <c:v>0.14502150920341395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F97-1E40-969D-14A9C5218457}"/>
            </c:ext>
          </c:extLst>
        </c:ser>
        <c:ser>
          <c:idx val="7"/>
          <c:order val="7"/>
          <c:tx>
            <c:strRef>
              <c:f>Chart2!$I$35</c:f>
              <c:strCache>
                <c:ptCount val="1"/>
                <c:pt idx="0">
                  <c:v>CF</c:v>
                </c:pt>
              </c:strCache>
            </c:strRef>
          </c:tx>
          <c:spPr>
            <a:ln w="2857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chemeClr val="accent1">
                    <a:tint val="58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FF97-1E40-969D-14A9C5218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Chart2!$I$36:$I$37</c:f>
              <c:numCache>
                <c:formatCode>0.000</c:formatCode>
                <c:ptCount val="2"/>
                <c:pt idx="0">
                  <c:v>0.18530491077118888</c:v>
                </c:pt>
                <c:pt idx="1">
                  <c:v>0.13613503784987985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F97-1E40-969D-14A9C5218457}"/>
            </c:ext>
          </c:extLst>
        </c:ser>
        <c:ser>
          <c:idx val="8"/>
          <c:order val="8"/>
          <c:tx>
            <c:strRef>
              <c:f>Chart2!$J$35</c:f>
              <c:strCache>
                <c:ptCount val="1"/>
                <c:pt idx="0">
                  <c:v>DH</c:v>
                </c:pt>
              </c:strCache>
            </c:strRef>
          </c:tx>
          <c:spPr>
            <a:ln w="28575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44000"/>
                </a:schemeClr>
              </a:solidFill>
              <a:ln w="9525">
                <a:solidFill>
                  <a:schemeClr val="accent1">
                    <a:tint val="44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F97-1E40-969D-14A9C5218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Chart2!$J$36:$J$37</c:f>
              <c:numCache>
                <c:formatCode>0.000</c:formatCode>
                <c:ptCount val="2"/>
                <c:pt idx="0">
                  <c:v>0.23953321813691342</c:v>
                </c:pt>
                <c:pt idx="1">
                  <c:v>0.23927324785415519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F97-1E40-969D-14A9C5218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00960"/>
        <c:axId val="79556176"/>
      </c:lineChart>
      <c:catAx>
        <c:axId val="7900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56176"/>
        <c:crosses val="autoZero"/>
        <c:auto val="1"/>
        <c:lblAlgn val="ctr"/>
        <c:lblOffset val="100"/>
        <c:noMultiLvlLbl val="0"/>
      </c:catAx>
      <c:valAx>
        <c:axId val="79556176"/>
        <c:scaling>
          <c:orientation val="minMax"/>
          <c:max val="0.27500000000000002"/>
          <c:min val="0.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crossAx val="7900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Individual Batting Averages vs On Base Percentages by 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97401347449467E-2"/>
          <c:y val="0.10461224081827571"/>
          <c:w val="0.85370548604427332"/>
          <c:h val="0.79025632434243587"/>
        </c:manualLayout>
      </c:layout>
      <c:scatterChart>
        <c:scatterStyle val="lineMarker"/>
        <c:varyColors val="0"/>
        <c:ser>
          <c:idx val="0"/>
          <c:order val="0"/>
          <c:tx>
            <c:v>Pre-Moneyball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xVal>
            <c:strRef>
              <c:f>Chart3!$B:$B</c:f>
              <c:strCache>
                <c:ptCount val="175"/>
                <c:pt idx="0">
                  <c:v>EA OBP - Pre</c:v>
                </c:pt>
                <c:pt idx="1">
                  <c:v>0.106</c:v>
                </c:pt>
                <c:pt idx="2">
                  <c:v>0.164</c:v>
                </c:pt>
                <c:pt idx="3">
                  <c:v>0.146</c:v>
                </c:pt>
                <c:pt idx="4">
                  <c:v>0.201</c:v>
                </c:pt>
                <c:pt idx="5">
                  <c:v>0.197</c:v>
                </c:pt>
                <c:pt idx="6">
                  <c:v>0.051</c:v>
                </c:pt>
                <c:pt idx="7">
                  <c:v>0.182</c:v>
                </c:pt>
                <c:pt idx="8">
                  <c:v>0.089</c:v>
                </c:pt>
                <c:pt idx="9">
                  <c:v>0.332</c:v>
                </c:pt>
                <c:pt idx="10">
                  <c:v>0.166</c:v>
                </c:pt>
                <c:pt idx="11">
                  <c:v>0.137</c:v>
                </c:pt>
                <c:pt idx="12">
                  <c:v>0.127</c:v>
                </c:pt>
                <c:pt idx="13">
                  <c:v>0.310</c:v>
                </c:pt>
                <c:pt idx="14">
                  <c:v>0.177</c:v>
                </c:pt>
                <c:pt idx="15">
                  <c:v>0.130</c:v>
                </c:pt>
                <c:pt idx="16">
                  <c:v>0.263</c:v>
                </c:pt>
                <c:pt idx="17">
                  <c:v>0.229</c:v>
                </c:pt>
                <c:pt idx="18">
                  <c:v>0.156</c:v>
                </c:pt>
                <c:pt idx="19">
                  <c:v>0.089</c:v>
                </c:pt>
                <c:pt idx="20">
                  <c:v>0.150</c:v>
                </c:pt>
                <c:pt idx="21">
                  <c:v>0.107</c:v>
                </c:pt>
                <c:pt idx="22">
                  <c:v>-0.018</c:v>
                </c:pt>
                <c:pt idx="23">
                  <c:v>0.123</c:v>
                </c:pt>
                <c:pt idx="24">
                  <c:v>0.210</c:v>
                </c:pt>
                <c:pt idx="25">
                  <c:v>0.195</c:v>
                </c:pt>
                <c:pt idx="26">
                  <c:v>0.183</c:v>
                </c:pt>
                <c:pt idx="27">
                  <c:v>0.157</c:v>
                </c:pt>
                <c:pt idx="28">
                  <c:v>0.235</c:v>
                </c:pt>
                <c:pt idx="29">
                  <c:v>0.079</c:v>
                </c:pt>
                <c:pt idx="30">
                  <c:v>0.227</c:v>
                </c:pt>
                <c:pt idx="31">
                  <c:v>0.173</c:v>
                </c:pt>
                <c:pt idx="32">
                  <c:v>0.086</c:v>
                </c:pt>
                <c:pt idx="33">
                  <c:v>0.206</c:v>
                </c:pt>
                <c:pt idx="34">
                  <c:v>0.079</c:v>
                </c:pt>
                <c:pt idx="35">
                  <c:v>0.063</c:v>
                </c:pt>
                <c:pt idx="36">
                  <c:v>0.191</c:v>
                </c:pt>
                <c:pt idx="37">
                  <c:v>0.067</c:v>
                </c:pt>
                <c:pt idx="38">
                  <c:v>0.189</c:v>
                </c:pt>
                <c:pt idx="39">
                  <c:v>0.077</c:v>
                </c:pt>
                <c:pt idx="40">
                  <c:v>0.181</c:v>
                </c:pt>
                <c:pt idx="41">
                  <c:v>0.230</c:v>
                </c:pt>
                <c:pt idx="42">
                  <c:v>0.072</c:v>
                </c:pt>
                <c:pt idx="43">
                  <c:v>0.151</c:v>
                </c:pt>
                <c:pt idx="44">
                  <c:v>0.140</c:v>
                </c:pt>
                <c:pt idx="45">
                  <c:v>0.163</c:v>
                </c:pt>
                <c:pt idx="46">
                  <c:v>0.210</c:v>
                </c:pt>
                <c:pt idx="47">
                  <c:v>0.116</c:v>
                </c:pt>
                <c:pt idx="48">
                  <c:v>0.055</c:v>
                </c:pt>
                <c:pt idx="49">
                  <c:v>0.083</c:v>
                </c:pt>
                <c:pt idx="50">
                  <c:v>0.159</c:v>
                </c:pt>
                <c:pt idx="51">
                  <c:v>0.077</c:v>
                </c:pt>
                <c:pt idx="52">
                  <c:v>0.114</c:v>
                </c:pt>
                <c:pt idx="53">
                  <c:v>0.147</c:v>
                </c:pt>
                <c:pt idx="54">
                  <c:v>0.050</c:v>
                </c:pt>
                <c:pt idx="55">
                  <c:v>0.142</c:v>
                </c:pt>
                <c:pt idx="56">
                  <c:v>0.104</c:v>
                </c:pt>
                <c:pt idx="57">
                  <c:v>-0.002</c:v>
                </c:pt>
                <c:pt idx="58">
                  <c:v>0.127</c:v>
                </c:pt>
                <c:pt idx="59">
                  <c:v>0.146</c:v>
                </c:pt>
                <c:pt idx="60">
                  <c:v>0.082</c:v>
                </c:pt>
                <c:pt idx="61">
                  <c:v>0.258</c:v>
                </c:pt>
                <c:pt idx="62">
                  <c:v>0.144</c:v>
                </c:pt>
                <c:pt idx="63">
                  <c:v>0.098</c:v>
                </c:pt>
                <c:pt idx="64">
                  <c:v>0.044</c:v>
                </c:pt>
                <c:pt idx="65">
                  <c:v>0.250</c:v>
                </c:pt>
                <c:pt idx="66">
                  <c:v>-0.037</c:v>
                </c:pt>
                <c:pt idx="67">
                  <c:v>0.117</c:v>
                </c:pt>
                <c:pt idx="68">
                  <c:v>0.210</c:v>
                </c:pt>
                <c:pt idx="69">
                  <c:v>0.136</c:v>
                </c:pt>
                <c:pt idx="70">
                  <c:v>0.124</c:v>
                </c:pt>
                <c:pt idx="71">
                  <c:v>0.095</c:v>
                </c:pt>
                <c:pt idx="72">
                  <c:v>0.099</c:v>
                </c:pt>
                <c:pt idx="73">
                  <c:v>0.042</c:v>
                </c:pt>
                <c:pt idx="74">
                  <c:v>0.093</c:v>
                </c:pt>
                <c:pt idx="75">
                  <c:v>0.080</c:v>
                </c:pt>
                <c:pt idx="76">
                  <c:v>0.436</c:v>
                </c:pt>
                <c:pt idx="77">
                  <c:v>0.065</c:v>
                </c:pt>
                <c:pt idx="78">
                  <c:v>0.160</c:v>
                </c:pt>
                <c:pt idx="79">
                  <c:v>0.009</c:v>
                </c:pt>
                <c:pt idx="80">
                  <c:v>0.301</c:v>
                </c:pt>
                <c:pt idx="81">
                  <c:v>0.102</c:v>
                </c:pt>
                <c:pt idx="82">
                  <c:v>0.071</c:v>
                </c:pt>
                <c:pt idx="83">
                  <c:v>0.211</c:v>
                </c:pt>
                <c:pt idx="84">
                  <c:v>0.129</c:v>
                </c:pt>
                <c:pt idx="85">
                  <c:v>0.100</c:v>
                </c:pt>
                <c:pt idx="86">
                  <c:v>0.112</c:v>
                </c:pt>
                <c:pt idx="87">
                  <c:v>0.189</c:v>
                </c:pt>
                <c:pt idx="88">
                  <c:v>0.072</c:v>
                </c:pt>
                <c:pt idx="89">
                  <c:v>0.066</c:v>
                </c:pt>
                <c:pt idx="90">
                  <c:v>0.214</c:v>
                </c:pt>
                <c:pt idx="91">
                  <c:v>0.127</c:v>
                </c:pt>
                <c:pt idx="92">
                  <c:v>0.160</c:v>
                </c:pt>
                <c:pt idx="93">
                  <c:v>-0.077</c:v>
                </c:pt>
                <c:pt idx="94">
                  <c:v>0.135</c:v>
                </c:pt>
                <c:pt idx="95">
                  <c:v>0.273</c:v>
                </c:pt>
                <c:pt idx="96">
                  <c:v>0.166</c:v>
                </c:pt>
                <c:pt idx="97">
                  <c:v>0.103</c:v>
                </c:pt>
                <c:pt idx="98">
                  <c:v>0.076</c:v>
                </c:pt>
                <c:pt idx="99">
                  <c:v>0.009</c:v>
                </c:pt>
                <c:pt idx="100">
                  <c:v>0.230</c:v>
                </c:pt>
                <c:pt idx="101">
                  <c:v>-0.066</c:v>
                </c:pt>
                <c:pt idx="102">
                  <c:v>0.196</c:v>
                </c:pt>
                <c:pt idx="103">
                  <c:v>0.219</c:v>
                </c:pt>
                <c:pt idx="104">
                  <c:v>0.178</c:v>
                </c:pt>
                <c:pt idx="105">
                  <c:v>0.038</c:v>
                </c:pt>
                <c:pt idx="106">
                  <c:v>0.145</c:v>
                </c:pt>
                <c:pt idx="107">
                  <c:v>0.187</c:v>
                </c:pt>
                <c:pt idx="108">
                  <c:v>0.305</c:v>
                </c:pt>
                <c:pt idx="109">
                  <c:v>0.033</c:v>
                </c:pt>
                <c:pt idx="110">
                  <c:v>0.141</c:v>
                </c:pt>
                <c:pt idx="111">
                  <c:v>0.274</c:v>
                </c:pt>
                <c:pt idx="112">
                  <c:v>0.210</c:v>
                </c:pt>
                <c:pt idx="113">
                  <c:v>0.227</c:v>
                </c:pt>
                <c:pt idx="114">
                  <c:v>0.189</c:v>
                </c:pt>
                <c:pt idx="115">
                  <c:v>0.261</c:v>
                </c:pt>
                <c:pt idx="116">
                  <c:v>-0.007</c:v>
                </c:pt>
                <c:pt idx="117">
                  <c:v>0.188</c:v>
                </c:pt>
                <c:pt idx="118">
                  <c:v>0.019</c:v>
                </c:pt>
                <c:pt idx="119">
                  <c:v>0.158</c:v>
                </c:pt>
                <c:pt idx="120">
                  <c:v>0.039</c:v>
                </c:pt>
                <c:pt idx="121">
                  <c:v>0.035</c:v>
                </c:pt>
                <c:pt idx="122">
                  <c:v>-0.017</c:v>
                </c:pt>
                <c:pt idx="123">
                  <c:v>0.070</c:v>
                </c:pt>
                <c:pt idx="124">
                  <c:v>-0.002</c:v>
                </c:pt>
                <c:pt idx="125">
                  <c:v>0.107</c:v>
                </c:pt>
                <c:pt idx="126">
                  <c:v>0.064</c:v>
                </c:pt>
                <c:pt idx="127">
                  <c:v>-0.012</c:v>
                </c:pt>
                <c:pt idx="128">
                  <c:v>0.073</c:v>
                </c:pt>
                <c:pt idx="129">
                  <c:v>0.045</c:v>
                </c:pt>
                <c:pt idx="130">
                  <c:v>0.276</c:v>
                </c:pt>
                <c:pt idx="131">
                  <c:v>-0.031</c:v>
                </c:pt>
                <c:pt idx="132">
                  <c:v>0.196</c:v>
                </c:pt>
                <c:pt idx="133">
                  <c:v>0.124</c:v>
                </c:pt>
                <c:pt idx="134">
                  <c:v>0.116</c:v>
                </c:pt>
                <c:pt idx="135">
                  <c:v>0.176</c:v>
                </c:pt>
                <c:pt idx="136">
                  <c:v>0.089</c:v>
                </c:pt>
                <c:pt idx="137">
                  <c:v>0.106</c:v>
                </c:pt>
                <c:pt idx="138">
                  <c:v>0.005</c:v>
                </c:pt>
                <c:pt idx="139">
                  <c:v>0.196</c:v>
                </c:pt>
                <c:pt idx="140">
                  <c:v>-0.063</c:v>
                </c:pt>
                <c:pt idx="141">
                  <c:v>0.100</c:v>
                </c:pt>
                <c:pt idx="142">
                  <c:v>0.081</c:v>
                </c:pt>
                <c:pt idx="143">
                  <c:v>0.129</c:v>
                </c:pt>
                <c:pt idx="144">
                  <c:v>0.032</c:v>
                </c:pt>
                <c:pt idx="145">
                  <c:v>0.036</c:v>
                </c:pt>
                <c:pt idx="146">
                  <c:v>0.005</c:v>
                </c:pt>
                <c:pt idx="147">
                  <c:v>0.028</c:v>
                </c:pt>
                <c:pt idx="148">
                  <c:v>0.223</c:v>
                </c:pt>
                <c:pt idx="149">
                  <c:v>0.150</c:v>
                </c:pt>
                <c:pt idx="150">
                  <c:v>0.075</c:v>
                </c:pt>
                <c:pt idx="151">
                  <c:v>0.008</c:v>
                </c:pt>
                <c:pt idx="152">
                  <c:v>0.035</c:v>
                </c:pt>
                <c:pt idx="153">
                  <c:v>0.140</c:v>
                </c:pt>
                <c:pt idx="154">
                  <c:v>-0.014</c:v>
                </c:pt>
                <c:pt idx="155">
                  <c:v>0.017</c:v>
                </c:pt>
                <c:pt idx="156">
                  <c:v>0.046</c:v>
                </c:pt>
                <c:pt idx="157">
                  <c:v>0.382</c:v>
                </c:pt>
                <c:pt idx="158">
                  <c:v>-0.041</c:v>
                </c:pt>
                <c:pt idx="159">
                  <c:v>0.042</c:v>
                </c:pt>
                <c:pt idx="160">
                  <c:v>0.030</c:v>
                </c:pt>
                <c:pt idx="161">
                  <c:v>0.050</c:v>
                </c:pt>
                <c:pt idx="162">
                  <c:v>0.065</c:v>
                </c:pt>
                <c:pt idx="163">
                  <c:v>0.169</c:v>
                </c:pt>
                <c:pt idx="164">
                  <c:v>-0.075</c:v>
                </c:pt>
                <c:pt idx="165">
                  <c:v>0.065</c:v>
                </c:pt>
                <c:pt idx="166">
                  <c:v>-0.038</c:v>
                </c:pt>
                <c:pt idx="167">
                  <c:v>0.052</c:v>
                </c:pt>
                <c:pt idx="168">
                  <c:v>0.035</c:v>
                </c:pt>
                <c:pt idx="169">
                  <c:v>0.072</c:v>
                </c:pt>
                <c:pt idx="170">
                  <c:v>0.128</c:v>
                </c:pt>
                <c:pt idx="171">
                  <c:v>0.144</c:v>
                </c:pt>
                <c:pt idx="172">
                  <c:v>0.081</c:v>
                </c:pt>
                <c:pt idx="173">
                  <c:v>0.067</c:v>
                </c:pt>
                <c:pt idx="174">
                  <c:v>-0.031</c:v>
                </c:pt>
              </c:strCache>
            </c:strRef>
          </c:xVal>
          <c:yVal>
            <c:numRef>
              <c:f>Chart3!$A:$A</c:f>
              <c:numCache>
                <c:formatCode>0.000</c:formatCode>
                <c:ptCount val="1048576"/>
                <c:pt idx="0" formatCode="General">
                  <c:v>0</c:v>
                </c:pt>
                <c:pt idx="1">
                  <c:v>6.3279352226720542E-3</c:v>
                </c:pt>
                <c:pt idx="2">
                  <c:v>2.718181818181814E-2</c:v>
                </c:pt>
                <c:pt idx="3">
                  <c:v>2.5238095238095226E-2</c:v>
                </c:pt>
                <c:pt idx="4">
                  <c:v>1.699999999999996E-2</c:v>
                </c:pt>
                <c:pt idx="5">
                  <c:v>4.9536423841059607E-2</c:v>
                </c:pt>
                <c:pt idx="6">
                  <c:v>7.1017612524461593E-3</c:v>
                </c:pt>
                <c:pt idx="7">
                  <c:v>4.2238185255198457E-2</c:v>
                </c:pt>
                <c:pt idx="8">
                  <c:v>3.1619433198380564E-2</c:v>
                </c:pt>
                <c:pt idx="9">
                  <c:v>3.2624754420432223E-2</c:v>
                </c:pt>
                <c:pt idx="10">
                  <c:v>2.7623655913978473E-2</c:v>
                </c:pt>
                <c:pt idx="11">
                  <c:v>8.6097560975609833E-3</c:v>
                </c:pt>
                <c:pt idx="12">
                  <c:v>-1.1927194860814061E-3</c:v>
                </c:pt>
                <c:pt idx="13">
                  <c:v>6.3556325823223569E-2</c:v>
                </c:pt>
                <c:pt idx="14">
                  <c:v>2.6769784172661848E-2</c:v>
                </c:pt>
                <c:pt idx="15">
                  <c:v>3.9287356321839051E-2</c:v>
                </c:pt>
                <c:pt idx="16">
                  <c:v>7.3109404990402971E-3</c:v>
                </c:pt>
                <c:pt idx="17">
                  <c:v>6.2333333333333296E-2</c:v>
                </c:pt>
                <c:pt idx="18">
                  <c:v>5.5984251968503929E-2</c:v>
                </c:pt>
                <c:pt idx="19">
                  <c:v>2.3123456790123453E-2</c:v>
                </c:pt>
                <c:pt idx="20">
                  <c:v>3.0403225806451606E-2</c:v>
                </c:pt>
                <c:pt idx="21">
                  <c:v>2.7770053475935808E-2</c:v>
                </c:pt>
                <c:pt idx="22">
                  <c:v>-1.988472622478421E-3</c:v>
                </c:pt>
                <c:pt idx="23">
                  <c:v>1.7624787775891326E-2</c:v>
                </c:pt>
                <c:pt idx="24">
                  <c:v>5.2481848184818491E-2</c:v>
                </c:pt>
                <c:pt idx="25">
                  <c:v>5.4037974683544265E-2</c:v>
                </c:pt>
                <c:pt idx="26">
                  <c:v>-2.5842696629213568E-3</c:v>
                </c:pt>
                <c:pt idx="27">
                  <c:v>3.3270462633451958E-2</c:v>
                </c:pt>
                <c:pt idx="28">
                  <c:v>8.6100603621730387E-2</c:v>
                </c:pt>
                <c:pt idx="29">
                  <c:v>-8.137254901960822E-3</c:v>
                </c:pt>
                <c:pt idx="30">
                  <c:v>3.7276315789473657E-2</c:v>
                </c:pt>
                <c:pt idx="31">
                  <c:v>1.921908127208477E-2</c:v>
                </c:pt>
                <c:pt idx="32">
                  <c:v>-1.1268656716417913E-2</c:v>
                </c:pt>
                <c:pt idx="33">
                  <c:v>3.867948717948716E-2</c:v>
                </c:pt>
                <c:pt idx="34">
                  <c:v>5.0557491289198564E-2</c:v>
                </c:pt>
                <c:pt idx="35">
                  <c:v>4.1285163776493217E-2</c:v>
                </c:pt>
                <c:pt idx="36">
                  <c:v>1.8360189573459695E-2</c:v>
                </c:pt>
                <c:pt idx="37">
                  <c:v>2.4975688816855746E-2</c:v>
                </c:pt>
                <c:pt idx="38">
                  <c:v>7.862211981566819E-2</c:v>
                </c:pt>
                <c:pt idx="39">
                  <c:v>1.5879194630872451E-2</c:v>
                </c:pt>
                <c:pt idx="40">
                  <c:v>5.328571428571427E-2</c:v>
                </c:pt>
                <c:pt idx="41">
                  <c:v>8.7623853211009184E-2</c:v>
                </c:pt>
                <c:pt idx="42">
                  <c:v>1.3303030303030261E-2</c:v>
                </c:pt>
                <c:pt idx="43">
                  <c:v>6.6658105939004786E-2</c:v>
                </c:pt>
                <c:pt idx="44">
                  <c:v>4.4495626822157408E-2</c:v>
                </c:pt>
                <c:pt idx="45">
                  <c:v>6.1187969924812013E-2</c:v>
                </c:pt>
                <c:pt idx="46">
                  <c:v>2.7063903281519863E-2</c:v>
                </c:pt>
                <c:pt idx="47">
                  <c:v>4.2382978723404241E-2</c:v>
                </c:pt>
                <c:pt idx="48">
                  <c:v>-2.3333333333333539E-3</c:v>
                </c:pt>
                <c:pt idx="49">
                  <c:v>5.9077399380804918E-2</c:v>
                </c:pt>
                <c:pt idx="50">
                  <c:v>6.3901192504258908E-2</c:v>
                </c:pt>
                <c:pt idx="51">
                  <c:v>3.2829642248722313E-2</c:v>
                </c:pt>
                <c:pt idx="52">
                  <c:v>4.3692307692307697E-2</c:v>
                </c:pt>
                <c:pt idx="53">
                  <c:v>4.2297912713472496E-2</c:v>
                </c:pt>
                <c:pt idx="54">
                  <c:v>2.1135593220338977E-2</c:v>
                </c:pt>
                <c:pt idx="55">
                  <c:v>1.4478547854785473E-2</c:v>
                </c:pt>
                <c:pt idx="56">
                  <c:v>4.2796208530805679E-2</c:v>
                </c:pt>
                <c:pt idx="57">
                  <c:v>3.0075268817204293E-2</c:v>
                </c:pt>
                <c:pt idx="58">
                  <c:v>1.9334728033472803E-2</c:v>
                </c:pt>
                <c:pt idx="59">
                  <c:v>3.6198807157057644E-2</c:v>
                </c:pt>
                <c:pt idx="60">
                  <c:v>4.1562197092083975E-2</c:v>
                </c:pt>
                <c:pt idx="61">
                  <c:v>7.1604770017035746E-2</c:v>
                </c:pt>
                <c:pt idx="62">
                  <c:v>1.7048780487804893E-2</c:v>
                </c:pt>
                <c:pt idx="63">
                  <c:v>4.7126394052044607E-2</c:v>
                </c:pt>
                <c:pt idx="64">
                  <c:v>6.8954468802698121E-2</c:v>
                </c:pt>
                <c:pt idx="65">
                  <c:v>5.3325635103926072E-2</c:v>
                </c:pt>
                <c:pt idx="66">
                  <c:v>-1.6102040816326546E-2</c:v>
                </c:pt>
                <c:pt idx="67">
                  <c:v>4.8518518518518516E-2</c:v>
                </c:pt>
                <c:pt idx="68">
                  <c:v>6.3333333333333297E-2</c:v>
                </c:pt>
                <c:pt idx="69">
                  <c:v>6.6380255941499045E-2</c:v>
                </c:pt>
                <c:pt idx="70">
                  <c:v>5.1131447587354384E-2</c:v>
                </c:pt>
                <c:pt idx="71">
                  <c:v>5.6688969258589517E-2</c:v>
                </c:pt>
                <c:pt idx="72">
                  <c:v>5.2268206039076337E-2</c:v>
                </c:pt>
                <c:pt idx="73">
                  <c:v>3.237539432176656E-2</c:v>
                </c:pt>
                <c:pt idx="74">
                  <c:v>5.5243523316062138E-2</c:v>
                </c:pt>
                <c:pt idx="75">
                  <c:v>3.4187808896210869E-2</c:v>
                </c:pt>
                <c:pt idx="76">
                  <c:v>6.3731092436974779E-2</c:v>
                </c:pt>
                <c:pt idx="77">
                  <c:v>4.623283082077051E-2</c:v>
                </c:pt>
                <c:pt idx="78">
                  <c:v>6.8113924050632879E-2</c:v>
                </c:pt>
                <c:pt idx="79">
                  <c:v>7.7272727272726938E-3</c:v>
                </c:pt>
                <c:pt idx="80">
                  <c:v>9.9197183098591546E-2</c:v>
                </c:pt>
                <c:pt idx="81">
                  <c:v>3.203030303030302E-2</c:v>
                </c:pt>
                <c:pt idx="82">
                  <c:v>3.0819935691318301E-2</c:v>
                </c:pt>
                <c:pt idx="83">
                  <c:v>8.9164383561643801E-2</c:v>
                </c:pt>
                <c:pt idx="84">
                  <c:v>3.7262569832402226E-2</c:v>
                </c:pt>
                <c:pt idx="85">
                  <c:v>1.2643678160919603E-3</c:v>
                </c:pt>
                <c:pt idx="86">
                  <c:v>5.0854700854700563E-3</c:v>
                </c:pt>
                <c:pt idx="87">
                  <c:v>3.6536231884057968E-2</c:v>
                </c:pt>
                <c:pt idx="88">
                  <c:v>5.0887850467289719E-2</c:v>
                </c:pt>
                <c:pt idx="89">
                  <c:v>3.4989150090415921E-2</c:v>
                </c:pt>
                <c:pt idx="90">
                  <c:v>4.4278350515463916E-2</c:v>
                </c:pt>
                <c:pt idx="91">
                  <c:v>4.6811980033277856E-2</c:v>
                </c:pt>
                <c:pt idx="92">
                  <c:v>2.7466403162055342E-2</c:v>
                </c:pt>
                <c:pt idx="93">
                  <c:v>1.3538904899135451E-2</c:v>
                </c:pt>
                <c:pt idx="94">
                  <c:v>6.3258302583025838E-2</c:v>
                </c:pt>
                <c:pt idx="95">
                  <c:v>4.9849816849816819E-2</c:v>
                </c:pt>
                <c:pt idx="96">
                  <c:v>2.4353383458646627E-2</c:v>
                </c:pt>
                <c:pt idx="97">
                  <c:v>3.9364548494983276E-2</c:v>
                </c:pt>
                <c:pt idx="98">
                  <c:v>2.7372881355932188E-2</c:v>
                </c:pt>
                <c:pt idx="99">
                  <c:v>4.4210526315789478E-2</c:v>
                </c:pt>
                <c:pt idx="100">
                  <c:v>7.7107438016528917E-2</c:v>
                </c:pt>
                <c:pt idx="101">
                  <c:v>-2.5006289308176111E-2</c:v>
                </c:pt>
                <c:pt idx="102">
                  <c:v>4.0631229235880362E-2</c:v>
                </c:pt>
                <c:pt idx="103">
                  <c:v>9.4510791366906433E-2</c:v>
                </c:pt>
                <c:pt idx="104">
                  <c:v>6.6419580419580404E-2</c:v>
                </c:pt>
                <c:pt idx="105">
                  <c:v>3.9836065573770452E-2</c:v>
                </c:pt>
                <c:pt idx="106">
                  <c:v>5.9899371069182361E-2</c:v>
                </c:pt>
                <c:pt idx="107">
                  <c:v>8.171573604060911E-2</c:v>
                </c:pt>
                <c:pt idx="108">
                  <c:v>8.3383458646616504E-2</c:v>
                </c:pt>
                <c:pt idx="109">
                  <c:v>4.9516407599309142E-2</c:v>
                </c:pt>
                <c:pt idx="110">
                  <c:v>3.2370786516853933E-2</c:v>
                </c:pt>
                <c:pt idx="111">
                  <c:v>7.080705009276439E-2</c:v>
                </c:pt>
                <c:pt idx="112">
                  <c:v>9.74361233480176E-2</c:v>
                </c:pt>
                <c:pt idx="113">
                  <c:v>7.5008756567425561E-2</c:v>
                </c:pt>
                <c:pt idx="114">
                  <c:v>4.1316430020283956E-2</c:v>
                </c:pt>
                <c:pt idx="115">
                  <c:v>6.1123152709359585E-2</c:v>
                </c:pt>
                <c:pt idx="116">
                  <c:v>1.5666666666666662E-2</c:v>
                </c:pt>
                <c:pt idx="117">
                  <c:v>3.7543520309477718E-2</c:v>
                </c:pt>
                <c:pt idx="118">
                  <c:v>4.7220543806646531E-2</c:v>
                </c:pt>
                <c:pt idx="119">
                  <c:v>2.9296296296296265E-2</c:v>
                </c:pt>
                <c:pt idx="120">
                  <c:v>8.1249999999999933E-3</c:v>
                </c:pt>
                <c:pt idx="121">
                  <c:v>3.3412698412698394E-2</c:v>
                </c:pt>
                <c:pt idx="122">
                  <c:v>2.9186991869918355E-3</c:v>
                </c:pt>
                <c:pt idx="123">
                  <c:v>2.9573643410852724E-2</c:v>
                </c:pt>
                <c:pt idx="124">
                  <c:v>1.6312925170067993E-2</c:v>
                </c:pt>
                <c:pt idx="125">
                  <c:v>4.2499999999999982E-2</c:v>
                </c:pt>
                <c:pt idx="126">
                  <c:v>2.7520661157024784E-2</c:v>
                </c:pt>
                <c:pt idx="127">
                  <c:v>1.7603305785123924E-2</c:v>
                </c:pt>
                <c:pt idx="128">
                  <c:v>5.3569536423841047E-2</c:v>
                </c:pt>
                <c:pt idx="129">
                  <c:v>3.8447552447552436E-2</c:v>
                </c:pt>
                <c:pt idx="130">
                  <c:v>0.1079954337899543</c:v>
                </c:pt>
                <c:pt idx="131">
                  <c:v>5.2146422628951417E-3</c:v>
                </c:pt>
                <c:pt idx="132">
                  <c:v>5.2893805309734476E-2</c:v>
                </c:pt>
                <c:pt idx="133">
                  <c:v>6.0666666666666647E-2</c:v>
                </c:pt>
                <c:pt idx="134">
                  <c:v>4.6628701594533029E-2</c:v>
                </c:pt>
                <c:pt idx="135">
                  <c:v>7.4504885993485315E-2</c:v>
                </c:pt>
                <c:pt idx="136">
                  <c:v>6.097623089983023E-2</c:v>
                </c:pt>
                <c:pt idx="137">
                  <c:v>6.6761006289308145E-2</c:v>
                </c:pt>
                <c:pt idx="138">
                  <c:v>-5.1818181818181763E-3</c:v>
                </c:pt>
                <c:pt idx="139">
                  <c:v>9.7976406533575311E-2</c:v>
                </c:pt>
                <c:pt idx="140">
                  <c:v>-3.2204724409449215E-3</c:v>
                </c:pt>
                <c:pt idx="141">
                  <c:v>5.8231292517006761E-2</c:v>
                </c:pt>
                <c:pt idx="142">
                  <c:v>6.5524271844660198E-2</c:v>
                </c:pt>
                <c:pt idx="143">
                  <c:v>4.0880829015544018E-2</c:v>
                </c:pt>
                <c:pt idx="144">
                  <c:v>3.5845528455284548E-2</c:v>
                </c:pt>
                <c:pt idx="145">
                  <c:v>4.2771309771309773E-2</c:v>
                </c:pt>
                <c:pt idx="146">
                  <c:v>5.6913043478260872E-2</c:v>
                </c:pt>
                <c:pt idx="147">
                  <c:v>3.6122448979591826E-2</c:v>
                </c:pt>
                <c:pt idx="148">
                  <c:v>4.2020460358056233E-2</c:v>
                </c:pt>
                <c:pt idx="149">
                  <c:v>6.9361445783132525E-2</c:v>
                </c:pt>
                <c:pt idx="150">
                  <c:v>5.1548387096774173E-2</c:v>
                </c:pt>
                <c:pt idx="151">
                  <c:v>6.0483771251931995E-2</c:v>
                </c:pt>
                <c:pt idx="152">
                  <c:v>4.5315315315315297E-2</c:v>
                </c:pt>
                <c:pt idx="153">
                  <c:v>2.7872340425531883E-2</c:v>
                </c:pt>
                <c:pt idx="154">
                  <c:v>2.2310463121783863E-2</c:v>
                </c:pt>
                <c:pt idx="155">
                  <c:v>-7.5897035881435371E-3</c:v>
                </c:pt>
                <c:pt idx="156">
                  <c:v>3.0469483568075106E-2</c:v>
                </c:pt>
                <c:pt idx="157">
                  <c:v>0.10872704714640197</c:v>
                </c:pt>
                <c:pt idx="158">
                  <c:v>3.6785714285714255E-2</c:v>
                </c:pt>
                <c:pt idx="159">
                  <c:v>5.0104166666666672E-2</c:v>
                </c:pt>
                <c:pt idx="160">
                  <c:v>8.5710982658959545E-2</c:v>
                </c:pt>
                <c:pt idx="161">
                  <c:v>4.3131313131313131E-2</c:v>
                </c:pt>
                <c:pt idx="162">
                  <c:v>7.1530054644808716E-2</c:v>
                </c:pt>
                <c:pt idx="163">
                  <c:v>8.6142857142857132E-2</c:v>
                </c:pt>
                <c:pt idx="164">
                  <c:v>-7.5328083989501526E-3</c:v>
                </c:pt>
                <c:pt idx="165">
                  <c:v>5.4937027707808561E-2</c:v>
                </c:pt>
                <c:pt idx="166">
                  <c:v>4.137724550898203E-2</c:v>
                </c:pt>
                <c:pt idx="167">
                  <c:v>6.2844574780058615E-2</c:v>
                </c:pt>
                <c:pt idx="168">
                  <c:v>4.7183123877917399E-2</c:v>
                </c:pt>
                <c:pt idx="169">
                  <c:v>5.9915824915824922E-2</c:v>
                </c:pt>
                <c:pt idx="170">
                  <c:v>0.10462162162162159</c:v>
                </c:pt>
                <c:pt idx="171">
                  <c:v>0.12379474940334129</c:v>
                </c:pt>
                <c:pt idx="172">
                  <c:v>5.50412147505423E-2</c:v>
                </c:pt>
                <c:pt idx="173">
                  <c:v>0.10122429906542052</c:v>
                </c:pt>
                <c:pt idx="174">
                  <c:v>1.1777777777777776E-2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E-2A4A-8E69-F654A4446B50}"/>
            </c:ext>
          </c:extLst>
        </c:ser>
        <c:ser>
          <c:idx val="1"/>
          <c:order val="1"/>
          <c:tx>
            <c:v>Moneyball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xVal>
            <c:strRef>
              <c:f>Chart3!$D:$D</c:f>
              <c:strCache>
                <c:ptCount val="193"/>
                <c:pt idx="0">
                  <c:v>OBP - Moneyball</c:v>
                </c:pt>
                <c:pt idx="1">
                  <c:v>0.064</c:v>
                </c:pt>
                <c:pt idx="2">
                  <c:v>0.238</c:v>
                </c:pt>
                <c:pt idx="3">
                  <c:v>0.087</c:v>
                </c:pt>
                <c:pt idx="4">
                  <c:v>0.195</c:v>
                </c:pt>
                <c:pt idx="5">
                  <c:v>-0.021</c:v>
                </c:pt>
                <c:pt idx="6">
                  <c:v>0.172</c:v>
                </c:pt>
                <c:pt idx="7">
                  <c:v>0.119</c:v>
                </c:pt>
                <c:pt idx="8">
                  <c:v>0.102</c:v>
                </c:pt>
                <c:pt idx="9">
                  <c:v>0.153</c:v>
                </c:pt>
                <c:pt idx="10">
                  <c:v>0.114</c:v>
                </c:pt>
                <c:pt idx="11">
                  <c:v>0.089</c:v>
                </c:pt>
                <c:pt idx="12">
                  <c:v>0.100</c:v>
                </c:pt>
                <c:pt idx="13">
                  <c:v>0.107</c:v>
                </c:pt>
                <c:pt idx="14">
                  <c:v>0.195</c:v>
                </c:pt>
                <c:pt idx="15">
                  <c:v>0.187</c:v>
                </c:pt>
                <c:pt idx="16">
                  <c:v>0.122</c:v>
                </c:pt>
                <c:pt idx="17">
                  <c:v>0.100</c:v>
                </c:pt>
                <c:pt idx="18">
                  <c:v>0.029</c:v>
                </c:pt>
                <c:pt idx="19">
                  <c:v>0.147</c:v>
                </c:pt>
                <c:pt idx="20">
                  <c:v>0.128</c:v>
                </c:pt>
                <c:pt idx="21">
                  <c:v>0.070</c:v>
                </c:pt>
                <c:pt idx="22">
                  <c:v>0.008</c:v>
                </c:pt>
                <c:pt idx="23">
                  <c:v>0.088</c:v>
                </c:pt>
                <c:pt idx="24">
                  <c:v>0.134</c:v>
                </c:pt>
                <c:pt idx="25">
                  <c:v>0.069</c:v>
                </c:pt>
                <c:pt idx="26">
                  <c:v>0.091</c:v>
                </c:pt>
                <c:pt idx="27">
                  <c:v>0.113</c:v>
                </c:pt>
                <c:pt idx="28">
                  <c:v>0.157</c:v>
                </c:pt>
                <c:pt idx="29">
                  <c:v>0.090</c:v>
                </c:pt>
                <c:pt idx="30">
                  <c:v>0.171</c:v>
                </c:pt>
                <c:pt idx="31">
                  <c:v>0.097</c:v>
                </c:pt>
                <c:pt idx="32">
                  <c:v>0.105</c:v>
                </c:pt>
                <c:pt idx="33">
                  <c:v>0.042</c:v>
                </c:pt>
                <c:pt idx="34">
                  <c:v>0.191</c:v>
                </c:pt>
                <c:pt idx="35">
                  <c:v>-0.049</c:v>
                </c:pt>
                <c:pt idx="36">
                  <c:v>0.137</c:v>
                </c:pt>
                <c:pt idx="37">
                  <c:v>0.161</c:v>
                </c:pt>
                <c:pt idx="38">
                  <c:v>0.090</c:v>
                </c:pt>
                <c:pt idx="39">
                  <c:v>0.190</c:v>
                </c:pt>
                <c:pt idx="40">
                  <c:v>0.095</c:v>
                </c:pt>
                <c:pt idx="41">
                  <c:v>0.084</c:v>
                </c:pt>
                <c:pt idx="42">
                  <c:v>0.104</c:v>
                </c:pt>
                <c:pt idx="43">
                  <c:v>0.096</c:v>
                </c:pt>
                <c:pt idx="44">
                  <c:v>0.185</c:v>
                </c:pt>
                <c:pt idx="45">
                  <c:v>0.055</c:v>
                </c:pt>
                <c:pt idx="46">
                  <c:v>0.056</c:v>
                </c:pt>
                <c:pt idx="47">
                  <c:v>-0.003</c:v>
                </c:pt>
                <c:pt idx="48">
                  <c:v>0.175</c:v>
                </c:pt>
                <c:pt idx="49">
                  <c:v>0.134</c:v>
                </c:pt>
                <c:pt idx="50">
                  <c:v>0.126</c:v>
                </c:pt>
                <c:pt idx="51">
                  <c:v>0.265</c:v>
                </c:pt>
                <c:pt idx="52">
                  <c:v>0.061</c:v>
                </c:pt>
                <c:pt idx="53">
                  <c:v>0.114</c:v>
                </c:pt>
                <c:pt idx="54">
                  <c:v>0.095</c:v>
                </c:pt>
                <c:pt idx="55">
                  <c:v>0.195</c:v>
                </c:pt>
                <c:pt idx="56">
                  <c:v>0.162</c:v>
                </c:pt>
                <c:pt idx="57">
                  <c:v>0.178</c:v>
                </c:pt>
                <c:pt idx="58">
                  <c:v>0.103</c:v>
                </c:pt>
                <c:pt idx="59">
                  <c:v>0.153</c:v>
                </c:pt>
                <c:pt idx="60">
                  <c:v>0.124</c:v>
                </c:pt>
                <c:pt idx="61">
                  <c:v>-0.037</c:v>
                </c:pt>
                <c:pt idx="62">
                  <c:v>0.102</c:v>
                </c:pt>
                <c:pt idx="63">
                  <c:v>0.090</c:v>
                </c:pt>
                <c:pt idx="64">
                  <c:v>0.222</c:v>
                </c:pt>
                <c:pt idx="65">
                  <c:v>0.137</c:v>
                </c:pt>
                <c:pt idx="66">
                  <c:v>0.185</c:v>
                </c:pt>
                <c:pt idx="67">
                  <c:v>0.080</c:v>
                </c:pt>
                <c:pt idx="68">
                  <c:v>0.133</c:v>
                </c:pt>
                <c:pt idx="69">
                  <c:v>0.099</c:v>
                </c:pt>
                <c:pt idx="70">
                  <c:v>0.156</c:v>
                </c:pt>
                <c:pt idx="71">
                  <c:v>0.204</c:v>
                </c:pt>
                <c:pt idx="72">
                  <c:v>0.209</c:v>
                </c:pt>
                <c:pt idx="73">
                  <c:v>0.327</c:v>
                </c:pt>
                <c:pt idx="74">
                  <c:v>0.067</c:v>
                </c:pt>
                <c:pt idx="75">
                  <c:v>0.122</c:v>
                </c:pt>
                <c:pt idx="76">
                  <c:v>0.230</c:v>
                </c:pt>
                <c:pt idx="77">
                  <c:v>0.149</c:v>
                </c:pt>
                <c:pt idx="78">
                  <c:v>0.144</c:v>
                </c:pt>
                <c:pt idx="79">
                  <c:v>0.090</c:v>
                </c:pt>
                <c:pt idx="80">
                  <c:v>0.151</c:v>
                </c:pt>
                <c:pt idx="81">
                  <c:v>0.147</c:v>
                </c:pt>
                <c:pt idx="82">
                  <c:v>0.123</c:v>
                </c:pt>
                <c:pt idx="83">
                  <c:v>0.162</c:v>
                </c:pt>
                <c:pt idx="84">
                  <c:v>0.103</c:v>
                </c:pt>
                <c:pt idx="85">
                  <c:v>0.118</c:v>
                </c:pt>
                <c:pt idx="86">
                  <c:v>0.106</c:v>
                </c:pt>
                <c:pt idx="87">
                  <c:v>0.073</c:v>
                </c:pt>
                <c:pt idx="88">
                  <c:v>0.067</c:v>
                </c:pt>
                <c:pt idx="89">
                  <c:v>0.102</c:v>
                </c:pt>
                <c:pt idx="90">
                  <c:v>0.122</c:v>
                </c:pt>
                <c:pt idx="91">
                  <c:v>0.092</c:v>
                </c:pt>
                <c:pt idx="92">
                  <c:v>0.170</c:v>
                </c:pt>
                <c:pt idx="93">
                  <c:v>0.243</c:v>
                </c:pt>
                <c:pt idx="94">
                  <c:v>0.148</c:v>
                </c:pt>
                <c:pt idx="95">
                  <c:v>0.144</c:v>
                </c:pt>
                <c:pt idx="96">
                  <c:v>0.082</c:v>
                </c:pt>
                <c:pt idx="97">
                  <c:v>0.125</c:v>
                </c:pt>
                <c:pt idx="98">
                  <c:v>0.167</c:v>
                </c:pt>
                <c:pt idx="99">
                  <c:v>0.198</c:v>
                </c:pt>
                <c:pt idx="100">
                  <c:v>0.098</c:v>
                </c:pt>
                <c:pt idx="101">
                  <c:v>0.119</c:v>
                </c:pt>
                <c:pt idx="102">
                  <c:v>0.143</c:v>
                </c:pt>
                <c:pt idx="103">
                  <c:v>0.072</c:v>
                </c:pt>
                <c:pt idx="104">
                  <c:v>0.100</c:v>
                </c:pt>
                <c:pt idx="105">
                  <c:v>0.033</c:v>
                </c:pt>
                <c:pt idx="106">
                  <c:v>0.095</c:v>
                </c:pt>
                <c:pt idx="107">
                  <c:v>0.000</c:v>
                </c:pt>
                <c:pt idx="108">
                  <c:v>0.152</c:v>
                </c:pt>
                <c:pt idx="109">
                  <c:v>0.138</c:v>
                </c:pt>
                <c:pt idx="110">
                  <c:v>-0.005</c:v>
                </c:pt>
                <c:pt idx="111">
                  <c:v>0.005</c:v>
                </c:pt>
                <c:pt idx="112">
                  <c:v>0.016</c:v>
                </c:pt>
                <c:pt idx="113">
                  <c:v>0.219</c:v>
                </c:pt>
                <c:pt idx="114">
                  <c:v>0.168</c:v>
                </c:pt>
                <c:pt idx="115">
                  <c:v>0.114</c:v>
                </c:pt>
                <c:pt idx="116">
                  <c:v>0.051</c:v>
                </c:pt>
                <c:pt idx="117">
                  <c:v>0.046</c:v>
                </c:pt>
                <c:pt idx="118">
                  <c:v>-0.033</c:v>
                </c:pt>
                <c:pt idx="119">
                  <c:v>0.240</c:v>
                </c:pt>
                <c:pt idx="120">
                  <c:v>0.134</c:v>
                </c:pt>
                <c:pt idx="121">
                  <c:v>0.029</c:v>
                </c:pt>
                <c:pt idx="122">
                  <c:v>0.043</c:v>
                </c:pt>
                <c:pt idx="123">
                  <c:v>0.145</c:v>
                </c:pt>
                <c:pt idx="124">
                  <c:v>0.155</c:v>
                </c:pt>
                <c:pt idx="125">
                  <c:v>-0.002</c:v>
                </c:pt>
                <c:pt idx="126">
                  <c:v>0.093</c:v>
                </c:pt>
                <c:pt idx="127">
                  <c:v>0.042</c:v>
                </c:pt>
                <c:pt idx="128">
                  <c:v>0.081</c:v>
                </c:pt>
                <c:pt idx="129">
                  <c:v>0.110</c:v>
                </c:pt>
                <c:pt idx="130">
                  <c:v>0.004</c:v>
                </c:pt>
                <c:pt idx="131">
                  <c:v>0.056</c:v>
                </c:pt>
                <c:pt idx="132">
                  <c:v>0.206</c:v>
                </c:pt>
                <c:pt idx="133">
                  <c:v>0.145</c:v>
                </c:pt>
                <c:pt idx="134">
                  <c:v>0.096</c:v>
                </c:pt>
                <c:pt idx="135">
                  <c:v>-0.008</c:v>
                </c:pt>
                <c:pt idx="136">
                  <c:v>0.156</c:v>
                </c:pt>
                <c:pt idx="137">
                  <c:v>0.047</c:v>
                </c:pt>
                <c:pt idx="138">
                  <c:v>0.111</c:v>
                </c:pt>
                <c:pt idx="139">
                  <c:v>0.120</c:v>
                </c:pt>
                <c:pt idx="140">
                  <c:v>0.123</c:v>
                </c:pt>
                <c:pt idx="141">
                  <c:v>0.013</c:v>
                </c:pt>
                <c:pt idx="142">
                  <c:v>-0.027</c:v>
                </c:pt>
                <c:pt idx="143">
                  <c:v>0.119</c:v>
                </c:pt>
                <c:pt idx="144">
                  <c:v>0.024</c:v>
                </c:pt>
                <c:pt idx="145">
                  <c:v>0.149</c:v>
                </c:pt>
                <c:pt idx="146">
                  <c:v>0.096</c:v>
                </c:pt>
                <c:pt idx="147">
                  <c:v>-0.009</c:v>
                </c:pt>
                <c:pt idx="148">
                  <c:v>0.172</c:v>
                </c:pt>
                <c:pt idx="149">
                  <c:v>0.158</c:v>
                </c:pt>
                <c:pt idx="150">
                  <c:v>0.142</c:v>
                </c:pt>
                <c:pt idx="151">
                  <c:v>0.037</c:v>
                </c:pt>
                <c:pt idx="152">
                  <c:v>0.131</c:v>
                </c:pt>
                <c:pt idx="153">
                  <c:v>0.170</c:v>
                </c:pt>
                <c:pt idx="154">
                  <c:v>0.193</c:v>
                </c:pt>
                <c:pt idx="155">
                  <c:v>-0.059</c:v>
                </c:pt>
                <c:pt idx="156">
                  <c:v>0.327</c:v>
                </c:pt>
                <c:pt idx="157">
                  <c:v>0.008</c:v>
                </c:pt>
                <c:pt idx="158">
                  <c:v>0.047</c:v>
                </c:pt>
                <c:pt idx="159">
                  <c:v>0.169</c:v>
                </c:pt>
                <c:pt idx="160">
                  <c:v>0.027</c:v>
                </c:pt>
                <c:pt idx="161">
                  <c:v>0.208</c:v>
                </c:pt>
                <c:pt idx="162">
                  <c:v>0.162</c:v>
                </c:pt>
                <c:pt idx="163">
                  <c:v>0.120</c:v>
                </c:pt>
                <c:pt idx="164">
                  <c:v>-0.002</c:v>
                </c:pt>
                <c:pt idx="165">
                  <c:v>0.081</c:v>
                </c:pt>
                <c:pt idx="166">
                  <c:v>0.020</c:v>
                </c:pt>
                <c:pt idx="167">
                  <c:v>-0.061</c:v>
                </c:pt>
                <c:pt idx="168">
                  <c:v>0.245</c:v>
                </c:pt>
                <c:pt idx="169">
                  <c:v>0.014</c:v>
                </c:pt>
                <c:pt idx="170">
                  <c:v>0.124</c:v>
                </c:pt>
                <c:pt idx="171">
                  <c:v>0.093</c:v>
                </c:pt>
                <c:pt idx="172">
                  <c:v>-0.016</c:v>
                </c:pt>
                <c:pt idx="173">
                  <c:v>0.190</c:v>
                </c:pt>
                <c:pt idx="174">
                  <c:v>0.240</c:v>
                </c:pt>
                <c:pt idx="175">
                  <c:v>0.066</c:v>
                </c:pt>
                <c:pt idx="176">
                  <c:v>-0.071</c:v>
                </c:pt>
                <c:pt idx="177">
                  <c:v>-0.030</c:v>
                </c:pt>
                <c:pt idx="178">
                  <c:v>0.048</c:v>
                </c:pt>
                <c:pt idx="179">
                  <c:v>0.237</c:v>
                </c:pt>
                <c:pt idx="180">
                  <c:v>0.027</c:v>
                </c:pt>
                <c:pt idx="181">
                  <c:v>0.182</c:v>
                </c:pt>
                <c:pt idx="182">
                  <c:v>0.058</c:v>
                </c:pt>
                <c:pt idx="183">
                  <c:v>0.146</c:v>
                </c:pt>
                <c:pt idx="184">
                  <c:v>0.035</c:v>
                </c:pt>
                <c:pt idx="185">
                  <c:v>0.239</c:v>
                </c:pt>
                <c:pt idx="186">
                  <c:v>0.229</c:v>
                </c:pt>
                <c:pt idx="187">
                  <c:v>0.077</c:v>
                </c:pt>
                <c:pt idx="188">
                  <c:v>-0.035</c:v>
                </c:pt>
                <c:pt idx="189">
                  <c:v>-0.004</c:v>
                </c:pt>
                <c:pt idx="190">
                  <c:v>0.384</c:v>
                </c:pt>
                <c:pt idx="191">
                  <c:v>-0.024</c:v>
                </c:pt>
                <c:pt idx="192">
                  <c:v>0.035</c:v>
                </c:pt>
              </c:strCache>
            </c:strRef>
          </c:xVal>
          <c:yVal>
            <c:numRef>
              <c:f>Chart3!$C:$C</c:f>
              <c:numCache>
                <c:formatCode>0.000</c:formatCode>
                <c:ptCount val="1048576"/>
                <c:pt idx="0" formatCode="General">
                  <c:v>0</c:v>
                </c:pt>
                <c:pt idx="1">
                  <c:v>-2.7727272727272739E-2</c:v>
                </c:pt>
                <c:pt idx="2">
                  <c:v>3.2958904109589016E-2</c:v>
                </c:pt>
                <c:pt idx="3">
                  <c:v>-2.345637583892618E-2</c:v>
                </c:pt>
                <c:pt idx="4">
                  <c:v>4.8790281329923246E-2</c:v>
                </c:pt>
                <c:pt idx="5">
                  <c:v>-3.5114722753346095E-2</c:v>
                </c:pt>
                <c:pt idx="6">
                  <c:v>2.9697508896797176E-2</c:v>
                </c:pt>
                <c:pt idx="7">
                  <c:v>5.4199623352165771E-3</c:v>
                </c:pt>
                <c:pt idx="8">
                  <c:v>1.9363636363636361E-2</c:v>
                </c:pt>
                <c:pt idx="9">
                  <c:v>7.4356775300171707E-3</c:v>
                </c:pt>
                <c:pt idx="10">
                  <c:v>-6.1670235546040786E-4</c:v>
                </c:pt>
                <c:pt idx="11">
                  <c:v>-1.2861924686192461E-2</c:v>
                </c:pt>
                <c:pt idx="12">
                  <c:v>2.5793867120953995E-2</c:v>
                </c:pt>
                <c:pt idx="13">
                  <c:v>4.0258620689655189E-2</c:v>
                </c:pt>
                <c:pt idx="14">
                  <c:v>1.1167785234899308E-2</c:v>
                </c:pt>
                <c:pt idx="15">
                  <c:v>6.8920265780730905E-2</c:v>
                </c:pt>
                <c:pt idx="16">
                  <c:v>2.6154121863799284E-2</c:v>
                </c:pt>
                <c:pt idx="17">
                  <c:v>1.6964912280701738E-2</c:v>
                </c:pt>
                <c:pt idx="18">
                  <c:v>4.4542056074766356E-2</c:v>
                </c:pt>
                <c:pt idx="19">
                  <c:v>5.7256038647342966E-2</c:v>
                </c:pt>
                <c:pt idx="20">
                  <c:v>7.6615146831530145E-3</c:v>
                </c:pt>
                <c:pt idx="21">
                  <c:v>1.6851063829787238E-2</c:v>
                </c:pt>
                <c:pt idx="22">
                  <c:v>5.8571428571428386E-3</c:v>
                </c:pt>
                <c:pt idx="23">
                  <c:v>2.142510121457486E-2</c:v>
                </c:pt>
                <c:pt idx="24">
                  <c:v>1.0000000000000009E-2</c:v>
                </c:pt>
                <c:pt idx="25">
                  <c:v>1.4315673289183206E-2</c:v>
                </c:pt>
                <c:pt idx="26">
                  <c:v>2.1209790209790191E-2</c:v>
                </c:pt>
                <c:pt idx="27">
                  <c:v>3.4630136986301352E-2</c:v>
                </c:pt>
                <c:pt idx="28">
                  <c:v>3.796078431372546E-2</c:v>
                </c:pt>
                <c:pt idx="29">
                  <c:v>1.3738574040219387E-2</c:v>
                </c:pt>
                <c:pt idx="30">
                  <c:v>3.7754385964912263E-2</c:v>
                </c:pt>
                <c:pt idx="31">
                  <c:v>3.1839203675344541E-2</c:v>
                </c:pt>
                <c:pt idx="32">
                  <c:v>4.8088803088803089E-2</c:v>
                </c:pt>
                <c:pt idx="33">
                  <c:v>-1.635109717868341E-2</c:v>
                </c:pt>
                <c:pt idx="34">
                  <c:v>5.6661157024793352E-2</c:v>
                </c:pt>
                <c:pt idx="35">
                  <c:v>-5.7666666666666672E-2</c:v>
                </c:pt>
                <c:pt idx="36">
                  <c:v>2.0779050736497551E-2</c:v>
                </c:pt>
                <c:pt idx="37">
                  <c:v>6.9580645161290311E-2</c:v>
                </c:pt>
                <c:pt idx="38">
                  <c:v>2.0584905660377351E-2</c:v>
                </c:pt>
                <c:pt idx="39">
                  <c:v>6.4397993311036794E-2</c:v>
                </c:pt>
                <c:pt idx="40">
                  <c:v>5.1647160068846787E-2</c:v>
                </c:pt>
                <c:pt idx="41">
                  <c:v>2.0189683860232954E-2</c:v>
                </c:pt>
                <c:pt idx="42">
                  <c:v>3.7425087108013955E-2</c:v>
                </c:pt>
                <c:pt idx="43">
                  <c:v>1.6665280665280668E-2</c:v>
                </c:pt>
                <c:pt idx="44">
                  <c:v>4.2098591549295739E-2</c:v>
                </c:pt>
                <c:pt idx="45">
                  <c:v>2.1714285714285686E-2</c:v>
                </c:pt>
                <c:pt idx="46">
                  <c:v>1.3605263157894731E-2</c:v>
                </c:pt>
                <c:pt idx="47">
                  <c:v>1.2876494023904339E-2</c:v>
                </c:pt>
                <c:pt idx="48">
                  <c:v>2.8418772563176875E-2</c:v>
                </c:pt>
                <c:pt idx="49">
                  <c:v>7.8288343558282181E-2</c:v>
                </c:pt>
                <c:pt idx="50">
                  <c:v>4.0964125560538134E-2</c:v>
                </c:pt>
                <c:pt idx="51">
                  <c:v>6.4227571115973714E-2</c:v>
                </c:pt>
                <c:pt idx="52">
                  <c:v>1.817880794701987E-2</c:v>
                </c:pt>
                <c:pt idx="53">
                  <c:v>4.0487179487179448E-2</c:v>
                </c:pt>
                <c:pt idx="54">
                  <c:v>3.9510638297872325E-2</c:v>
                </c:pt>
                <c:pt idx="55">
                  <c:v>1.9958115183246083E-2</c:v>
                </c:pt>
                <c:pt idx="56">
                  <c:v>8.1898395721925143E-2</c:v>
                </c:pt>
                <c:pt idx="57">
                  <c:v>3.4187808896210869E-2</c:v>
                </c:pt>
                <c:pt idx="58">
                  <c:v>2.6322580645161298E-2</c:v>
                </c:pt>
                <c:pt idx="59">
                  <c:v>4.826765799256505E-2</c:v>
                </c:pt>
                <c:pt idx="60">
                  <c:v>3.6509337860780977E-2</c:v>
                </c:pt>
                <c:pt idx="61">
                  <c:v>-6.5149700598802762E-3</c:v>
                </c:pt>
                <c:pt idx="62">
                  <c:v>8.1732851985559241E-3</c:v>
                </c:pt>
                <c:pt idx="63">
                  <c:v>3.5069632495164427E-2</c:v>
                </c:pt>
                <c:pt idx="64">
                  <c:v>4.5893653516294985E-2</c:v>
                </c:pt>
                <c:pt idx="65">
                  <c:v>4.274127310061604E-2</c:v>
                </c:pt>
                <c:pt idx="66">
                  <c:v>3.5500831946755407E-2</c:v>
                </c:pt>
                <c:pt idx="67">
                  <c:v>7.0595505617977505E-2</c:v>
                </c:pt>
                <c:pt idx="68">
                  <c:v>5.7685039370078739E-2</c:v>
                </c:pt>
                <c:pt idx="69">
                  <c:v>4.199656357388315E-2</c:v>
                </c:pt>
                <c:pt idx="70">
                  <c:v>3.7242236024844722E-2</c:v>
                </c:pt>
                <c:pt idx="71">
                  <c:v>1.7738351254480256E-2</c:v>
                </c:pt>
                <c:pt idx="72">
                  <c:v>4.7144249512670544E-2</c:v>
                </c:pt>
                <c:pt idx="73">
                  <c:v>0.13172192513368985</c:v>
                </c:pt>
                <c:pt idx="74">
                  <c:v>1.538626609442062E-2</c:v>
                </c:pt>
                <c:pt idx="75">
                  <c:v>5.6964749536178083E-2</c:v>
                </c:pt>
                <c:pt idx="76">
                  <c:v>0.10207335907335907</c:v>
                </c:pt>
                <c:pt idx="77">
                  <c:v>8.3095238095238111E-2</c:v>
                </c:pt>
                <c:pt idx="78">
                  <c:v>5.8659192825112116E-2</c:v>
                </c:pt>
                <c:pt idx="79">
                  <c:v>1.9961471103327466E-2</c:v>
                </c:pt>
                <c:pt idx="80">
                  <c:v>4.8274368231046916E-2</c:v>
                </c:pt>
                <c:pt idx="81">
                  <c:v>3.0282430213464662E-2</c:v>
                </c:pt>
                <c:pt idx="82">
                  <c:v>5.6503311258278122E-2</c:v>
                </c:pt>
                <c:pt idx="83">
                  <c:v>5.5098039215686345E-3</c:v>
                </c:pt>
                <c:pt idx="84">
                  <c:v>2.2888888888888848E-2</c:v>
                </c:pt>
                <c:pt idx="85">
                  <c:v>5.3976744186046532E-2</c:v>
                </c:pt>
                <c:pt idx="86">
                  <c:v>2.2225402504472247E-2</c:v>
                </c:pt>
                <c:pt idx="87">
                  <c:v>8.5151515151514756E-3</c:v>
                </c:pt>
                <c:pt idx="88">
                  <c:v>2.9762575452716267E-2</c:v>
                </c:pt>
                <c:pt idx="89">
                  <c:v>5.8495575221239049E-3</c:v>
                </c:pt>
                <c:pt idx="90">
                  <c:v>-1.4036144578313259E-2</c:v>
                </c:pt>
                <c:pt idx="91">
                  <c:v>4.9666666666666637E-2</c:v>
                </c:pt>
                <c:pt idx="92">
                  <c:v>4.7999999999999987E-2</c:v>
                </c:pt>
                <c:pt idx="93">
                  <c:v>7.1016835016834978E-2</c:v>
                </c:pt>
                <c:pt idx="94">
                  <c:v>4.6229508196721281E-2</c:v>
                </c:pt>
                <c:pt idx="95">
                  <c:v>8.0849056603773561E-2</c:v>
                </c:pt>
                <c:pt idx="96">
                  <c:v>6.7965844402277042E-2</c:v>
                </c:pt>
                <c:pt idx="97">
                  <c:v>8.0013888888888884E-2</c:v>
                </c:pt>
                <c:pt idx="98">
                  <c:v>4.3769771528998247E-2</c:v>
                </c:pt>
                <c:pt idx="99">
                  <c:v>6.3511839708561002E-2</c:v>
                </c:pt>
                <c:pt idx="100">
                  <c:v>4.6715670436187406E-2</c:v>
                </c:pt>
                <c:pt idx="101">
                  <c:v>2.759802306425041E-2</c:v>
                </c:pt>
                <c:pt idx="102">
                  <c:v>6.4075471698113173E-2</c:v>
                </c:pt>
                <c:pt idx="103">
                  <c:v>4.3184162062615106E-2</c:v>
                </c:pt>
                <c:pt idx="104">
                  <c:v>5.9626617375231061E-2</c:v>
                </c:pt>
                <c:pt idx="105">
                  <c:v>-1.2743718592964859E-2</c:v>
                </c:pt>
                <c:pt idx="106">
                  <c:v>4.3028880866425978E-2</c:v>
                </c:pt>
                <c:pt idx="107">
                  <c:v>7.7260726072607144E-3</c:v>
                </c:pt>
                <c:pt idx="108">
                  <c:v>6.8353293413173644E-2</c:v>
                </c:pt>
                <c:pt idx="109">
                  <c:v>5.0176470588235267E-2</c:v>
                </c:pt>
                <c:pt idx="110">
                  <c:v>2.323024054982803E-3</c:v>
                </c:pt>
                <c:pt idx="111">
                  <c:v>3.0817184643510021E-2</c:v>
                </c:pt>
                <c:pt idx="112">
                  <c:v>-6.5934065934081243E-5</c:v>
                </c:pt>
                <c:pt idx="113">
                  <c:v>7.1467153284671514E-2</c:v>
                </c:pt>
                <c:pt idx="114">
                  <c:v>5.5880308880308871E-2</c:v>
                </c:pt>
                <c:pt idx="115">
                  <c:v>3.395184135977336E-2</c:v>
                </c:pt>
                <c:pt idx="116">
                  <c:v>7.4499197431781683E-2</c:v>
                </c:pt>
                <c:pt idx="117">
                  <c:v>2.4592592592592555E-2</c:v>
                </c:pt>
                <c:pt idx="118">
                  <c:v>1.2984917043740551E-2</c:v>
                </c:pt>
                <c:pt idx="119">
                  <c:v>9.4747747747747746E-2</c:v>
                </c:pt>
                <c:pt idx="120">
                  <c:v>4.6765650080256793E-2</c:v>
                </c:pt>
                <c:pt idx="121">
                  <c:v>5.4378716744913902E-2</c:v>
                </c:pt>
                <c:pt idx="122">
                  <c:v>2.6379471228615836E-2</c:v>
                </c:pt>
                <c:pt idx="123">
                  <c:v>5.7599681020733651E-2</c:v>
                </c:pt>
                <c:pt idx="124">
                  <c:v>5.3571428571428548E-2</c:v>
                </c:pt>
                <c:pt idx="125">
                  <c:v>-1.2936507936507941E-2</c:v>
                </c:pt>
                <c:pt idx="126">
                  <c:v>2.5330922242314646E-2</c:v>
                </c:pt>
                <c:pt idx="127">
                  <c:v>2.7828282828282813E-2</c:v>
                </c:pt>
                <c:pt idx="128">
                  <c:v>2.3923753665689163E-2</c:v>
                </c:pt>
                <c:pt idx="129">
                  <c:v>3.3782324058919788E-2</c:v>
                </c:pt>
                <c:pt idx="130">
                  <c:v>2.3642140468227435E-2</c:v>
                </c:pt>
                <c:pt idx="131">
                  <c:v>5.0178631051752909E-2</c:v>
                </c:pt>
                <c:pt idx="132">
                  <c:v>6.2901234567901254E-2</c:v>
                </c:pt>
                <c:pt idx="133">
                  <c:v>4.6675977653631295E-2</c:v>
                </c:pt>
                <c:pt idx="134">
                  <c:v>4.9725490196078415E-2</c:v>
                </c:pt>
                <c:pt idx="135">
                  <c:v>3.6335570469798628E-2</c:v>
                </c:pt>
                <c:pt idx="136">
                  <c:v>6.6192052980132421E-2</c:v>
                </c:pt>
                <c:pt idx="137">
                  <c:v>7.2384858044164002E-2</c:v>
                </c:pt>
                <c:pt idx="138">
                  <c:v>9.1405228758169921E-2</c:v>
                </c:pt>
                <c:pt idx="139">
                  <c:v>6.104958677685951E-2</c:v>
                </c:pt>
                <c:pt idx="140">
                  <c:v>5.8253012048192776E-2</c:v>
                </c:pt>
                <c:pt idx="141">
                  <c:v>2.331942215088284E-2</c:v>
                </c:pt>
                <c:pt idx="142">
                  <c:v>2.068941979522182E-2</c:v>
                </c:pt>
                <c:pt idx="143">
                  <c:v>5.1047021943573634E-2</c:v>
                </c:pt>
                <c:pt idx="144">
                  <c:v>6.1251830161054177E-2</c:v>
                </c:pt>
                <c:pt idx="145">
                  <c:v>3.8375809935205174E-2</c:v>
                </c:pt>
                <c:pt idx="146">
                  <c:v>4.0281345565749249E-2</c:v>
                </c:pt>
                <c:pt idx="147">
                  <c:v>5.7705882352941162E-2</c:v>
                </c:pt>
                <c:pt idx="148">
                  <c:v>9.5025210084033584E-2</c:v>
                </c:pt>
                <c:pt idx="149">
                  <c:v>0.10046469248291573</c:v>
                </c:pt>
                <c:pt idx="150">
                  <c:v>8.4705882352941186E-3</c:v>
                </c:pt>
                <c:pt idx="151">
                  <c:v>9.8951747088186215E-3</c:v>
                </c:pt>
                <c:pt idx="152">
                  <c:v>6.2488817891373782E-2</c:v>
                </c:pt>
                <c:pt idx="153">
                  <c:v>7.0601307189542495E-2</c:v>
                </c:pt>
                <c:pt idx="154">
                  <c:v>5.475468483816015E-2</c:v>
                </c:pt>
                <c:pt idx="155">
                  <c:v>9.1509433962264075E-3</c:v>
                </c:pt>
                <c:pt idx="156">
                  <c:v>7.7025641025641023E-2</c:v>
                </c:pt>
                <c:pt idx="157">
                  <c:v>8.3032448377581114E-2</c:v>
                </c:pt>
                <c:pt idx="158">
                  <c:v>9.0112676056337992E-2</c:v>
                </c:pt>
                <c:pt idx="159">
                  <c:v>0.10320076481835561</c:v>
                </c:pt>
                <c:pt idx="160">
                  <c:v>2.9935483870967727E-2</c:v>
                </c:pt>
                <c:pt idx="161">
                  <c:v>9.4490566037735813E-2</c:v>
                </c:pt>
                <c:pt idx="162">
                  <c:v>4.0687885010266933E-2</c:v>
                </c:pt>
                <c:pt idx="163">
                  <c:v>6.0489291598023021E-2</c:v>
                </c:pt>
                <c:pt idx="164">
                  <c:v>1.2469897209985314E-2</c:v>
                </c:pt>
                <c:pt idx="165">
                  <c:v>6.5811881188118815E-2</c:v>
                </c:pt>
                <c:pt idx="166">
                  <c:v>5.1705128205128181E-2</c:v>
                </c:pt>
                <c:pt idx="167">
                  <c:v>5.3655913978494785E-3</c:v>
                </c:pt>
                <c:pt idx="168">
                  <c:v>9.47140439932318E-2</c:v>
                </c:pt>
                <c:pt idx="169">
                  <c:v>4.8223858615611181E-2</c:v>
                </c:pt>
                <c:pt idx="170">
                  <c:v>5.6041811846689882E-2</c:v>
                </c:pt>
                <c:pt idx="171">
                  <c:v>4.3168634064080946E-2</c:v>
                </c:pt>
                <c:pt idx="172">
                  <c:v>5.330215827338125E-2</c:v>
                </c:pt>
                <c:pt idx="173">
                  <c:v>6.594923857868018E-2</c:v>
                </c:pt>
                <c:pt idx="174">
                  <c:v>6.5464788732394363E-2</c:v>
                </c:pt>
                <c:pt idx="175">
                  <c:v>7.0450980392156859E-2</c:v>
                </c:pt>
                <c:pt idx="176">
                  <c:v>1.6039370078740123E-2</c:v>
                </c:pt>
                <c:pt idx="177">
                  <c:v>4.649562682215741E-2</c:v>
                </c:pt>
                <c:pt idx="178">
                  <c:v>4.6412573673870305E-2</c:v>
                </c:pt>
                <c:pt idx="179">
                  <c:v>9.2870229007633587E-2</c:v>
                </c:pt>
                <c:pt idx="180">
                  <c:v>0.10615909090909087</c:v>
                </c:pt>
                <c:pt idx="181">
                  <c:v>6.5861111111111093E-2</c:v>
                </c:pt>
                <c:pt idx="182">
                  <c:v>6.6494037478705248E-2</c:v>
                </c:pt>
                <c:pt idx="183">
                  <c:v>5.3307692307692278E-2</c:v>
                </c:pt>
                <c:pt idx="184">
                  <c:v>6.4358208955223872E-2</c:v>
                </c:pt>
                <c:pt idx="185">
                  <c:v>6.1841121495327112E-2</c:v>
                </c:pt>
                <c:pt idx="186">
                  <c:v>6.5081081081081071E-2</c:v>
                </c:pt>
                <c:pt idx="187">
                  <c:v>6.2186830015313943E-2</c:v>
                </c:pt>
                <c:pt idx="188">
                  <c:v>3.1139293139293145E-2</c:v>
                </c:pt>
                <c:pt idx="189">
                  <c:v>4.9359374999999983E-2</c:v>
                </c:pt>
                <c:pt idx="190">
                  <c:v>9.5930294906166225E-2</c:v>
                </c:pt>
                <c:pt idx="191">
                  <c:v>2.965079365079365E-2</c:v>
                </c:pt>
                <c:pt idx="192">
                  <c:v>7.271550255536624E-2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9E-2A4A-8E69-F654A4446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475951"/>
        <c:axId val="1290477663"/>
      </c:scatterChart>
      <c:valAx>
        <c:axId val="129047595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OBP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290477663"/>
        <c:crosses val="autoZero"/>
        <c:crossBetween val="midCat"/>
      </c:valAx>
      <c:valAx>
        <c:axId val="12904776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BA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90475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[mlb_allstar_metrics_summary.xlsx]Chart1!PivotTable2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Advanced Statistics Over</a:t>
            </a:r>
            <a:r>
              <a:rPr lang="en-US" baseline="0"/>
              <a:t>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OPS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SLG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ISO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OBP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ISO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OPS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SLG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OBP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>
                <a:shade val="53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ISO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>
                <a:shade val="76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OPS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SLG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1">
                <a:tint val="77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OBP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1">
                <a:tint val="54000"/>
              </a:schemeClr>
            </a:solidFill>
            <a:round/>
          </a:ln>
          <a:effectLst/>
        </c:spPr>
        <c:marker>
          <c:symbol val="none"/>
        </c:marke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0"/>
          <c:showCatName val="0"/>
          <c:showSerName val="1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Chart1!$B$3</c:f>
              <c:strCache>
                <c:ptCount val="1"/>
                <c:pt idx="0">
                  <c:v>Average of EA ISO</c:v>
                </c:pt>
              </c:strCache>
            </c:strRef>
          </c:tx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shade val="53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C2-4643-AF84-8D7576A8A9AF}"/>
              </c:ext>
            </c:extLst>
          </c:dPt>
          <c:dLbls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ISO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9C2-4643-AF84-8D7576A8A9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Chart1!$A$4:$A$27</c:f>
              <c:multiLvlStrCache>
                <c:ptCount val="21"/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  <c:pt idx="13">
                    <c:v>2006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2009</c:v>
                  </c:pt>
                  <c:pt idx="17">
                    <c:v>2010</c:v>
                  </c:pt>
                  <c:pt idx="18">
                    <c:v>2011</c:v>
                  </c:pt>
                  <c:pt idx="19">
                    <c:v>2012</c:v>
                  </c:pt>
                  <c:pt idx="20">
                    <c:v>2013</c:v>
                  </c:pt>
                </c:lvl>
                <c:lvl>
                  <c:pt idx="0">
                    <c:v>Pre-Moneyball</c:v>
                  </c:pt>
                  <c:pt idx="10">
                    <c:v>Moneyball Era</c:v>
                  </c:pt>
                </c:lvl>
              </c:multiLvlStrCache>
            </c:multiLvlStrRef>
          </c:cat>
          <c:val>
            <c:numRef>
              <c:f>Chart1!$B$4:$B$27</c:f>
              <c:numCache>
                <c:formatCode>0.000</c:formatCode>
                <c:ptCount val="21"/>
                <c:pt idx="0">
                  <c:v>4.7352996750451813E-2</c:v>
                </c:pt>
                <c:pt idx="1">
                  <c:v>6.5280916784586931E-2</c:v>
                </c:pt>
                <c:pt idx="2">
                  <c:v>5.4150339537508987E-2</c:v>
                </c:pt>
                <c:pt idx="3">
                  <c:v>5.4824022556288765E-2</c:v>
                </c:pt>
                <c:pt idx="4">
                  <c:v>7.9287501171773134E-2</c:v>
                </c:pt>
                <c:pt idx="5">
                  <c:v>6.9554681853812181E-2</c:v>
                </c:pt>
                <c:pt idx="6">
                  <c:v>0.10482700748758715</c:v>
                </c:pt>
                <c:pt idx="7">
                  <c:v>7.7278689337243023E-2</c:v>
                </c:pt>
                <c:pt idx="8">
                  <c:v>0.11250062643869604</c:v>
                </c:pt>
                <c:pt idx="9">
                  <c:v>8.9145779143421325E-2</c:v>
                </c:pt>
                <c:pt idx="10">
                  <c:v>9.1196771305238858E-2</c:v>
                </c:pt>
                <c:pt idx="11">
                  <c:v>7.008599546174521E-2</c:v>
                </c:pt>
                <c:pt idx="12">
                  <c:v>7.6317519680012907E-2</c:v>
                </c:pt>
                <c:pt idx="13">
                  <c:v>4.758927684210025E-2</c:v>
                </c:pt>
                <c:pt idx="14">
                  <c:v>5.7606435292537748E-2</c:v>
                </c:pt>
                <c:pt idx="15">
                  <c:v>6.4553980182218473E-2</c:v>
                </c:pt>
                <c:pt idx="16">
                  <c:v>4.5634440334964992E-2</c:v>
                </c:pt>
                <c:pt idx="17">
                  <c:v>4.7255235087493096E-2</c:v>
                </c:pt>
                <c:pt idx="18">
                  <c:v>8.9158504966227986E-2</c:v>
                </c:pt>
                <c:pt idx="19">
                  <c:v>6.7272519278622225E-2</c:v>
                </c:pt>
                <c:pt idx="20">
                  <c:v>7.4014885171368658E-2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C2-4643-AF84-8D7576A8A9AF}"/>
            </c:ext>
          </c:extLst>
        </c:ser>
        <c:ser>
          <c:idx val="1"/>
          <c:order val="1"/>
          <c:tx>
            <c:strRef>
              <c:f>Chart1!$C$3</c:f>
              <c:strCache>
                <c:ptCount val="1"/>
                <c:pt idx="0">
                  <c:v>Average of EA On Base + Slugging</c:v>
                </c:pt>
              </c:strCache>
            </c:strRef>
          </c:tx>
          <c:spPr>
            <a:ln w="28575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shade val="76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29C2-4643-AF84-8D7576A8A9AF}"/>
              </c:ext>
            </c:extLst>
          </c:dPt>
          <c:dLbls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OPS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9C2-4643-AF84-8D7576A8A9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Chart1!$A$4:$A$27</c:f>
              <c:multiLvlStrCache>
                <c:ptCount val="21"/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  <c:pt idx="13">
                    <c:v>2006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2009</c:v>
                  </c:pt>
                  <c:pt idx="17">
                    <c:v>2010</c:v>
                  </c:pt>
                  <c:pt idx="18">
                    <c:v>2011</c:v>
                  </c:pt>
                  <c:pt idx="19">
                    <c:v>2012</c:v>
                  </c:pt>
                  <c:pt idx="20">
                    <c:v>2013</c:v>
                  </c:pt>
                </c:lvl>
                <c:lvl>
                  <c:pt idx="0">
                    <c:v>Pre-Moneyball</c:v>
                  </c:pt>
                  <c:pt idx="10">
                    <c:v>Moneyball Era</c:v>
                  </c:pt>
                </c:lvl>
              </c:multiLvlStrCache>
            </c:multiLvlStrRef>
          </c:cat>
          <c:val>
            <c:numRef>
              <c:f>Chart1!$C$4:$C$27</c:f>
              <c:numCache>
                <c:formatCode>0.000</c:formatCode>
                <c:ptCount val="21"/>
                <c:pt idx="0">
                  <c:v>0.13122766302884981</c:v>
                </c:pt>
                <c:pt idx="1">
                  <c:v>0.15095367962608905</c:v>
                </c:pt>
                <c:pt idx="2">
                  <c:v>0.14584805508069965</c:v>
                </c:pt>
                <c:pt idx="3">
                  <c:v>0.1439553232561458</c:v>
                </c:pt>
                <c:pt idx="4">
                  <c:v>0.18926894247494117</c:v>
                </c:pt>
                <c:pt idx="5">
                  <c:v>0.15216306875081587</c:v>
                </c:pt>
                <c:pt idx="6">
                  <c:v>0.20068186285235601</c:v>
                </c:pt>
                <c:pt idx="7">
                  <c:v>0.18308868287455748</c:v>
                </c:pt>
                <c:pt idx="8">
                  <c:v>0.23260589347178096</c:v>
                </c:pt>
                <c:pt idx="9">
                  <c:v>0.18808577132374668</c:v>
                </c:pt>
                <c:pt idx="10">
                  <c:v>0.19913502427445945</c:v>
                </c:pt>
                <c:pt idx="11">
                  <c:v>0.1606071958439369</c:v>
                </c:pt>
                <c:pt idx="12">
                  <c:v>0.160216659955108</c:v>
                </c:pt>
                <c:pt idx="13">
                  <c:v>0.12430984040892251</c:v>
                </c:pt>
                <c:pt idx="14">
                  <c:v>0.16082850735369375</c:v>
                </c:pt>
                <c:pt idx="15">
                  <c:v>0.18121745773356823</c:v>
                </c:pt>
                <c:pt idx="16">
                  <c:v>0.14071740812410594</c:v>
                </c:pt>
                <c:pt idx="17">
                  <c:v>0.13612635198336406</c:v>
                </c:pt>
                <c:pt idx="18">
                  <c:v>0.18067590851142643</c:v>
                </c:pt>
                <c:pt idx="19">
                  <c:v>0.156588484356322</c:v>
                </c:pt>
                <c:pt idx="20">
                  <c:v>0.17907784572561014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C2-4643-AF84-8D7576A8A9AF}"/>
            </c:ext>
          </c:extLst>
        </c:ser>
        <c:ser>
          <c:idx val="2"/>
          <c:order val="2"/>
          <c:tx>
            <c:strRef>
              <c:f>Chart1!$D$3</c:f>
              <c:strCache>
                <c:ptCount val="1"/>
                <c:pt idx="0">
                  <c:v>Average of EA Slugging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C2-4643-AF84-8D7576A8A9AF}"/>
              </c:ext>
            </c:extLst>
          </c:dPt>
          <c:dLbls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SLG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9C2-4643-AF84-8D7576A8A9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Chart1!$A$4:$A$27</c:f>
              <c:multiLvlStrCache>
                <c:ptCount val="21"/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  <c:pt idx="13">
                    <c:v>2006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2009</c:v>
                  </c:pt>
                  <c:pt idx="17">
                    <c:v>2010</c:v>
                  </c:pt>
                  <c:pt idx="18">
                    <c:v>2011</c:v>
                  </c:pt>
                  <c:pt idx="19">
                    <c:v>2012</c:v>
                  </c:pt>
                  <c:pt idx="20">
                    <c:v>2013</c:v>
                  </c:pt>
                </c:lvl>
                <c:lvl>
                  <c:pt idx="0">
                    <c:v>Pre-Moneyball</c:v>
                  </c:pt>
                  <c:pt idx="10">
                    <c:v>Moneyball Era</c:v>
                  </c:pt>
                </c:lvl>
              </c:multiLvlStrCache>
            </c:multiLvlStrRef>
          </c:cat>
          <c:val>
            <c:numRef>
              <c:f>Chart1!$D$4:$D$27</c:f>
              <c:numCache>
                <c:formatCode>0.000</c:formatCode>
                <c:ptCount val="21"/>
                <c:pt idx="0">
                  <c:v>8.3652965879885965E-2</c:v>
                </c:pt>
                <c:pt idx="1">
                  <c:v>0.10682815731966715</c:v>
                </c:pt>
                <c:pt idx="2">
                  <c:v>9.6363050525742164E-2</c:v>
                </c:pt>
                <c:pt idx="3">
                  <c:v>9.4104234616973204E-2</c:v>
                </c:pt>
                <c:pt idx="4">
                  <c:v>0.12543513759618424</c:v>
                </c:pt>
                <c:pt idx="5">
                  <c:v>0.10763226837289409</c:v>
                </c:pt>
                <c:pt idx="6">
                  <c:v>0.14389748104595715</c:v>
                </c:pt>
                <c:pt idx="7">
                  <c:v>0.12711734504581326</c:v>
                </c:pt>
                <c:pt idx="8">
                  <c:v>0.16539903089241623</c:v>
                </c:pt>
                <c:pt idx="9">
                  <c:v>0.13010111464099611</c:v>
                </c:pt>
                <c:pt idx="10">
                  <c:v>0.13528291404586704</c:v>
                </c:pt>
                <c:pt idx="11">
                  <c:v>0.10628417559535458</c:v>
                </c:pt>
                <c:pt idx="12">
                  <c:v>0.11024497556382834</c:v>
                </c:pt>
                <c:pt idx="13">
                  <c:v>8.2237010421435275E-2</c:v>
                </c:pt>
                <c:pt idx="14">
                  <c:v>0.1004960659018229</c:v>
                </c:pt>
                <c:pt idx="15">
                  <c:v>0.11497874549260254</c:v>
                </c:pt>
                <c:pt idx="16">
                  <c:v>9.1231329494047442E-2</c:v>
                </c:pt>
                <c:pt idx="17">
                  <c:v>9.2478095948999917E-2</c:v>
                </c:pt>
                <c:pt idx="18">
                  <c:v>0.12839582314927173</c:v>
                </c:pt>
                <c:pt idx="19">
                  <c:v>0.10354574603003276</c:v>
                </c:pt>
                <c:pt idx="20">
                  <c:v>0.12184322386528275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C2-4643-AF84-8D7576A8A9AF}"/>
            </c:ext>
          </c:extLst>
        </c:ser>
        <c:ser>
          <c:idx val="3"/>
          <c:order val="3"/>
          <c:tx>
            <c:strRef>
              <c:f>Chart1!$E$3</c:f>
              <c:strCache>
                <c:ptCount val="1"/>
                <c:pt idx="0">
                  <c:v>Average of EA On Base %</c:v>
                </c:pt>
              </c:strCache>
            </c:strRef>
          </c:tx>
          <c:spPr>
            <a:ln w="28575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29C2-4643-AF84-8D7576A8A9AF}"/>
              </c:ext>
            </c:extLst>
          </c:dPt>
          <c:dLbls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OBP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9C2-4643-AF84-8D7576A8A9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Chart1!$A$4:$A$27</c:f>
              <c:multiLvlStrCache>
                <c:ptCount val="21"/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  <c:pt idx="13">
                    <c:v>2006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2009</c:v>
                  </c:pt>
                  <c:pt idx="17">
                    <c:v>2010</c:v>
                  </c:pt>
                  <c:pt idx="18">
                    <c:v>2011</c:v>
                  </c:pt>
                  <c:pt idx="19">
                    <c:v>2012</c:v>
                  </c:pt>
                  <c:pt idx="20">
                    <c:v>2013</c:v>
                  </c:pt>
                </c:lvl>
                <c:lvl>
                  <c:pt idx="0">
                    <c:v>Pre-Moneyball</c:v>
                  </c:pt>
                  <c:pt idx="10">
                    <c:v>Moneyball Era</c:v>
                  </c:pt>
                </c:lvl>
              </c:multiLvlStrCache>
            </c:multiLvlStrRef>
          </c:cat>
          <c:val>
            <c:numRef>
              <c:f>Chart1!$E$4:$E$27</c:f>
              <c:numCache>
                <c:formatCode>0.000</c:formatCode>
                <c:ptCount val="21"/>
                <c:pt idx="0">
                  <c:v>4.8574697148963814E-2</c:v>
                </c:pt>
                <c:pt idx="1">
                  <c:v>4.4125522306421909E-2</c:v>
                </c:pt>
                <c:pt idx="2">
                  <c:v>4.9485004554957433E-2</c:v>
                </c:pt>
                <c:pt idx="3">
                  <c:v>4.9851088639172592E-2</c:v>
                </c:pt>
                <c:pt idx="4">
                  <c:v>6.3833804878756936E-2</c:v>
                </c:pt>
                <c:pt idx="5">
                  <c:v>4.4530800377921752E-2</c:v>
                </c:pt>
                <c:pt idx="6">
                  <c:v>5.5784381806398921E-2</c:v>
                </c:pt>
                <c:pt idx="7">
                  <c:v>5.597133782874425E-2</c:v>
                </c:pt>
                <c:pt idx="8">
                  <c:v>6.7206862579364743E-2</c:v>
                </c:pt>
                <c:pt idx="9">
                  <c:v>5.7984656682750567E-2</c:v>
                </c:pt>
                <c:pt idx="10">
                  <c:v>6.3852110228592454E-2</c:v>
                </c:pt>
                <c:pt idx="11">
                  <c:v>5.4323020248582272E-2</c:v>
                </c:pt>
                <c:pt idx="12">
                  <c:v>4.9971684391279657E-2</c:v>
                </c:pt>
                <c:pt idx="13">
                  <c:v>4.2072829987487223E-2</c:v>
                </c:pt>
                <c:pt idx="14">
                  <c:v>5.9332441451870888E-2</c:v>
                </c:pt>
                <c:pt idx="15">
                  <c:v>6.6238712240965725E-2</c:v>
                </c:pt>
                <c:pt idx="16">
                  <c:v>4.9486078630058494E-2</c:v>
                </c:pt>
                <c:pt idx="17">
                  <c:v>4.3648256034364036E-2</c:v>
                </c:pt>
                <c:pt idx="18">
                  <c:v>5.228008536215463E-2</c:v>
                </c:pt>
                <c:pt idx="19">
                  <c:v>5.3042738326289224E-2</c:v>
                </c:pt>
                <c:pt idx="20">
                  <c:v>5.7234621860327399E-2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9C2-4643-AF84-8D7576A8A9AF}"/>
            </c:ext>
          </c:extLst>
        </c:ser>
        <c:ser>
          <c:idx val="4"/>
          <c:order val="4"/>
          <c:tx>
            <c:strRef>
              <c:f>Chart1!$F$3</c:f>
              <c:strCache>
                <c:ptCount val="1"/>
                <c:pt idx="0">
                  <c:v>Average of EA Batting Avg.</c:v>
                </c:pt>
              </c:strCache>
            </c:strRef>
          </c:tx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0"/>
            <c:marker>
              <c:symbol val="none"/>
            </c:marker>
            <c:bubble3D val="0"/>
            <c:spPr>
              <a:ln w="28575" cap="rnd">
                <a:solidFill>
                  <a:schemeClr val="accent1">
                    <a:tint val="54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C2-4643-AF84-8D7576A8A9AF}"/>
              </c:ext>
            </c:extLst>
          </c:dPt>
          <c:dLbls>
            <c:dLbl>
              <c:idx val="20"/>
              <c:tx>
                <c:rich>
                  <a:bodyPr/>
                  <a:lstStyle/>
                  <a:p>
                    <a:r>
                      <a:rPr lang="en-US"/>
                      <a:t>BA</a:t>
                    </a:r>
                  </a:p>
                </c:rich>
              </c:tx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9C2-4643-AF84-8D7576A8A9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Chart1!$A$4:$A$27</c:f>
              <c:multiLvlStrCache>
                <c:ptCount val="21"/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3">
                    <c:v>1996</c:v>
                  </c:pt>
                  <c:pt idx="4">
                    <c:v>1997</c:v>
                  </c:pt>
                  <c:pt idx="5">
                    <c:v>1998</c:v>
                  </c:pt>
                  <c:pt idx="6">
                    <c:v>1999</c:v>
                  </c:pt>
                  <c:pt idx="7">
                    <c:v>2000</c:v>
                  </c:pt>
                  <c:pt idx="8">
                    <c:v>2001</c:v>
                  </c:pt>
                  <c:pt idx="9">
                    <c:v>2002</c:v>
                  </c:pt>
                  <c:pt idx="10">
                    <c:v>2003</c:v>
                  </c:pt>
                  <c:pt idx="11">
                    <c:v>2004</c:v>
                  </c:pt>
                  <c:pt idx="12">
                    <c:v>2005</c:v>
                  </c:pt>
                  <c:pt idx="13">
                    <c:v>2006</c:v>
                  </c:pt>
                  <c:pt idx="14">
                    <c:v>2007</c:v>
                  </c:pt>
                  <c:pt idx="15">
                    <c:v>2008</c:v>
                  </c:pt>
                  <c:pt idx="16">
                    <c:v>2009</c:v>
                  </c:pt>
                  <c:pt idx="17">
                    <c:v>2010</c:v>
                  </c:pt>
                  <c:pt idx="18">
                    <c:v>2011</c:v>
                  </c:pt>
                  <c:pt idx="19">
                    <c:v>2012</c:v>
                  </c:pt>
                  <c:pt idx="20">
                    <c:v>2013</c:v>
                  </c:pt>
                </c:lvl>
                <c:lvl>
                  <c:pt idx="0">
                    <c:v>Pre-Moneyball</c:v>
                  </c:pt>
                  <c:pt idx="10">
                    <c:v>Moneyball Era</c:v>
                  </c:pt>
                </c:lvl>
              </c:multiLvlStrCache>
            </c:multiLvlStrRef>
          </c:cat>
          <c:val>
            <c:numRef>
              <c:f>Chart1!$F$4:$F$27</c:f>
              <c:numCache>
                <c:formatCode>0.000</c:formatCode>
                <c:ptCount val="21"/>
                <c:pt idx="0">
                  <c:v>3.6299969129434166E-2</c:v>
                </c:pt>
                <c:pt idx="1">
                  <c:v>4.1547240535080174E-2</c:v>
                </c:pt>
                <c:pt idx="2">
                  <c:v>4.2212710988233128E-2</c:v>
                </c:pt>
                <c:pt idx="3">
                  <c:v>3.9280212060684397E-2</c:v>
                </c:pt>
                <c:pt idx="4">
                  <c:v>4.6147636424411068E-2</c:v>
                </c:pt>
                <c:pt idx="5">
                  <c:v>3.8077586519081857E-2</c:v>
                </c:pt>
                <c:pt idx="6">
                  <c:v>3.9070473558369977E-2</c:v>
                </c:pt>
                <c:pt idx="7">
                  <c:v>4.9838655708570233E-2</c:v>
                </c:pt>
                <c:pt idx="8">
                  <c:v>5.2898404453720134E-2</c:v>
                </c:pt>
                <c:pt idx="9">
                  <c:v>4.0955335497574775E-2</c:v>
                </c:pt>
                <c:pt idx="10">
                  <c:v>4.408614274062813E-2</c:v>
                </c:pt>
                <c:pt idx="11">
                  <c:v>3.6198180133609342E-2</c:v>
                </c:pt>
                <c:pt idx="12">
                  <c:v>3.3927455883815433E-2</c:v>
                </c:pt>
                <c:pt idx="13">
                  <c:v>3.4647733579334983E-2</c:v>
                </c:pt>
                <c:pt idx="14">
                  <c:v>4.2889630609285107E-2</c:v>
                </c:pt>
                <c:pt idx="15">
                  <c:v>5.0424765310383986E-2</c:v>
                </c:pt>
                <c:pt idx="16">
                  <c:v>4.5596889159082402E-2</c:v>
                </c:pt>
                <c:pt idx="17">
                  <c:v>4.5222860861506869E-2</c:v>
                </c:pt>
                <c:pt idx="18">
                  <c:v>3.9237318183043782E-2</c:v>
                </c:pt>
                <c:pt idx="19">
                  <c:v>3.6273226751410585E-2</c:v>
                </c:pt>
                <c:pt idx="20">
                  <c:v>4.7828338693914098E-2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9C2-4643-AF84-8D7576A8A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259503"/>
        <c:axId val="1236261231"/>
      </c:lineChart>
      <c:catAx>
        <c:axId val="123625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261231"/>
        <c:crosses val="autoZero"/>
        <c:auto val="1"/>
        <c:lblAlgn val="ctr"/>
        <c:lblOffset val="100"/>
        <c:tickLblSkip val="2"/>
        <c:noMultiLvlLbl val="0"/>
      </c:catAx>
      <c:valAx>
        <c:axId val="123626123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crossAx val="123625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Positional</a:t>
            </a:r>
            <a:r>
              <a:rPr lang="en-US" baseline="0"/>
              <a:t> </a:t>
            </a:r>
            <a:r>
              <a:rPr lang="en-US"/>
              <a:t>On</a:t>
            </a:r>
            <a:r>
              <a:rPr lang="en-US" baseline="0"/>
              <a:t> Base Plus Slugging by Era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Chart2!$B$35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1">
                  <a:shade val="4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44000"/>
                </a:schemeClr>
              </a:solidFill>
              <a:ln w="9525">
                <a:solidFill>
                  <a:schemeClr val="accent1">
                    <a:shade val="44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B8-D048-949D-A81BCCEE2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Chart2!$B$36:$B$37</c:f>
              <c:numCache>
                <c:formatCode>0.000</c:formatCode>
                <c:ptCount val="2"/>
                <c:pt idx="0">
                  <c:v>0.13080219407161756</c:v>
                </c:pt>
                <c:pt idx="1">
                  <c:v>0.10548690207512307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B8-D048-949D-A81BCCEE2833}"/>
            </c:ext>
          </c:extLst>
        </c:ser>
        <c:ser>
          <c:idx val="1"/>
          <c:order val="1"/>
          <c:tx>
            <c:strRef>
              <c:f>Chart2!$C$35</c:f>
              <c:strCache>
                <c:ptCount val="1"/>
                <c:pt idx="0">
                  <c:v>1B</c:v>
                </c:pt>
              </c:strCache>
            </c:strRef>
          </c:tx>
          <c:spPr>
            <a:ln w="28575" cap="rnd">
              <a:solidFill>
                <a:schemeClr val="accent1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58000"/>
                </a:schemeClr>
              </a:solidFill>
              <a:ln w="9525">
                <a:solidFill>
                  <a:schemeClr val="accent1">
                    <a:shade val="58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B8-D048-949D-A81BCCEE2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Chart2!$C$36:$C$37</c:f>
              <c:numCache>
                <c:formatCode>0.000</c:formatCode>
                <c:ptCount val="2"/>
                <c:pt idx="0">
                  <c:v>0.24834635074524708</c:v>
                </c:pt>
                <c:pt idx="1">
                  <c:v>0.25902097659345036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B8-D048-949D-A81BCCEE2833}"/>
            </c:ext>
          </c:extLst>
        </c:ser>
        <c:ser>
          <c:idx val="2"/>
          <c:order val="2"/>
          <c:tx>
            <c:strRef>
              <c:f>Chart2!$D$35</c:f>
              <c:strCache>
                <c:ptCount val="1"/>
                <c:pt idx="0">
                  <c:v>2B</c:v>
                </c:pt>
              </c:strCache>
            </c:strRef>
          </c:tx>
          <c:spPr>
            <a:ln w="28575" cap="rnd">
              <a:solidFill>
                <a:schemeClr val="accent1">
                  <a:shade val="72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2000"/>
                </a:schemeClr>
              </a:solidFill>
              <a:ln w="9525">
                <a:solidFill>
                  <a:schemeClr val="accent1">
                    <a:shade val="72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9B8-D048-949D-A81BCCEE2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Chart2!$D$36:$D$37</c:f>
              <c:numCache>
                <c:formatCode>0.000</c:formatCode>
                <c:ptCount val="2"/>
                <c:pt idx="0">
                  <c:v>0.11357993120163137</c:v>
                </c:pt>
                <c:pt idx="1">
                  <c:v>0.11323116752061013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B8-D048-949D-A81BCCEE2833}"/>
            </c:ext>
          </c:extLst>
        </c:ser>
        <c:ser>
          <c:idx val="3"/>
          <c:order val="3"/>
          <c:tx>
            <c:strRef>
              <c:f>Chart2!$E$35</c:f>
              <c:strCache>
                <c:ptCount val="1"/>
                <c:pt idx="0">
                  <c:v>3B</c:v>
                </c:pt>
              </c:strCache>
            </c:strRef>
          </c:tx>
          <c:spPr>
            <a:ln w="28575" cap="rnd">
              <a:solidFill>
                <a:schemeClr val="accent1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86000"/>
                </a:schemeClr>
              </a:solidFill>
              <a:ln w="9525">
                <a:solidFill>
                  <a:schemeClr val="accent1">
                    <a:shade val="86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9B8-D048-949D-A81BCCEE2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Chart2!$E$36:$E$37</c:f>
              <c:numCache>
                <c:formatCode>0.000</c:formatCode>
                <c:ptCount val="2"/>
                <c:pt idx="0">
                  <c:v>0.11925864721736111</c:v>
                </c:pt>
                <c:pt idx="1">
                  <c:v>0.17265951849820838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9B8-D048-949D-A81BCCEE2833}"/>
            </c:ext>
          </c:extLst>
        </c:ser>
        <c:ser>
          <c:idx val="4"/>
          <c:order val="4"/>
          <c:tx>
            <c:strRef>
              <c:f>Chart2!$F$35</c:f>
              <c:strCache>
                <c:ptCount val="1"/>
                <c:pt idx="0">
                  <c:v>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9B8-D048-949D-A81BCCEE2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Chart2!$F$36:$F$37</c:f>
              <c:numCache>
                <c:formatCode>0.000</c:formatCode>
                <c:ptCount val="2"/>
                <c:pt idx="0">
                  <c:v>7.8319530423803532E-2</c:v>
                </c:pt>
                <c:pt idx="1">
                  <c:v>8.8020973040209269E-2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9B8-D048-949D-A81BCCEE2833}"/>
            </c:ext>
          </c:extLst>
        </c:ser>
        <c:ser>
          <c:idx val="5"/>
          <c:order val="5"/>
          <c:tx>
            <c:strRef>
              <c:f>Chart2!$G$35</c:f>
              <c:strCache>
                <c:ptCount val="1"/>
                <c:pt idx="0">
                  <c:v>LF</c:v>
                </c:pt>
              </c:strCache>
            </c:strRef>
          </c:tx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86000"/>
                </a:schemeClr>
              </a:solidFill>
              <a:ln w="9525">
                <a:solidFill>
                  <a:schemeClr val="accent1">
                    <a:tint val="86000"/>
                  </a:schemeClr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9B8-D048-949D-A81BCCEE2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Chart2!$G$36:$G$37</c:f>
              <c:numCache>
                <c:formatCode>0.000</c:formatCode>
                <c:ptCount val="2"/>
                <c:pt idx="0">
                  <c:v>0.2656046780207556</c:v>
                </c:pt>
                <c:pt idx="1">
                  <c:v>0.22609596507221627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9B8-D048-949D-A81BCCEE2833}"/>
            </c:ext>
          </c:extLst>
        </c:ser>
        <c:ser>
          <c:idx val="6"/>
          <c:order val="6"/>
          <c:tx>
            <c:strRef>
              <c:f>Chart2!$H$35</c:f>
              <c:strCache>
                <c:ptCount val="1"/>
                <c:pt idx="0">
                  <c:v>RF</c:v>
                </c:pt>
              </c:strCache>
            </c:strRef>
          </c:tx>
          <c:spPr>
            <a:ln w="28575" cap="rnd">
              <a:solidFill>
                <a:schemeClr val="accent1">
                  <a:tint val="72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2000"/>
                </a:schemeClr>
              </a:solidFill>
              <a:ln w="9525">
                <a:solidFill>
                  <a:schemeClr val="accent1">
                    <a:tint val="72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9B8-D048-949D-A81BCCEE2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Chart2!$H$36:$H$37</c:f>
              <c:numCache>
                <c:formatCode>0.000</c:formatCode>
                <c:ptCount val="2"/>
                <c:pt idx="0">
                  <c:v>0.20945943882660051</c:v>
                </c:pt>
                <c:pt idx="1">
                  <c:v>0.14502150920341395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B8-D048-949D-A81BCCEE2833}"/>
            </c:ext>
          </c:extLst>
        </c:ser>
        <c:ser>
          <c:idx val="7"/>
          <c:order val="7"/>
          <c:tx>
            <c:strRef>
              <c:f>Chart2!$I$35</c:f>
              <c:strCache>
                <c:ptCount val="1"/>
                <c:pt idx="0">
                  <c:v>CF</c:v>
                </c:pt>
              </c:strCache>
            </c:strRef>
          </c:tx>
          <c:spPr>
            <a:ln w="2857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58000"/>
                </a:schemeClr>
              </a:solidFill>
              <a:ln w="9525">
                <a:solidFill>
                  <a:schemeClr val="accent1">
                    <a:tint val="58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9B8-D048-949D-A81BCCEE2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Chart2!$I$36:$I$37</c:f>
              <c:numCache>
                <c:formatCode>0.000</c:formatCode>
                <c:ptCount val="2"/>
                <c:pt idx="0">
                  <c:v>0.18530491077118888</c:v>
                </c:pt>
                <c:pt idx="1">
                  <c:v>0.13613503784987985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9B8-D048-949D-A81BCCEE2833}"/>
            </c:ext>
          </c:extLst>
        </c:ser>
        <c:ser>
          <c:idx val="8"/>
          <c:order val="8"/>
          <c:tx>
            <c:strRef>
              <c:f>Chart2!$J$35</c:f>
              <c:strCache>
                <c:ptCount val="1"/>
                <c:pt idx="0">
                  <c:v>DH</c:v>
                </c:pt>
              </c:strCache>
            </c:strRef>
          </c:tx>
          <c:spPr>
            <a:ln w="28575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44000"/>
                </a:schemeClr>
              </a:solidFill>
              <a:ln w="9525">
                <a:solidFill>
                  <a:schemeClr val="accent1">
                    <a:tint val="44000"/>
                  </a:schemeClr>
                </a:solidFill>
              </a:ln>
              <a:effectLst/>
            </c:spPr>
          </c:marker>
          <c:dLbls>
            <c:dLbl>
              <c:idx val="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9B8-D048-949D-A81BCCEE283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Chart2!$A$36:$A$37</c:f>
              <c:strCache>
                <c:ptCount val="2"/>
                <c:pt idx="0">
                  <c:v>Pre-Moneyball </c:v>
                </c:pt>
                <c:pt idx="1">
                  <c:v>Moneyball Era</c:v>
                </c:pt>
              </c:strCache>
            </c:strRef>
          </c:cat>
          <c:val>
            <c:numRef>
              <c:f>Chart2!$J$36:$J$37</c:f>
              <c:numCache>
                <c:formatCode>0.000</c:formatCode>
                <c:ptCount val="2"/>
                <c:pt idx="0">
                  <c:v>0.23953321813691342</c:v>
                </c:pt>
                <c:pt idx="1">
                  <c:v>0.23927324785415519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9B8-D048-949D-A81BCCEE2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000960"/>
        <c:axId val="79556176"/>
      </c:lineChart>
      <c:catAx>
        <c:axId val="7900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56176"/>
        <c:crosses val="autoZero"/>
        <c:auto val="1"/>
        <c:lblAlgn val="ctr"/>
        <c:lblOffset val="100"/>
        <c:noMultiLvlLbl val="0"/>
      </c:catAx>
      <c:valAx>
        <c:axId val="79556176"/>
        <c:scaling>
          <c:orientation val="minMax"/>
          <c:max val="0.27500000000000002"/>
          <c:min val="0.0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crossAx val="7900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Individual Batting Averages vs On Base Percentages by 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297401347449467E-2"/>
          <c:y val="0.10461224081827571"/>
          <c:w val="0.85370548604427332"/>
          <c:h val="0.79025632434243587"/>
        </c:manualLayout>
      </c:layout>
      <c:scatterChart>
        <c:scatterStyle val="lineMarker"/>
        <c:varyColors val="0"/>
        <c:ser>
          <c:idx val="0"/>
          <c:order val="0"/>
          <c:tx>
            <c:v>Pre-Moneyball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xVal>
            <c:strRef>
              <c:f>Chart3!$B:$B</c:f>
              <c:strCache>
                <c:ptCount val="175"/>
                <c:pt idx="0">
                  <c:v>EA OBP - Pre</c:v>
                </c:pt>
                <c:pt idx="1">
                  <c:v>0.106</c:v>
                </c:pt>
                <c:pt idx="2">
                  <c:v>0.164</c:v>
                </c:pt>
                <c:pt idx="3">
                  <c:v>0.146</c:v>
                </c:pt>
                <c:pt idx="4">
                  <c:v>0.201</c:v>
                </c:pt>
                <c:pt idx="5">
                  <c:v>0.197</c:v>
                </c:pt>
                <c:pt idx="6">
                  <c:v>0.051</c:v>
                </c:pt>
                <c:pt idx="7">
                  <c:v>0.182</c:v>
                </c:pt>
                <c:pt idx="8">
                  <c:v>0.089</c:v>
                </c:pt>
                <c:pt idx="9">
                  <c:v>0.332</c:v>
                </c:pt>
                <c:pt idx="10">
                  <c:v>0.166</c:v>
                </c:pt>
                <c:pt idx="11">
                  <c:v>0.137</c:v>
                </c:pt>
                <c:pt idx="12">
                  <c:v>0.127</c:v>
                </c:pt>
                <c:pt idx="13">
                  <c:v>0.310</c:v>
                </c:pt>
                <c:pt idx="14">
                  <c:v>0.177</c:v>
                </c:pt>
                <c:pt idx="15">
                  <c:v>0.130</c:v>
                </c:pt>
                <c:pt idx="16">
                  <c:v>0.263</c:v>
                </c:pt>
                <c:pt idx="17">
                  <c:v>0.229</c:v>
                </c:pt>
                <c:pt idx="18">
                  <c:v>0.156</c:v>
                </c:pt>
                <c:pt idx="19">
                  <c:v>0.089</c:v>
                </c:pt>
                <c:pt idx="20">
                  <c:v>0.150</c:v>
                </c:pt>
                <c:pt idx="21">
                  <c:v>0.107</c:v>
                </c:pt>
                <c:pt idx="22">
                  <c:v>-0.018</c:v>
                </c:pt>
                <c:pt idx="23">
                  <c:v>0.123</c:v>
                </c:pt>
                <c:pt idx="24">
                  <c:v>0.210</c:v>
                </c:pt>
                <c:pt idx="25">
                  <c:v>0.195</c:v>
                </c:pt>
                <c:pt idx="26">
                  <c:v>0.183</c:v>
                </c:pt>
                <c:pt idx="27">
                  <c:v>0.157</c:v>
                </c:pt>
                <c:pt idx="28">
                  <c:v>0.235</c:v>
                </c:pt>
                <c:pt idx="29">
                  <c:v>0.079</c:v>
                </c:pt>
                <c:pt idx="30">
                  <c:v>0.227</c:v>
                </c:pt>
                <c:pt idx="31">
                  <c:v>0.173</c:v>
                </c:pt>
                <c:pt idx="32">
                  <c:v>0.086</c:v>
                </c:pt>
                <c:pt idx="33">
                  <c:v>0.206</c:v>
                </c:pt>
                <c:pt idx="34">
                  <c:v>0.079</c:v>
                </c:pt>
                <c:pt idx="35">
                  <c:v>0.063</c:v>
                </c:pt>
                <c:pt idx="36">
                  <c:v>0.191</c:v>
                </c:pt>
                <c:pt idx="37">
                  <c:v>0.067</c:v>
                </c:pt>
                <c:pt idx="38">
                  <c:v>0.189</c:v>
                </c:pt>
                <c:pt idx="39">
                  <c:v>0.077</c:v>
                </c:pt>
                <c:pt idx="40">
                  <c:v>0.181</c:v>
                </c:pt>
                <c:pt idx="41">
                  <c:v>0.230</c:v>
                </c:pt>
                <c:pt idx="42">
                  <c:v>0.072</c:v>
                </c:pt>
                <c:pt idx="43">
                  <c:v>0.151</c:v>
                </c:pt>
                <c:pt idx="44">
                  <c:v>0.140</c:v>
                </c:pt>
                <c:pt idx="45">
                  <c:v>0.163</c:v>
                </c:pt>
                <c:pt idx="46">
                  <c:v>0.210</c:v>
                </c:pt>
                <c:pt idx="47">
                  <c:v>0.116</c:v>
                </c:pt>
                <c:pt idx="48">
                  <c:v>0.055</c:v>
                </c:pt>
                <c:pt idx="49">
                  <c:v>0.083</c:v>
                </c:pt>
                <c:pt idx="50">
                  <c:v>0.159</c:v>
                </c:pt>
                <c:pt idx="51">
                  <c:v>0.077</c:v>
                </c:pt>
                <c:pt idx="52">
                  <c:v>0.114</c:v>
                </c:pt>
                <c:pt idx="53">
                  <c:v>0.147</c:v>
                </c:pt>
                <c:pt idx="54">
                  <c:v>0.050</c:v>
                </c:pt>
                <c:pt idx="55">
                  <c:v>0.142</c:v>
                </c:pt>
                <c:pt idx="56">
                  <c:v>0.104</c:v>
                </c:pt>
                <c:pt idx="57">
                  <c:v>-0.002</c:v>
                </c:pt>
                <c:pt idx="58">
                  <c:v>0.127</c:v>
                </c:pt>
                <c:pt idx="59">
                  <c:v>0.146</c:v>
                </c:pt>
                <c:pt idx="60">
                  <c:v>0.082</c:v>
                </c:pt>
                <c:pt idx="61">
                  <c:v>0.258</c:v>
                </c:pt>
                <c:pt idx="62">
                  <c:v>0.144</c:v>
                </c:pt>
                <c:pt idx="63">
                  <c:v>0.098</c:v>
                </c:pt>
                <c:pt idx="64">
                  <c:v>0.044</c:v>
                </c:pt>
                <c:pt idx="65">
                  <c:v>0.250</c:v>
                </c:pt>
                <c:pt idx="66">
                  <c:v>-0.037</c:v>
                </c:pt>
                <c:pt idx="67">
                  <c:v>0.117</c:v>
                </c:pt>
                <c:pt idx="68">
                  <c:v>0.210</c:v>
                </c:pt>
                <c:pt idx="69">
                  <c:v>0.136</c:v>
                </c:pt>
                <c:pt idx="70">
                  <c:v>0.124</c:v>
                </c:pt>
                <c:pt idx="71">
                  <c:v>0.095</c:v>
                </c:pt>
                <c:pt idx="72">
                  <c:v>0.099</c:v>
                </c:pt>
                <c:pt idx="73">
                  <c:v>0.042</c:v>
                </c:pt>
                <c:pt idx="74">
                  <c:v>0.093</c:v>
                </c:pt>
                <c:pt idx="75">
                  <c:v>0.080</c:v>
                </c:pt>
                <c:pt idx="76">
                  <c:v>0.436</c:v>
                </c:pt>
                <c:pt idx="77">
                  <c:v>0.065</c:v>
                </c:pt>
                <c:pt idx="78">
                  <c:v>0.160</c:v>
                </c:pt>
                <c:pt idx="79">
                  <c:v>0.009</c:v>
                </c:pt>
                <c:pt idx="80">
                  <c:v>0.301</c:v>
                </c:pt>
                <c:pt idx="81">
                  <c:v>0.102</c:v>
                </c:pt>
                <c:pt idx="82">
                  <c:v>0.071</c:v>
                </c:pt>
                <c:pt idx="83">
                  <c:v>0.211</c:v>
                </c:pt>
                <c:pt idx="84">
                  <c:v>0.129</c:v>
                </c:pt>
                <c:pt idx="85">
                  <c:v>0.100</c:v>
                </c:pt>
                <c:pt idx="86">
                  <c:v>0.112</c:v>
                </c:pt>
                <c:pt idx="87">
                  <c:v>0.189</c:v>
                </c:pt>
                <c:pt idx="88">
                  <c:v>0.072</c:v>
                </c:pt>
                <c:pt idx="89">
                  <c:v>0.066</c:v>
                </c:pt>
                <c:pt idx="90">
                  <c:v>0.214</c:v>
                </c:pt>
                <c:pt idx="91">
                  <c:v>0.127</c:v>
                </c:pt>
                <c:pt idx="92">
                  <c:v>0.160</c:v>
                </c:pt>
                <c:pt idx="93">
                  <c:v>-0.077</c:v>
                </c:pt>
                <c:pt idx="94">
                  <c:v>0.135</c:v>
                </c:pt>
                <c:pt idx="95">
                  <c:v>0.273</c:v>
                </c:pt>
                <c:pt idx="96">
                  <c:v>0.166</c:v>
                </c:pt>
                <c:pt idx="97">
                  <c:v>0.103</c:v>
                </c:pt>
                <c:pt idx="98">
                  <c:v>0.076</c:v>
                </c:pt>
                <c:pt idx="99">
                  <c:v>0.009</c:v>
                </c:pt>
                <c:pt idx="100">
                  <c:v>0.230</c:v>
                </c:pt>
                <c:pt idx="101">
                  <c:v>-0.066</c:v>
                </c:pt>
                <c:pt idx="102">
                  <c:v>0.196</c:v>
                </c:pt>
                <c:pt idx="103">
                  <c:v>0.219</c:v>
                </c:pt>
                <c:pt idx="104">
                  <c:v>0.178</c:v>
                </c:pt>
                <c:pt idx="105">
                  <c:v>0.038</c:v>
                </c:pt>
                <c:pt idx="106">
                  <c:v>0.145</c:v>
                </c:pt>
                <c:pt idx="107">
                  <c:v>0.187</c:v>
                </c:pt>
                <c:pt idx="108">
                  <c:v>0.305</c:v>
                </c:pt>
                <c:pt idx="109">
                  <c:v>0.033</c:v>
                </c:pt>
                <c:pt idx="110">
                  <c:v>0.141</c:v>
                </c:pt>
                <c:pt idx="111">
                  <c:v>0.274</c:v>
                </c:pt>
                <c:pt idx="112">
                  <c:v>0.210</c:v>
                </c:pt>
                <c:pt idx="113">
                  <c:v>0.227</c:v>
                </c:pt>
                <c:pt idx="114">
                  <c:v>0.189</c:v>
                </c:pt>
                <c:pt idx="115">
                  <c:v>0.261</c:v>
                </c:pt>
                <c:pt idx="116">
                  <c:v>-0.007</c:v>
                </c:pt>
                <c:pt idx="117">
                  <c:v>0.188</c:v>
                </c:pt>
                <c:pt idx="118">
                  <c:v>0.019</c:v>
                </c:pt>
                <c:pt idx="119">
                  <c:v>0.158</c:v>
                </c:pt>
                <c:pt idx="120">
                  <c:v>0.039</c:v>
                </c:pt>
                <c:pt idx="121">
                  <c:v>0.035</c:v>
                </c:pt>
                <c:pt idx="122">
                  <c:v>-0.017</c:v>
                </c:pt>
                <c:pt idx="123">
                  <c:v>0.070</c:v>
                </c:pt>
                <c:pt idx="124">
                  <c:v>-0.002</c:v>
                </c:pt>
                <c:pt idx="125">
                  <c:v>0.107</c:v>
                </c:pt>
                <c:pt idx="126">
                  <c:v>0.064</c:v>
                </c:pt>
                <c:pt idx="127">
                  <c:v>-0.012</c:v>
                </c:pt>
                <c:pt idx="128">
                  <c:v>0.073</c:v>
                </c:pt>
                <c:pt idx="129">
                  <c:v>0.045</c:v>
                </c:pt>
                <c:pt idx="130">
                  <c:v>0.276</c:v>
                </c:pt>
                <c:pt idx="131">
                  <c:v>-0.031</c:v>
                </c:pt>
                <c:pt idx="132">
                  <c:v>0.196</c:v>
                </c:pt>
                <c:pt idx="133">
                  <c:v>0.124</c:v>
                </c:pt>
                <c:pt idx="134">
                  <c:v>0.116</c:v>
                </c:pt>
                <c:pt idx="135">
                  <c:v>0.176</c:v>
                </c:pt>
                <c:pt idx="136">
                  <c:v>0.089</c:v>
                </c:pt>
                <c:pt idx="137">
                  <c:v>0.106</c:v>
                </c:pt>
                <c:pt idx="138">
                  <c:v>0.005</c:v>
                </c:pt>
                <c:pt idx="139">
                  <c:v>0.196</c:v>
                </c:pt>
                <c:pt idx="140">
                  <c:v>-0.063</c:v>
                </c:pt>
                <c:pt idx="141">
                  <c:v>0.100</c:v>
                </c:pt>
                <c:pt idx="142">
                  <c:v>0.081</c:v>
                </c:pt>
                <c:pt idx="143">
                  <c:v>0.129</c:v>
                </c:pt>
                <c:pt idx="144">
                  <c:v>0.032</c:v>
                </c:pt>
                <c:pt idx="145">
                  <c:v>0.036</c:v>
                </c:pt>
                <c:pt idx="146">
                  <c:v>0.005</c:v>
                </c:pt>
                <c:pt idx="147">
                  <c:v>0.028</c:v>
                </c:pt>
                <c:pt idx="148">
                  <c:v>0.223</c:v>
                </c:pt>
                <c:pt idx="149">
                  <c:v>0.150</c:v>
                </c:pt>
                <c:pt idx="150">
                  <c:v>0.075</c:v>
                </c:pt>
                <c:pt idx="151">
                  <c:v>0.008</c:v>
                </c:pt>
                <c:pt idx="152">
                  <c:v>0.035</c:v>
                </c:pt>
                <c:pt idx="153">
                  <c:v>0.140</c:v>
                </c:pt>
                <c:pt idx="154">
                  <c:v>-0.014</c:v>
                </c:pt>
                <c:pt idx="155">
                  <c:v>0.017</c:v>
                </c:pt>
                <c:pt idx="156">
                  <c:v>0.046</c:v>
                </c:pt>
                <c:pt idx="157">
                  <c:v>0.382</c:v>
                </c:pt>
                <c:pt idx="158">
                  <c:v>-0.041</c:v>
                </c:pt>
                <c:pt idx="159">
                  <c:v>0.042</c:v>
                </c:pt>
                <c:pt idx="160">
                  <c:v>0.030</c:v>
                </c:pt>
                <c:pt idx="161">
                  <c:v>0.050</c:v>
                </c:pt>
                <c:pt idx="162">
                  <c:v>0.065</c:v>
                </c:pt>
                <c:pt idx="163">
                  <c:v>0.169</c:v>
                </c:pt>
                <c:pt idx="164">
                  <c:v>-0.075</c:v>
                </c:pt>
                <c:pt idx="165">
                  <c:v>0.065</c:v>
                </c:pt>
                <c:pt idx="166">
                  <c:v>-0.038</c:v>
                </c:pt>
                <c:pt idx="167">
                  <c:v>0.052</c:v>
                </c:pt>
                <c:pt idx="168">
                  <c:v>0.035</c:v>
                </c:pt>
                <c:pt idx="169">
                  <c:v>0.072</c:v>
                </c:pt>
                <c:pt idx="170">
                  <c:v>0.128</c:v>
                </c:pt>
                <c:pt idx="171">
                  <c:v>0.144</c:v>
                </c:pt>
                <c:pt idx="172">
                  <c:v>0.081</c:v>
                </c:pt>
                <c:pt idx="173">
                  <c:v>0.067</c:v>
                </c:pt>
                <c:pt idx="174">
                  <c:v>-0.031</c:v>
                </c:pt>
              </c:strCache>
            </c:strRef>
          </c:xVal>
          <c:yVal>
            <c:numRef>
              <c:f>Chart3!$A:$A</c:f>
              <c:numCache>
                <c:formatCode>0.000</c:formatCode>
                <c:ptCount val="1048576"/>
                <c:pt idx="0" formatCode="General">
                  <c:v>0</c:v>
                </c:pt>
                <c:pt idx="1">
                  <c:v>6.3279352226720542E-3</c:v>
                </c:pt>
                <c:pt idx="2">
                  <c:v>2.718181818181814E-2</c:v>
                </c:pt>
                <c:pt idx="3">
                  <c:v>2.5238095238095226E-2</c:v>
                </c:pt>
                <c:pt idx="4">
                  <c:v>1.699999999999996E-2</c:v>
                </c:pt>
                <c:pt idx="5">
                  <c:v>4.9536423841059607E-2</c:v>
                </c:pt>
                <c:pt idx="6">
                  <c:v>7.1017612524461593E-3</c:v>
                </c:pt>
                <c:pt idx="7">
                  <c:v>4.2238185255198457E-2</c:v>
                </c:pt>
                <c:pt idx="8">
                  <c:v>3.1619433198380564E-2</c:v>
                </c:pt>
                <c:pt idx="9">
                  <c:v>3.2624754420432223E-2</c:v>
                </c:pt>
                <c:pt idx="10">
                  <c:v>2.7623655913978473E-2</c:v>
                </c:pt>
                <c:pt idx="11">
                  <c:v>8.6097560975609833E-3</c:v>
                </c:pt>
                <c:pt idx="12">
                  <c:v>-1.1927194860814061E-3</c:v>
                </c:pt>
                <c:pt idx="13">
                  <c:v>6.3556325823223569E-2</c:v>
                </c:pt>
                <c:pt idx="14">
                  <c:v>2.6769784172661848E-2</c:v>
                </c:pt>
                <c:pt idx="15">
                  <c:v>3.9287356321839051E-2</c:v>
                </c:pt>
                <c:pt idx="16">
                  <c:v>7.3109404990402971E-3</c:v>
                </c:pt>
                <c:pt idx="17">
                  <c:v>6.2333333333333296E-2</c:v>
                </c:pt>
                <c:pt idx="18">
                  <c:v>5.5984251968503929E-2</c:v>
                </c:pt>
                <c:pt idx="19">
                  <c:v>2.3123456790123453E-2</c:v>
                </c:pt>
                <c:pt idx="20">
                  <c:v>3.0403225806451606E-2</c:v>
                </c:pt>
                <c:pt idx="21">
                  <c:v>2.7770053475935808E-2</c:v>
                </c:pt>
                <c:pt idx="22">
                  <c:v>-1.988472622478421E-3</c:v>
                </c:pt>
                <c:pt idx="23">
                  <c:v>1.7624787775891326E-2</c:v>
                </c:pt>
                <c:pt idx="24">
                  <c:v>5.2481848184818491E-2</c:v>
                </c:pt>
                <c:pt idx="25">
                  <c:v>5.4037974683544265E-2</c:v>
                </c:pt>
                <c:pt idx="26">
                  <c:v>-2.5842696629213568E-3</c:v>
                </c:pt>
                <c:pt idx="27">
                  <c:v>3.3270462633451958E-2</c:v>
                </c:pt>
                <c:pt idx="28">
                  <c:v>8.6100603621730387E-2</c:v>
                </c:pt>
                <c:pt idx="29">
                  <c:v>-8.137254901960822E-3</c:v>
                </c:pt>
                <c:pt idx="30">
                  <c:v>3.7276315789473657E-2</c:v>
                </c:pt>
                <c:pt idx="31">
                  <c:v>1.921908127208477E-2</c:v>
                </c:pt>
                <c:pt idx="32">
                  <c:v>-1.1268656716417913E-2</c:v>
                </c:pt>
                <c:pt idx="33">
                  <c:v>3.867948717948716E-2</c:v>
                </c:pt>
                <c:pt idx="34">
                  <c:v>5.0557491289198564E-2</c:v>
                </c:pt>
                <c:pt idx="35">
                  <c:v>4.1285163776493217E-2</c:v>
                </c:pt>
                <c:pt idx="36">
                  <c:v>1.8360189573459695E-2</c:v>
                </c:pt>
                <c:pt idx="37">
                  <c:v>2.4975688816855746E-2</c:v>
                </c:pt>
                <c:pt idx="38">
                  <c:v>7.862211981566819E-2</c:v>
                </c:pt>
                <c:pt idx="39">
                  <c:v>1.5879194630872451E-2</c:v>
                </c:pt>
                <c:pt idx="40">
                  <c:v>5.328571428571427E-2</c:v>
                </c:pt>
                <c:pt idx="41">
                  <c:v>8.7623853211009184E-2</c:v>
                </c:pt>
                <c:pt idx="42">
                  <c:v>1.3303030303030261E-2</c:v>
                </c:pt>
                <c:pt idx="43">
                  <c:v>6.6658105939004786E-2</c:v>
                </c:pt>
                <c:pt idx="44">
                  <c:v>4.4495626822157408E-2</c:v>
                </c:pt>
                <c:pt idx="45">
                  <c:v>6.1187969924812013E-2</c:v>
                </c:pt>
                <c:pt idx="46">
                  <c:v>2.7063903281519863E-2</c:v>
                </c:pt>
                <c:pt idx="47">
                  <c:v>4.2382978723404241E-2</c:v>
                </c:pt>
                <c:pt idx="48">
                  <c:v>-2.3333333333333539E-3</c:v>
                </c:pt>
                <c:pt idx="49">
                  <c:v>5.9077399380804918E-2</c:v>
                </c:pt>
                <c:pt idx="50">
                  <c:v>6.3901192504258908E-2</c:v>
                </c:pt>
                <c:pt idx="51">
                  <c:v>3.2829642248722313E-2</c:v>
                </c:pt>
                <c:pt idx="52">
                  <c:v>4.3692307692307697E-2</c:v>
                </c:pt>
                <c:pt idx="53">
                  <c:v>4.2297912713472496E-2</c:v>
                </c:pt>
                <c:pt idx="54">
                  <c:v>2.1135593220338977E-2</c:v>
                </c:pt>
                <c:pt idx="55">
                  <c:v>1.4478547854785473E-2</c:v>
                </c:pt>
                <c:pt idx="56">
                  <c:v>4.2796208530805679E-2</c:v>
                </c:pt>
                <c:pt idx="57">
                  <c:v>3.0075268817204293E-2</c:v>
                </c:pt>
                <c:pt idx="58">
                  <c:v>1.9334728033472803E-2</c:v>
                </c:pt>
                <c:pt idx="59">
                  <c:v>3.6198807157057644E-2</c:v>
                </c:pt>
                <c:pt idx="60">
                  <c:v>4.1562197092083975E-2</c:v>
                </c:pt>
                <c:pt idx="61">
                  <c:v>7.1604770017035746E-2</c:v>
                </c:pt>
                <c:pt idx="62">
                  <c:v>1.7048780487804893E-2</c:v>
                </c:pt>
                <c:pt idx="63">
                  <c:v>4.7126394052044607E-2</c:v>
                </c:pt>
                <c:pt idx="64">
                  <c:v>6.8954468802698121E-2</c:v>
                </c:pt>
                <c:pt idx="65">
                  <c:v>5.3325635103926072E-2</c:v>
                </c:pt>
                <c:pt idx="66">
                  <c:v>-1.6102040816326546E-2</c:v>
                </c:pt>
                <c:pt idx="67">
                  <c:v>4.8518518518518516E-2</c:v>
                </c:pt>
                <c:pt idx="68">
                  <c:v>6.3333333333333297E-2</c:v>
                </c:pt>
                <c:pt idx="69">
                  <c:v>6.6380255941499045E-2</c:v>
                </c:pt>
                <c:pt idx="70">
                  <c:v>5.1131447587354384E-2</c:v>
                </c:pt>
                <c:pt idx="71">
                  <c:v>5.6688969258589517E-2</c:v>
                </c:pt>
                <c:pt idx="72">
                  <c:v>5.2268206039076337E-2</c:v>
                </c:pt>
                <c:pt idx="73">
                  <c:v>3.237539432176656E-2</c:v>
                </c:pt>
                <c:pt idx="74">
                  <c:v>5.5243523316062138E-2</c:v>
                </c:pt>
                <c:pt idx="75">
                  <c:v>3.4187808896210869E-2</c:v>
                </c:pt>
                <c:pt idx="76">
                  <c:v>6.3731092436974779E-2</c:v>
                </c:pt>
                <c:pt idx="77">
                  <c:v>4.623283082077051E-2</c:v>
                </c:pt>
                <c:pt idx="78">
                  <c:v>6.8113924050632879E-2</c:v>
                </c:pt>
                <c:pt idx="79">
                  <c:v>7.7272727272726938E-3</c:v>
                </c:pt>
                <c:pt idx="80">
                  <c:v>9.9197183098591546E-2</c:v>
                </c:pt>
                <c:pt idx="81">
                  <c:v>3.203030303030302E-2</c:v>
                </c:pt>
                <c:pt idx="82">
                  <c:v>3.0819935691318301E-2</c:v>
                </c:pt>
                <c:pt idx="83">
                  <c:v>8.9164383561643801E-2</c:v>
                </c:pt>
                <c:pt idx="84">
                  <c:v>3.7262569832402226E-2</c:v>
                </c:pt>
                <c:pt idx="85">
                  <c:v>1.2643678160919603E-3</c:v>
                </c:pt>
                <c:pt idx="86">
                  <c:v>5.0854700854700563E-3</c:v>
                </c:pt>
                <c:pt idx="87">
                  <c:v>3.6536231884057968E-2</c:v>
                </c:pt>
                <c:pt idx="88">
                  <c:v>5.0887850467289719E-2</c:v>
                </c:pt>
                <c:pt idx="89">
                  <c:v>3.4989150090415921E-2</c:v>
                </c:pt>
                <c:pt idx="90">
                  <c:v>4.4278350515463916E-2</c:v>
                </c:pt>
                <c:pt idx="91">
                  <c:v>4.6811980033277856E-2</c:v>
                </c:pt>
                <c:pt idx="92">
                  <c:v>2.7466403162055342E-2</c:v>
                </c:pt>
                <c:pt idx="93">
                  <c:v>1.3538904899135451E-2</c:v>
                </c:pt>
                <c:pt idx="94">
                  <c:v>6.3258302583025838E-2</c:v>
                </c:pt>
                <c:pt idx="95">
                  <c:v>4.9849816849816819E-2</c:v>
                </c:pt>
                <c:pt idx="96">
                  <c:v>2.4353383458646627E-2</c:v>
                </c:pt>
                <c:pt idx="97">
                  <c:v>3.9364548494983276E-2</c:v>
                </c:pt>
                <c:pt idx="98">
                  <c:v>2.7372881355932188E-2</c:v>
                </c:pt>
                <c:pt idx="99">
                  <c:v>4.4210526315789478E-2</c:v>
                </c:pt>
                <c:pt idx="100">
                  <c:v>7.7107438016528917E-2</c:v>
                </c:pt>
                <c:pt idx="101">
                  <c:v>-2.5006289308176111E-2</c:v>
                </c:pt>
                <c:pt idx="102">
                  <c:v>4.0631229235880362E-2</c:v>
                </c:pt>
                <c:pt idx="103">
                  <c:v>9.4510791366906433E-2</c:v>
                </c:pt>
                <c:pt idx="104">
                  <c:v>6.6419580419580404E-2</c:v>
                </c:pt>
                <c:pt idx="105">
                  <c:v>3.9836065573770452E-2</c:v>
                </c:pt>
                <c:pt idx="106">
                  <c:v>5.9899371069182361E-2</c:v>
                </c:pt>
                <c:pt idx="107">
                  <c:v>8.171573604060911E-2</c:v>
                </c:pt>
                <c:pt idx="108">
                  <c:v>8.3383458646616504E-2</c:v>
                </c:pt>
                <c:pt idx="109">
                  <c:v>4.9516407599309142E-2</c:v>
                </c:pt>
                <c:pt idx="110">
                  <c:v>3.2370786516853933E-2</c:v>
                </c:pt>
                <c:pt idx="111">
                  <c:v>7.080705009276439E-2</c:v>
                </c:pt>
                <c:pt idx="112">
                  <c:v>9.74361233480176E-2</c:v>
                </c:pt>
                <c:pt idx="113">
                  <c:v>7.5008756567425561E-2</c:v>
                </c:pt>
                <c:pt idx="114">
                  <c:v>4.1316430020283956E-2</c:v>
                </c:pt>
                <c:pt idx="115">
                  <c:v>6.1123152709359585E-2</c:v>
                </c:pt>
                <c:pt idx="116">
                  <c:v>1.5666666666666662E-2</c:v>
                </c:pt>
                <c:pt idx="117">
                  <c:v>3.7543520309477718E-2</c:v>
                </c:pt>
                <c:pt idx="118">
                  <c:v>4.7220543806646531E-2</c:v>
                </c:pt>
                <c:pt idx="119">
                  <c:v>2.9296296296296265E-2</c:v>
                </c:pt>
                <c:pt idx="120">
                  <c:v>8.1249999999999933E-3</c:v>
                </c:pt>
                <c:pt idx="121">
                  <c:v>3.3412698412698394E-2</c:v>
                </c:pt>
                <c:pt idx="122">
                  <c:v>2.9186991869918355E-3</c:v>
                </c:pt>
                <c:pt idx="123">
                  <c:v>2.9573643410852724E-2</c:v>
                </c:pt>
                <c:pt idx="124">
                  <c:v>1.6312925170067993E-2</c:v>
                </c:pt>
                <c:pt idx="125">
                  <c:v>4.2499999999999982E-2</c:v>
                </c:pt>
                <c:pt idx="126">
                  <c:v>2.7520661157024784E-2</c:v>
                </c:pt>
                <c:pt idx="127">
                  <c:v>1.7603305785123924E-2</c:v>
                </c:pt>
                <c:pt idx="128">
                  <c:v>5.3569536423841047E-2</c:v>
                </c:pt>
                <c:pt idx="129">
                  <c:v>3.8447552447552436E-2</c:v>
                </c:pt>
                <c:pt idx="130">
                  <c:v>0.1079954337899543</c:v>
                </c:pt>
                <c:pt idx="131">
                  <c:v>5.2146422628951417E-3</c:v>
                </c:pt>
                <c:pt idx="132">
                  <c:v>5.2893805309734476E-2</c:v>
                </c:pt>
                <c:pt idx="133">
                  <c:v>6.0666666666666647E-2</c:v>
                </c:pt>
                <c:pt idx="134">
                  <c:v>4.6628701594533029E-2</c:v>
                </c:pt>
                <c:pt idx="135">
                  <c:v>7.4504885993485315E-2</c:v>
                </c:pt>
                <c:pt idx="136">
                  <c:v>6.097623089983023E-2</c:v>
                </c:pt>
                <c:pt idx="137">
                  <c:v>6.6761006289308145E-2</c:v>
                </c:pt>
                <c:pt idx="138">
                  <c:v>-5.1818181818181763E-3</c:v>
                </c:pt>
                <c:pt idx="139">
                  <c:v>9.7976406533575311E-2</c:v>
                </c:pt>
                <c:pt idx="140">
                  <c:v>-3.2204724409449215E-3</c:v>
                </c:pt>
                <c:pt idx="141">
                  <c:v>5.8231292517006761E-2</c:v>
                </c:pt>
                <c:pt idx="142">
                  <c:v>6.5524271844660198E-2</c:v>
                </c:pt>
                <c:pt idx="143">
                  <c:v>4.0880829015544018E-2</c:v>
                </c:pt>
                <c:pt idx="144">
                  <c:v>3.5845528455284548E-2</c:v>
                </c:pt>
                <c:pt idx="145">
                  <c:v>4.2771309771309773E-2</c:v>
                </c:pt>
                <c:pt idx="146">
                  <c:v>5.6913043478260872E-2</c:v>
                </c:pt>
                <c:pt idx="147">
                  <c:v>3.6122448979591826E-2</c:v>
                </c:pt>
                <c:pt idx="148">
                  <c:v>4.2020460358056233E-2</c:v>
                </c:pt>
                <c:pt idx="149">
                  <c:v>6.9361445783132525E-2</c:v>
                </c:pt>
                <c:pt idx="150">
                  <c:v>5.1548387096774173E-2</c:v>
                </c:pt>
                <c:pt idx="151">
                  <c:v>6.0483771251931995E-2</c:v>
                </c:pt>
                <c:pt idx="152">
                  <c:v>4.5315315315315297E-2</c:v>
                </c:pt>
                <c:pt idx="153">
                  <c:v>2.7872340425531883E-2</c:v>
                </c:pt>
                <c:pt idx="154">
                  <c:v>2.2310463121783863E-2</c:v>
                </c:pt>
                <c:pt idx="155">
                  <c:v>-7.5897035881435371E-3</c:v>
                </c:pt>
                <c:pt idx="156">
                  <c:v>3.0469483568075106E-2</c:v>
                </c:pt>
                <c:pt idx="157">
                  <c:v>0.10872704714640197</c:v>
                </c:pt>
                <c:pt idx="158">
                  <c:v>3.6785714285714255E-2</c:v>
                </c:pt>
                <c:pt idx="159">
                  <c:v>5.0104166666666672E-2</c:v>
                </c:pt>
                <c:pt idx="160">
                  <c:v>8.5710982658959545E-2</c:v>
                </c:pt>
                <c:pt idx="161">
                  <c:v>4.3131313131313131E-2</c:v>
                </c:pt>
                <c:pt idx="162">
                  <c:v>7.1530054644808716E-2</c:v>
                </c:pt>
                <c:pt idx="163">
                  <c:v>8.6142857142857132E-2</c:v>
                </c:pt>
                <c:pt idx="164">
                  <c:v>-7.5328083989501526E-3</c:v>
                </c:pt>
                <c:pt idx="165">
                  <c:v>5.4937027707808561E-2</c:v>
                </c:pt>
                <c:pt idx="166">
                  <c:v>4.137724550898203E-2</c:v>
                </c:pt>
                <c:pt idx="167">
                  <c:v>6.2844574780058615E-2</c:v>
                </c:pt>
                <c:pt idx="168">
                  <c:v>4.7183123877917399E-2</c:v>
                </c:pt>
                <c:pt idx="169">
                  <c:v>5.9915824915824922E-2</c:v>
                </c:pt>
                <c:pt idx="170">
                  <c:v>0.10462162162162159</c:v>
                </c:pt>
                <c:pt idx="171">
                  <c:v>0.12379474940334129</c:v>
                </c:pt>
                <c:pt idx="172">
                  <c:v>5.50412147505423E-2</c:v>
                </c:pt>
                <c:pt idx="173">
                  <c:v>0.10122429906542052</c:v>
                </c:pt>
                <c:pt idx="174">
                  <c:v>1.1777777777777776E-2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7D-6D4B-8FEF-8271D865878A}"/>
            </c:ext>
          </c:extLst>
        </c:ser>
        <c:ser>
          <c:idx val="1"/>
          <c:order val="1"/>
          <c:tx>
            <c:v>Moneyball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xVal>
            <c:strRef>
              <c:f>Chart3!$D:$D</c:f>
              <c:strCache>
                <c:ptCount val="193"/>
                <c:pt idx="0">
                  <c:v>OBP - Moneyball</c:v>
                </c:pt>
                <c:pt idx="1">
                  <c:v>0.064</c:v>
                </c:pt>
                <c:pt idx="2">
                  <c:v>0.238</c:v>
                </c:pt>
                <c:pt idx="3">
                  <c:v>0.087</c:v>
                </c:pt>
                <c:pt idx="4">
                  <c:v>0.195</c:v>
                </c:pt>
                <c:pt idx="5">
                  <c:v>-0.021</c:v>
                </c:pt>
                <c:pt idx="6">
                  <c:v>0.172</c:v>
                </c:pt>
                <c:pt idx="7">
                  <c:v>0.119</c:v>
                </c:pt>
                <c:pt idx="8">
                  <c:v>0.102</c:v>
                </c:pt>
                <c:pt idx="9">
                  <c:v>0.153</c:v>
                </c:pt>
                <c:pt idx="10">
                  <c:v>0.114</c:v>
                </c:pt>
                <c:pt idx="11">
                  <c:v>0.089</c:v>
                </c:pt>
                <c:pt idx="12">
                  <c:v>0.100</c:v>
                </c:pt>
                <c:pt idx="13">
                  <c:v>0.107</c:v>
                </c:pt>
                <c:pt idx="14">
                  <c:v>0.195</c:v>
                </c:pt>
                <c:pt idx="15">
                  <c:v>0.187</c:v>
                </c:pt>
                <c:pt idx="16">
                  <c:v>0.122</c:v>
                </c:pt>
                <c:pt idx="17">
                  <c:v>0.100</c:v>
                </c:pt>
                <c:pt idx="18">
                  <c:v>0.029</c:v>
                </c:pt>
                <c:pt idx="19">
                  <c:v>0.147</c:v>
                </c:pt>
                <c:pt idx="20">
                  <c:v>0.128</c:v>
                </c:pt>
                <c:pt idx="21">
                  <c:v>0.070</c:v>
                </c:pt>
                <c:pt idx="22">
                  <c:v>0.008</c:v>
                </c:pt>
                <c:pt idx="23">
                  <c:v>0.088</c:v>
                </c:pt>
                <c:pt idx="24">
                  <c:v>0.134</c:v>
                </c:pt>
                <c:pt idx="25">
                  <c:v>0.069</c:v>
                </c:pt>
                <c:pt idx="26">
                  <c:v>0.091</c:v>
                </c:pt>
                <c:pt idx="27">
                  <c:v>0.113</c:v>
                </c:pt>
                <c:pt idx="28">
                  <c:v>0.157</c:v>
                </c:pt>
                <c:pt idx="29">
                  <c:v>0.090</c:v>
                </c:pt>
                <c:pt idx="30">
                  <c:v>0.171</c:v>
                </c:pt>
                <c:pt idx="31">
                  <c:v>0.097</c:v>
                </c:pt>
                <c:pt idx="32">
                  <c:v>0.105</c:v>
                </c:pt>
                <c:pt idx="33">
                  <c:v>0.042</c:v>
                </c:pt>
                <c:pt idx="34">
                  <c:v>0.191</c:v>
                </c:pt>
                <c:pt idx="35">
                  <c:v>-0.049</c:v>
                </c:pt>
                <c:pt idx="36">
                  <c:v>0.137</c:v>
                </c:pt>
                <c:pt idx="37">
                  <c:v>0.161</c:v>
                </c:pt>
                <c:pt idx="38">
                  <c:v>0.090</c:v>
                </c:pt>
                <c:pt idx="39">
                  <c:v>0.190</c:v>
                </c:pt>
                <c:pt idx="40">
                  <c:v>0.095</c:v>
                </c:pt>
                <c:pt idx="41">
                  <c:v>0.084</c:v>
                </c:pt>
                <c:pt idx="42">
                  <c:v>0.104</c:v>
                </c:pt>
                <c:pt idx="43">
                  <c:v>0.096</c:v>
                </c:pt>
                <c:pt idx="44">
                  <c:v>0.185</c:v>
                </c:pt>
                <c:pt idx="45">
                  <c:v>0.055</c:v>
                </c:pt>
                <c:pt idx="46">
                  <c:v>0.056</c:v>
                </c:pt>
                <c:pt idx="47">
                  <c:v>-0.003</c:v>
                </c:pt>
                <c:pt idx="48">
                  <c:v>0.175</c:v>
                </c:pt>
                <c:pt idx="49">
                  <c:v>0.134</c:v>
                </c:pt>
                <c:pt idx="50">
                  <c:v>0.126</c:v>
                </c:pt>
                <c:pt idx="51">
                  <c:v>0.265</c:v>
                </c:pt>
                <c:pt idx="52">
                  <c:v>0.061</c:v>
                </c:pt>
                <c:pt idx="53">
                  <c:v>0.114</c:v>
                </c:pt>
                <c:pt idx="54">
                  <c:v>0.095</c:v>
                </c:pt>
                <c:pt idx="55">
                  <c:v>0.195</c:v>
                </c:pt>
                <c:pt idx="56">
                  <c:v>0.162</c:v>
                </c:pt>
                <c:pt idx="57">
                  <c:v>0.178</c:v>
                </c:pt>
                <c:pt idx="58">
                  <c:v>0.103</c:v>
                </c:pt>
                <c:pt idx="59">
                  <c:v>0.153</c:v>
                </c:pt>
                <c:pt idx="60">
                  <c:v>0.124</c:v>
                </c:pt>
                <c:pt idx="61">
                  <c:v>-0.037</c:v>
                </c:pt>
                <c:pt idx="62">
                  <c:v>0.102</c:v>
                </c:pt>
                <c:pt idx="63">
                  <c:v>0.090</c:v>
                </c:pt>
                <c:pt idx="64">
                  <c:v>0.222</c:v>
                </c:pt>
                <c:pt idx="65">
                  <c:v>0.137</c:v>
                </c:pt>
                <c:pt idx="66">
                  <c:v>0.185</c:v>
                </c:pt>
                <c:pt idx="67">
                  <c:v>0.080</c:v>
                </c:pt>
                <c:pt idx="68">
                  <c:v>0.133</c:v>
                </c:pt>
                <c:pt idx="69">
                  <c:v>0.099</c:v>
                </c:pt>
                <c:pt idx="70">
                  <c:v>0.156</c:v>
                </c:pt>
                <c:pt idx="71">
                  <c:v>0.204</c:v>
                </c:pt>
                <c:pt idx="72">
                  <c:v>0.209</c:v>
                </c:pt>
                <c:pt idx="73">
                  <c:v>0.327</c:v>
                </c:pt>
                <c:pt idx="74">
                  <c:v>0.067</c:v>
                </c:pt>
                <c:pt idx="75">
                  <c:v>0.122</c:v>
                </c:pt>
                <c:pt idx="76">
                  <c:v>0.230</c:v>
                </c:pt>
                <c:pt idx="77">
                  <c:v>0.149</c:v>
                </c:pt>
                <c:pt idx="78">
                  <c:v>0.144</c:v>
                </c:pt>
                <c:pt idx="79">
                  <c:v>0.090</c:v>
                </c:pt>
                <c:pt idx="80">
                  <c:v>0.151</c:v>
                </c:pt>
                <c:pt idx="81">
                  <c:v>0.147</c:v>
                </c:pt>
                <c:pt idx="82">
                  <c:v>0.123</c:v>
                </c:pt>
                <c:pt idx="83">
                  <c:v>0.162</c:v>
                </c:pt>
                <c:pt idx="84">
                  <c:v>0.103</c:v>
                </c:pt>
                <c:pt idx="85">
                  <c:v>0.118</c:v>
                </c:pt>
                <c:pt idx="86">
                  <c:v>0.106</c:v>
                </c:pt>
                <c:pt idx="87">
                  <c:v>0.073</c:v>
                </c:pt>
                <c:pt idx="88">
                  <c:v>0.067</c:v>
                </c:pt>
                <c:pt idx="89">
                  <c:v>0.102</c:v>
                </c:pt>
                <c:pt idx="90">
                  <c:v>0.122</c:v>
                </c:pt>
                <c:pt idx="91">
                  <c:v>0.092</c:v>
                </c:pt>
                <c:pt idx="92">
                  <c:v>0.170</c:v>
                </c:pt>
                <c:pt idx="93">
                  <c:v>0.243</c:v>
                </c:pt>
                <c:pt idx="94">
                  <c:v>0.148</c:v>
                </c:pt>
                <c:pt idx="95">
                  <c:v>0.144</c:v>
                </c:pt>
                <c:pt idx="96">
                  <c:v>0.082</c:v>
                </c:pt>
                <c:pt idx="97">
                  <c:v>0.125</c:v>
                </c:pt>
                <c:pt idx="98">
                  <c:v>0.167</c:v>
                </c:pt>
                <c:pt idx="99">
                  <c:v>0.198</c:v>
                </c:pt>
                <c:pt idx="100">
                  <c:v>0.098</c:v>
                </c:pt>
                <c:pt idx="101">
                  <c:v>0.119</c:v>
                </c:pt>
                <c:pt idx="102">
                  <c:v>0.143</c:v>
                </c:pt>
                <c:pt idx="103">
                  <c:v>0.072</c:v>
                </c:pt>
                <c:pt idx="104">
                  <c:v>0.100</c:v>
                </c:pt>
                <c:pt idx="105">
                  <c:v>0.033</c:v>
                </c:pt>
                <c:pt idx="106">
                  <c:v>0.095</c:v>
                </c:pt>
                <c:pt idx="107">
                  <c:v>0.000</c:v>
                </c:pt>
                <c:pt idx="108">
                  <c:v>0.152</c:v>
                </c:pt>
                <c:pt idx="109">
                  <c:v>0.138</c:v>
                </c:pt>
                <c:pt idx="110">
                  <c:v>-0.005</c:v>
                </c:pt>
                <c:pt idx="111">
                  <c:v>0.005</c:v>
                </c:pt>
                <c:pt idx="112">
                  <c:v>0.016</c:v>
                </c:pt>
                <c:pt idx="113">
                  <c:v>0.219</c:v>
                </c:pt>
                <c:pt idx="114">
                  <c:v>0.168</c:v>
                </c:pt>
                <c:pt idx="115">
                  <c:v>0.114</c:v>
                </c:pt>
                <c:pt idx="116">
                  <c:v>0.051</c:v>
                </c:pt>
                <c:pt idx="117">
                  <c:v>0.046</c:v>
                </c:pt>
                <c:pt idx="118">
                  <c:v>-0.033</c:v>
                </c:pt>
                <c:pt idx="119">
                  <c:v>0.240</c:v>
                </c:pt>
                <c:pt idx="120">
                  <c:v>0.134</c:v>
                </c:pt>
                <c:pt idx="121">
                  <c:v>0.029</c:v>
                </c:pt>
                <c:pt idx="122">
                  <c:v>0.043</c:v>
                </c:pt>
                <c:pt idx="123">
                  <c:v>0.145</c:v>
                </c:pt>
                <c:pt idx="124">
                  <c:v>0.155</c:v>
                </c:pt>
                <c:pt idx="125">
                  <c:v>-0.002</c:v>
                </c:pt>
                <c:pt idx="126">
                  <c:v>0.093</c:v>
                </c:pt>
                <c:pt idx="127">
                  <c:v>0.042</c:v>
                </c:pt>
                <c:pt idx="128">
                  <c:v>0.081</c:v>
                </c:pt>
                <c:pt idx="129">
                  <c:v>0.110</c:v>
                </c:pt>
                <c:pt idx="130">
                  <c:v>0.004</c:v>
                </c:pt>
                <c:pt idx="131">
                  <c:v>0.056</c:v>
                </c:pt>
                <c:pt idx="132">
                  <c:v>0.206</c:v>
                </c:pt>
                <c:pt idx="133">
                  <c:v>0.145</c:v>
                </c:pt>
                <c:pt idx="134">
                  <c:v>0.096</c:v>
                </c:pt>
                <c:pt idx="135">
                  <c:v>-0.008</c:v>
                </c:pt>
                <c:pt idx="136">
                  <c:v>0.156</c:v>
                </c:pt>
                <c:pt idx="137">
                  <c:v>0.047</c:v>
                </c:pt>
                <c:pt idx="138">
                  <c:v>0.111</c:v>
                </c:pt>
                <c:pt idx="139">
                  <c:v>0.120</c:v>
                </c:pt>
                <c:pt idx="140">
                  <c:v>0.123</c:v>
                </c:pt>
                <c:pt idx="141">
                  <c:v>0.013</c:v>
                </c:pt>
                <c:pt idx="142">
                  <c:v>-0.027</c:v>
                </c:pt>
                <c:pt idx="143">
                  <c:v>0.119</c:v>
                </c:pt>
                <c:pt idx="144">
                  <c:v>0.024</c:v>
                </c:pt>
                <c:pt idx="145">
                  <c:v>0.149</c:v>
                </c:pt>
                <c:pt idx="146">
                  <c:v>0.096</c:v>
                </c:pt>
                <c:pt idx="147">
                  <c:v>-0.009</c:v>
                </c:pt>
                <c:pt idx="148">
                  <c:v>0.172</c:v>
                </c:pt>
                <c:pt idx="149">
                  <c:v>0.158</c:v>
                </c:pt>
                <c:pt idx="150">
                  <c:v>0.142</c:v>
                </c:pt>
                <c:pt idx="151">
                  <c:v>0.037</c:v>
                </c:pt>
                <c:pt idx="152">
                  <c:v>0.131</c:v>
                </c:pt>
                <c:pt idx="153">
                  <c:v>0.170</c:v>
                </c:pt>
                <c:pt idx="154">
                  <c:v>0.193</c:v>
                </c:pt>
                <c:pt idx="155">
                  <c:v>-0.059</c:v>
                </c:pt>
                <c:pt idx="156">
                  <c:v>0.327</c:v>
                </c:pt>
                <c:pt idx="157">
                  <c:v>0.008</c:v>
                </c:pt>
                <c:pt idx="158">
                  <c:v>0.047</c:v>
                </c:pt>
                <c:pt idx="159">
                  <c:v>0.169</c:v>
                </c:pt>
                <c:pt idx="160">
                  <c:v>0.027</c:v>
                </c:pt>
                <c:pt idx="161">
                  <c:v>0.208</c:v>
                </c:pt>
                <c:pt idx="162">
                  <c:v>0.162</c:v>
                </c:pt>
                <c:pt idx="163">
                  <c:v>0.120</c:v>
                </c:pt>
                <c:pt idx="164">
                  <c:v>-0.002</c:v>
                </c:pt>
                <c:pt idx="165">
                  <c:v>0.081</c:v>
                </c:pt>
                <c:pt idx="166">
                  <c:v>0.020</c:v>
                </c:pt>
                <c:pt idx="167">
                  <c:v>-0.061</c:v>
                </c:pt>
                <c:pt idx="168">
                  <c:v>0.245</c:v>
                </c:pt>
                <c:pt idx="169">
                  <c:v>0.014</c:v>
                </c:pt>
                <c:pt idx="170">
                  <c:v>0.124</c:v>
                </c:pt>
                <c:pt idx="171">
                  <c:v>0.093</c:v>
                </c:pt>
                <c:pt idx="172">
                  <c:v>-0.016</c:v>
                </c:pt>
                <c:pt idx="173">
                  <c:v>0.190</c:v>
                </c:pt>
                <c:pt idx="174">
                  <c:v>0.240</c:v>
                </c:pt>
                <c:pt idx="175">
                  <c:v>0.066</c:v>
                </c:pt>
                <c:pt idx="176">
                  <c:v>-0.071</c:v>
                </c:pt>
                <c:pt idx="177">
                  <c:v>-0.030</c:v>
                </c:pt>
                <c:pt idx="178">
                  <c:v>0.048</c:v>
                </c:pt>
                <c:pt idx="179">
                  <c:v>0.237</c:v>
                </c:pt>
                <c:pt idx="180">
                  <c:v>0.027</c:v>
                </c:pt>
                <c:pt idx="181">
                  <c:v>0.182</c:v>
                </c:pt>
                <c:pt idx="182">
                  <c:v>0.058</c:v>
                </c:pt>
                <c:pt idx="183">
                  <c:v>0.146</c:v>
                </c:pt>
                <c:pt idx="184">
                  <c:v>0.035</c:v>
                </c:pt>
                <c:pt idx="185">
                  <c:v>0.239</c:v>
                </c:pt>
                <c:pt idx="186">
                  <c:v>0.229</c:v>
                </c:pt>
                <c:pt idx="187">
                  <c:v>0.077</c:v>
                </c:pt>
                <c:pt idx="188">
                  <c:v>-0.035</c:v>
                </c:pt>
                <c:pt idx="189">
                  <c:v>-0.004</c:v>
                </c:pt>
                <c:pt idx="190">
                  <c:v>0.384</c:v>
                </c:pt>
                <c:pt idx="191">
                  <c:v>-0.024</c:v>
                </c:pt>
                <c:pt idx="192">
                  <c:v>0.035</c:v>
                </c:pt>
              </c:strCache>
            </c:strRef>
          </c:xVal>
          <c:yVal>
            <c:numRef>
              <c:f>Chart3!$C:$C</c:f>
              <c:numCache>
                <c:formatCode>0.000</c:formatCode>
                <c:ptCount val="1048576"/>
                <c:pt idx="0" formatCode="General">
                  <c:v>0</c:v>
                </c:pt>
                <c:pt idx="1">
                  <c:v>-2.7727272727272739E-2</c:v>
                </c:pt>
                <c:pt idx="2">
                  <c:v>3.2958904109589016E-2</c:v>
                </c:pt>
                <c:pt idx="3">
                  <c:v>-2.345637583892618E-2</c:v>
                </c:pt>
                <c:pt idx="4">
                  <c:v>4.8790281329923246E-2</c:v>
                </c:pt>
                <c:pt idx="5">
                  <c:v>-3.5114722753346095E-2</c:v>
                </c:pt>
                <c:pt idx="6">
                  <c:v>2.9697508896797176E-2</c:v>
                </c:pt>
                <c:pt idx="7">
                  <c:v>5.4199623352165771E-3</c:v>
                </c:pt>
                <c:pt idx="8">
                  <c:v>1.9363636363636361E-2</c:v>
                </c:pt>
                <c:pt idx="9">
                  <c:v>7.4356775300171707E-3</c:v>
                </c:pt>
                <c:pt idx="10">
                  <c:v>-6.1670235546040786E-4</c:v>
                </c:pt>
                <c:pt idx="11">
                  <c:v>-1.2861924686192461E-2</c:v>
                </c:pt>
                <c:pt idx="12">
                  <c:v>2.5793867120953995E-2</c:v>
                </c:pt>
                <c:pt idx="13">
                  <c:v>4.0258620689655189E-2</c:v>
                </c:pt>
                <c:pt idx="14">
                  <c:v>1.1167785234899308E-2</c:v>
                </c:pt>
                <c:pt idx="15">
                  <c:v>6.8920265780730905E-2</c:v>
                </c:pt>
                <c:pt idx="16">
                  <c:v>2.6154121863799284E-2</c:v>
                </c:pt>
                <c:pt idx="17">
                  <c:v>1.6964912280701738E-2</c:v>
                </c:pt>
                <c:pt idx="18">
                  <c:v>4.4542056074766356E-2</c:v>
                </c:pt>
                <c:pt idx="19">
                  <c:v>5.7256038647342966E-2</c:v>
                </c:pt>
                <c:pt idx="20">
                  <c:v>7.6615146831530145E-3</c:v>
                </c:pt>
                <c:pt idx="21">
                  <c:v>1.6851063829787238E-2</c:v>
                </c:pt>
                <c:pt idx="22">
                  <c:v>5.8571428571428386E-3</c:v>
                </c:pt>
                <c:pt idx="23">
                  <c:v>2.142510121457486E-2</c:v>
                </c:pt>
                <c:pt idx="24">
                  <c:v>1.0000000000000009E-2</c:v>
                </c:pt>
                <c:pt idx="25">
                  <c:v>1.4315673289183206E-2</c:v>
                </c:pt>
                <c:pt idx="26">
                  <c:v>2.1209790209790191E-2</c:v>
                </c:pt>
                <c:pt idx="27">
                  <c:v>3.4630136986301352E-2</c:v>
                </c:pt>
                <c:pt idx="28">
                  <c:v>3.796078431372546E-2</c:v>
                </c:pt>
                <c:pt idx="29">
                  <c:v>1.3738574040219387E-2</c:v>
                </c:pt>
                <c:pt idx="30">
                  <c:v>3.7754385964912263E-2</c:v>
                </c:pt>
                <c:pt idx="31">
                  <c:v>3.1839203675344541E-2</c:v>
                </c:pt>
                <c:pt idx="32">
                  <c:v>4.8088803088803089E-2</c:v>
                </c:pt>
                <c:pt idx="33">
                  <c:v>-1.635109717868341E-2</c:v>
                </c:pt>
                <c:pt idx="34">
                  <c:v>5.6661157024793352E-2</c:v>
                </c:pt>
                <c:pt idx="35">
                  <c:v>-5.7666666666666672E-2</c:v>
                </c:pt>
                <c:pt idx="36">
                  <c:v>2.0779050736497551E-2</c:v>
                </c:pt>
                <c:pt idx="37">
                  <c:v>6.9580645161290311E-2</c:v>
                </c:pt>
                <c:pt idx="38">
                  <c:v>2.0584905660377351E-2</c:v>
                </c:pt>
                <c:pt idx="39">
                  <c:v>6.4397993311036794E-2</c:v>
                </c:pt>
                <c:pt idx="40">
                  <c:v>5.1647160068846787E-2</c:v>
                </c:pt>
                <c:pt idx="41">
                  <c:v>2.0189683860232954E-2</c:v>
                </c:pt>
                <c:pt idx="42">
                  <c:v>3.7425087108013955E-2</c:v>
                </c:pt>
                <c:pt idx="43">
                  <c:v>1.6665280665280668E-2</c:v>
                </c:pt>
                <c:pt idx="44">
                  <c:v>4.2098591549295739E-2</c:v>
                </c:pt>
                <c:pt idx="45">
                  <c:v>2.1714285714285686E-2</c:v>
                </c:pt>
                <c:pt idx="46">
                  <c:v>1.3605263157894731E-2</c:v>
                </c:pt>
                <c:pt idx="47">
                  <c:v>1.2876494023904339E-2</c:v>
                </c:pt>
                <c:pt idx="48">
                  <c:v>2.8418772563176875E-2</c:v>
                </c:pt>
                <c:pt idx="49">
                  <c:v>7.8288343558282181E-2</c:v>
                </c:pt>
                <c:pt idx="50">
                  <c:v>4.0964125560538134E-2</c:v>
                </c:pt>
                <c:pt idx="51">
                  <c:v>6.4227571115973714E-2</c:v>
                </c:pt>
                <c:pt idx="52">
                  <c:v>1.817880794701987E-2</c:v>
                </c:pt>
                <c:pt idx="53">
                  <c:v>4.0487179487179448E-2</c:v>
                </c:pt>
                <c:pt idx="54">
                  <c:v>3.9510638297872325E-2</c:v>
                </c:pt>
                <c:pt idx="55">
                  <c:v>1.9958115183246083E-2</c:v>
                </c:pt>
                <c:pt idx="56">
                  <c:v>8.1898395721925143E-2</c:v>
                </c:pt>
                <c:pt idx="57">
                  <c:v>3.4187808896210869E-2</c:v>
                </c:pt>
                <c:pt idx="58">
                  <c:v>2.6322580645161298E-2</c:v>
                </c:pt>
                <c:pt idx="59">
                  <c:v>4.826765799256505E-2</c:v>
                </c:pt>
                <c:pt idx="60">
                  <c:v>3.6509337860780977E-2</c:v>
                </c:pt>
                <c:pt idx="61">
                  <c:v>-6.5149700598802762E-3</c:v>
                </c:pt>
                <c:pt idx="62">
                  <c:v>8.1732851985559241E-3</c:v>
                </c:pt>
                <c:pt idx="63">
                  <c:v>3.5069632495164427E-2</c:v>
                </c:pt>
                <c:pt idx="64">
                  <c:v>4.5893653516294985E-2</c:v>
                </c:pt>
                <c:pt idx="65">
                  <c:v>4.274127310061604E-2</c:v>
                </c:pt>
                <c:pt idx="66">
                  <c:v>3.5500831946755407E-2</c:v>
                </c:pt>
                <c:pt idx="67">
                  <c:v>7.0595505617977505E-2</c:v>
                </c:pt>
                <c:pt idx="68">
                  <c:v>5.7685039370078739E-2</c:v>
                </c:pt>
                <c:pt idx="69">
                  <c:v>4.199656357388315E-2</c:v>
                </c:pt>
                <c:pt idx="70">
                  <c:v>3.7242236024844722E-2</c:v>
                </c:pt>
                <c:pt idx="71">
                  <c:v>1.7738351254480256E-2</c:v>
                </c:pt>
                <c:pt idx="72">
                  <c:v>4.7144249512670544E-2</c:v>
                </c:pt>
                <c:pt idx="73">
                  <c:v>0.13172192513368985</c:v>
                </c:pt>
                <c:pt idx="74">
                  <c:v>1.538626609442062E-2</c:v>
                </c:pt>
                <c:pt idx="75">
                  <c:v>5.6964749536178083E-2</c:v>
                </c:pt>
                <c:pt idx="76">
                  <c:v>0.10207335907335907</c:v>
                </c:pt>
                <c:pt idx="77">
                  <c:v>8.3095238095238111E-2</c:v>
                </c:pt>
                <c:pt idx="78">
                  <c:v>5.8659192825112116E-2</c:v>
                </c:pt>
                <c:pt idx="79">
                  <c:v>1.9961471103327466E-2</c:v>
                </c:pt>
                <c:pt idx="80">
                  <c:v>4.8274368231046916E-2</c:v>
                </c:pt>
                <c:pt idx="81">
                  <c:v>3.0282430213464662E-2</c:v>
                </c:pt>
                <c:pt idx="82">
                  <c:v>5.6503311258278122E-2</c:v>
                </c:pt>
                <c:pt idx="83">
                  <c:v>5.5098039215686345E-3</c:v>
                </c:pt>
                <c:pt idx="84">
                  <c:v>2.2888888888888848E-2</c:v>
                </c:pt>
                <c:pt idx="85">
                  <c:v>5.3976744186046532E-2</c:v>
                </c:pt>
                <c:pt idx="86">
                  <c:v>2.2225402504472247E-2</c:v>
                </c:pt>
                <c:pt idx="87">
                  <c:v>8.5151515151514756E-3</c:v>
                </c:pt>
                <c:pt idx="88">
                  <c:v>2.9762575452716267E-2</c:v>
                </c:pt>
                <c:pt idx="89">
                  <c:v>5.8495575221239049E-3</c:v>
                </c:pt>
                <c:pt idx="90">
                  <c:v>-1.4036144578313259E-2</c:v>
                </c:pt>
                <c:pt idx="91">
                  <c:v>4.9666666666666637E-2</c:v>
                </c:pt>
                <c:pt idx="92">
                  <c:v>4.7999999999999987E-2</c:v>
                </c:pt>
                <c:pt idx="93">
                  <c:v>7.1016835016834978E-2</c:v>
                </c:pt>
                <c:pt idx="94">
                  <c:v>4.6229508196721281E-2</c:v>
                </c:pt>
                <c:pt idx="95">
                  <c:v>8.0849056603773561E-2</c:v>
                </c:pt>
                <c:pt idx="96">
                  <c:v>6.7965844402277042E-2</c:v>
                </c:pt>
                <c:pt idx="97">
                  <c:v>8.0013888888888884E-2</c:v>
                </c:pt>
                <c:pt idx="98">
                  <c:v>4.3769771528998247E-2</c:v>
                </c:pt>
                <c:pt idx="99">
                  <c:v>6.3511839708561002E-2</c:v>
                </c:pt>
                <c:pt idx="100">
                  <c:v>4.6715670436187406E-2</c:v>
                </c:pt>
                <c:pt idx="101">
                  <c:v>2.759802306425041E-2</c:v>
                </c:pt>
                <c:pt idx="102">
                  <c:v>6.4075471698113173E-2</c:v>
                </c:pt>
                <c:pt idx="103">
                  <c:v>4.3184162062615106E-2</c:v>
                </c:pt>
                <c:pt idx="104">
                  <c:v>5.9626617375231061E-2</c:v>
                </c:pt>
                <c:pt idx="105">
                  <c:v>-1.2743718592964859E-2</c:v>
                </c:pt>
                <c:pt idx="106">
                  <c:v>4.3028880866425978E-2</c:v>
                </c:pt>
                <c:pt idx="107">
                  <c:v>7.7260726072607144E-3</c:v>
                </c:pt>
                <c:pt idx="108">
                  <c:v>6.8353293413173644E-2</c:v>
                </c:pt>
                <c:pt idx="109">
                  <c:v>5.0176470588235267E-2</c:v>
                </c:pt>
                <c:pt idx="110">
                  <c:v>2.323024054982803E-3</c:v>
                </c:pt>
                <c:pt idx="111">
                  <c:v>3.0817184643510021E-2</c:v>
                </c:pt>
                <c:pt idx="112">
                  <c:v>-6.5934065934081243E-5</c:v>
                </c:pt>
                <c:pt idx="113">
                  <c:v>7.1467153284671514E-2</c:v>
                </c:pt>
                <c:pt idx="114">
                  <c:v>5.5880308880308871E-2</c:v>
                </c:pt>
                <c:pt idx="115">
                  <c:v>3.395184135977336E-2</c:v>
                </c:pt>
                <c:pt idx="116">
                  <c:v>7.4499197431781683E-2</c:v>
                </c:pt>
                <c:pt idx="117">
                  <c:v>2.4592592592592555E-2</c:v>
                </c:pt>
                <c:pt idx="118">
                  <c:v>1.2984917043740551E-2</c:v>
                </c:pt>
                <c:pt idx="119">
                  <c:v>9.4747747747747746E-2</c:v>
                </c:pt>
                <c:pt idx="120">
                  <c:v>4.6765650080256793E-2</c:v>
                </c:pt>
                <c:pt idx="121">
                  <c:v>5.4378716744913902E-2</c:v>
                </c:pt>
                <c:pt idx="122">
                  <c:v>2.6379471228615836E-2</c:v>
                </c:pt>
                <c:pt idx="123">
                  <c:v>5.7599681020733651E-2</c:v>
                </c:pt>
                <c:pt idx="124">
                  <c:v>5.3571428571428548E-2</c:v>
                </c:pt>
                <c:pt idx="125">
                  <c:v>-1.2936507936507941E-2</c:v>
                </c:pt>
                <c:pt idx="126">
                  <c:v>2.5330922242314646E-2</c:v>
                </c:pt>
                <c:pt idx="127">
                  <c:v>2.7828282828282813E-2</c:v>
                </c:pt>
                <c:pt idx="128">
                  <c:v>2.3923753665689163E-2</c:v>
                </c:pt>
                <c:pt idx="129">
                  <c:v>3.3782324058919788E-2</c:v>
                </c:pt>
                <c:pt idx="130">
                  <c:v>2.3642140468227435E-2</c:v>
                </c:pt>
                <c:pt idx="131">
                  <c:v>5.0178631051752909E-2</c:v>
                </c:pt>
                <c:pt idx="132">
                  <c:v>6.2901234567901254E-2</c:v>
                </c:pt>
                <c:pt idx="133">
                  <c:v>4.6675977653631295E-2</c:v>
                </c:pt>
                <c:pt idx="134">
                  <c:v>4.9725490196078415E-2</c:v>
                </c:pt>
                <c:pt idx="135">
                  <c:v>3.6335570469798628E-2</c:v>
                </c:pt>
                <c:pt idx="136">
                  <c:v>6.6192052980132421E-2</c:v>
                </c:pt>
                <c:pt idx="137">
                  <c:v>7.2384858044164002E-2</c:v>
                </c:pt>
                <c:pt idx="138">
                  <c:v>9.1405228758169921E-2</c:v>
                </c:pt>
                <c:pt idx="139">
                  <c:v>6.104958677685951E-2</c:v>
                </c:pt>
                <c:pt idx="140">
                  <c:v>5.8253012048192776E-2</c:v>
                </c:pt>
                <c:pt idx="141">
                  <c:v>2.331942215088284E-2</c:v>
                </c:pt>
                <c:pt idx="142">
                  <c:v>2.068941979522182E-2</c:v>
                </c:pt>
                <c:pt idx="143">
                  <c:v>5.1047021943573634E-2</c:v>
                </c:pt>
                <c:pt idx="144">
                  <c:v>6.1251830161054177E-2</c:v>
                </c:pt>
                <c:pt idx="145">
                  <c:v>3.8375809935205174E-2</c:v>
                </c:pt>
                <c:pt idx="146">
                  <c:v>4.0281345565749249E-2</c:v>
                </c:pt>
                <c:pt idx="147">
                  <c:v>5.7705882352941162E-2</c:v>
                </c:pt>
                <c:pt idx="148">
                  <c:v>9.5025210084033584E-2</c:v>
                </c:pt>
                <c:pt idx="149">
                  <c:v>0.10046469248291573</c:v>
                </c:pt>
                <c:pt idx="150">
                  <c:v>8.4705882352941186E-3</c:v>
                </c:pt>
                <c:pt idx="151">
                  <c:v>9.8951747088186215E-3</c:v>
                </c:pt>
                <c:pt idx="152">
                  <c:v>6.2488817891373782E-2</c:v>
                </c:pt>
                <c:pt idx="153">
                  <c:v>7.0601307189542495E-2</c:v>
                </c:pt>
                <c:pt idx="154">
                  <c:v>5.475468483816015E-2</c:v>
                </c:pt>
                <c:pt idx="155">
                  <c:v>9.1509433962264075E-3</c:v>
                </c:pt>
                <c:pt idx="156">
                  <c:v>7.7025641025641023E-2</c:v>
                </c:pt>
                <c:pt idx="157">
                  <c:v>8.3032448377581114E-2</c:v>
                </c:pt>
                <c:pt idx="158">
                  <c:v>9.0112676056337992E-2</c:v>
                </c:pt>
                <c:pt idx="159">
                  <c:v>0.10320076481835561</c:v>
                </c:pt>
                <c:pt idx="160">
                  <c:v>2.9935483870967727E-2</c:v>
                </c:pt>
                <c:pt idx="161">
                  <c:v>9.4490566037735813E-2</c:v>
                </c:pt>
                <c:pt idx="162">
                  <c:v>4.0687885010266933E-2</c:v>
                </c:pt>
                <c:pt idx="163">
                  <c:v>6.0489291598023021E-2</c:v>
                </c:pt>
                <c:pt idx="164">
                  <c:v>1.2469897209985314E-2</c:v>
                </c:pt>
                <c:pt idx="165">
                  <c:v>6.5811881188118815E-2</c:v>
                </c:pt>
                <c:pt idx="166">
                  <c:v>5.1705128205128181E-2</c:v>
                </c:pt>
                <c:pt idx="167">
                  <c:v>5.3655913978494785E-3</c:v>
                </c:pt>
                <c:pt idx="168">
                  <c:v>9.47140439932318E-2</c:v>
                </c:pt>
                <c:pt idx="169">
                  <c:v>4.8223858615611181E-2</c:v>
                </c:pt>
                <c:pt idx="170">
                  <c:v>5.6041811846689882E-2</c:v>
                </c:pt>
                <c:pt idx="171">
                  <c:v>4.3168634064080946E-2</c:v>
                </c:pt>
                <c:pt idx="172">
                  <c:v>5.330215827338125E-2</c:v>
                </c:pt>
                <c:pt idx="173">
                  <c:v>6.594923857868018E-2</c:v>
                </c:pt>
                <c:pt idx="174">
                  <c:v>6.5464788732394363E-2</c:v>
                </c:pt>
                <c:pt idx="175">
                  <c:v>7.0450980392156859E-2</c:v>
                </c:pt>
                <c:pt idx="176">
                  <c:v>1.6039370078740123E-2</c:v>
                </c:pt>
                <c:pt idx="177">
                  <c:v>4.649562682215741E-2</c:v>
                </c:pt>
                <c:pt idx="178">
                  <c:v>4.6412573673870305E-2</c:v>
                </c:pt>
                <c:pt idx="179">
                  <c:v>9.2870229007633587E-2</c:v>
                </c:pt>
                <c:pt idx="180">
                  <c:v>0.10615909090909087</c:v>
                </c:pt>
                <c:pt idx="181">
                  <c:v>6.5861111111111093E-2</c:v>
                </c:pt>
                <c:pt idx="182">
                  <c:v>6.6494037478705248E-2</c:v>
                </c:pt>
                <c:pt idx="183">
                  <c:v>5.3307692307692278E-2</c:v>
                </c:pt>
                <c:pt idx="184">
                  <c:v>6.4358208955223872E-2</c:v>
                </c:pt>
                <c:pt idx="185">
                  <c:v>6.1841121495327112E-2</c:v>
                </c:pt>
                <c:pt idx="186">
                  <c:v>6.5081081081081071E-2</c:v>
                </c:pt>
                <c:pt idx="187">
                  <c:v>6.2186830015313943E-2</c:v>
                </c:pt>
                <c:pt idx="188">
                  <c:v>3.1139293139293145E-2</c:v>
                </c:pt>
                <c:pt idx="189">
                  <c:v>4.9359374999999983E-2</c:v>
                </c:pt>
                <c:pt idx="190">
                  <c:v>9.5930294906166225E-2</c:v>
                </c:pt>
                <c:pt idx="191">
                  <c:v>2.965079365079365E-2</c:v>
                </c:pt>
                <c:pt idx="192">
                  <c:v>7.271550255536624E-2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7D-6D4B-8FEF-8271D8658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0475951"/>
        <c:axId val="1290477663"/>
      </c:scatterChart>
      <c:valAx>
        <c:axId val="129047595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OBP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290477663"/>
        <c:crosses val="autoZero"/>
        <c:crossBetween val="midCat"/>
      </c:valAx>
      <c:valAx>
        <c:axId val="12904776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BA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90475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</cx:chartData>
  <cx:chart>
    <cx:title pos="t" align="ctr" overlay="0">
      <cx:tx>
        <cx:txData>
          <cx:v>Walk % and Strikeout % by Era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Walk % and Strikeout % by Era</a:t>
          </a:r>
        </a:p>
      </cx:txPr>
    </cx:title>
    <cx:plotArea>
      <cx:plotAreaRegion>
        <cx:series layoutId="boxWhisker" uniqueId="{14B41F3F-87DF-364F-BF91-312FD660521F}">
          <cx:tx>
            <cx:txData>
              <cx:f>_xlchart.v1.0</cx:f>
              <cx:v>Walk % (Pre)</cx:v>
            </cx:txData>
          </cx:tx>
          <cx:dataLabels pos="b">
            <cx:visibility seriesName="1" categoryName="0" value="0"/>
            <cx:separator>, </cx:separator>
            <cx:dataLabelHidden idx="171"/>
            <cx:dataLabelHidden idx="172"/>
            <cx:dataLabelHidden idx="192"/>
            <cx:dataLabelHidden idx="193"/>
            <cx:dataLabelHidden idx="194"/>
            <cx:dataLabelHidden idx="195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B1EE7A4-C642-EC41-AD16-339DD866AF01}">
          <cx:tx>
            <cx:txData>
              <cx:f>_xlchart.v1.2</cx:f>
              <cx:v>Walk % (Money)</cx:v>
            </cx:txData>
          </cx:tx>
          <cx:dataLabels>
            <cx:visibility seriesName="1" categoryName="0" value="0"/>
            <cx:dataLabel idx="0" pos="b"/>
            <cx:dataLabelHidden idx="188"/>
            <cx:dataLabelHidden idx="189"/>
            <cx:dataLabelHidden idx="191"/>
            <cx:dataLabelHidden idx="192"/>
            <cx:dataLabelHidden idx="193"/>
            <cx:dataLabelHidden idx="194"/>
            <cx:dataLabelHidden idx="195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ABBDDA4-C804-6D47-8DAC-DE41F4E70BA3}">
          <cx:tx>
            <cx:txData>
              <cx:f>_xlchart.v1.4</cx:f>
              <cx:v>Strikeout % (Pre)</cx:v>
            </cx:txData>
          </cx:tx>
          <cx:dataLabels pos="b">
            <cx:visibility seriesName="1" categoryName="0" value="0"/>
            <cx:dataLabelHidden idx="170"/>
            <cx:dataLabelHidden idx="171"/>
            <cx:dataLabelHidden idx="172"/>
            <cx:dataLabelHidden idx="192"/>
            <cx:dataLabelHidden idx="193"/>
            <cx:dataLabelHidden idx="194"/>
            <cx:dataLabelHidden idx="195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E0E1F143-62E8-0548-A100-7A473A1AEE1F}">
          <cx:tx>
            <cx:txData>
              <cx:f>_xlchart.v1.6</cx:f>
              <cx:v>Strikeout % (Money)</cx:v>
            </cx:txData>
          </cx:tx>
          <cx:dataLabels pos="b">
            <cx:visibility seriesName="1" categoryName="0" value="0"/>
            <cx:dataLabelHidden idx="188"/>
            <cx:dataLabelHidden idx="189"/>
            <cx:dataLabelHidden idx="190"/>
            <cx:dataLabelHidden idx="192"/>
            <cx:dataLabelHidden idx="193"/>
            <cx:dataLabelHidden idx="194"/>
            <cx:dataLabelHidden idx="195"/>
          </cx:dataLabels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25"/>
        <cx:tickLabels/>
      </cx:axis>
      <cx:axis id="1">
        <cx:valScaling max="0.40000000000000002" min="0"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  <cx:data id="1">
      <cx:numDim type="val">
        <cx:f>_xlchart.v1.11</cx:f>
      </cx:numDim>
    </cx:data>
    <cx:data id="2">
      <cx:numDim type="val">
        <cx:f>_xlchart.v1.13</cx:f>
      </cx:numDim>
    </cx:data>
    <cx:data id="3">
      <cx:numDim type="val">
        <cx:f>_xlchart.v1.15</cx:f>
      </cx:numDim>
    </cx:data>
  </cx:chartData>
  <cx:chart>
    <cx:title pos="t" align="ctr" overlay="0">
      <cx:tx>
        <cx:txData>
          <cx:v>Walk % and Strikeout % by Era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Walk % and Strikeout % by Era</a:t>
          </a:r>
        </a:p>
      </cx:txPr>
    </cx:title>
    <cx:plotArea>
      <cx:plotAreaRegion>
        <cx:series layoutId="boxWhisker" uniqueId="{14B41F3F-87DF-364F-BF91-312FD660521F}">
          <cx:tx>
            <cx:txData>
              <cx:f>_xlchart.v1.8</cx:f>
              <cx:v>Walk % (Pre)</cx:v>
            </cx:txData>
          </cx:tx>
          <cx:dataLabels pos="b">
            <cx:visibility seriesName="1" categoryName="0" value="0"/>
            <cx:separator>, </cx:separator>
            <cx:dataLabelHidden idx="171"/>
            <cx:dataLabelHidden idx="172"/>
            <cx:dataLabelHidden idx="192"/>
            <cx:dataLabelHidden idx="193"/>
            <cx:dataLabelHidden idx="194"/>
            <cx:dataLabelHidden idx="195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B1EE7A4-C642-EC41-AD16-339DD866AF01}">
          <cx:tx>
            <cx:txData>
              <cx:f>_xlchart.v1.10</cx:f>
              <cx:v>Walk % (Money)</cx:v>
            </cx:txData>
          </cx:tx>
          <cx:dataLabels>
            <cx:visibility seriesName="1" categoryName="0" value="0"/>
            <cx:dataLabel idx="0" pos="b"/>
            <cx:dataLabelHidden idx="188"/>
            <cx:dataLabelHidden idx="189"/>
            <cx:dataLabelHidden idx="191"/>
            <cx:dataLabelHidden idx="192"/>
            <cx:dataLabelHidden idx="193"/>
            <cx:dataLabelHidden idx="194"/>
            <cx:dataLabelHidden idx="195"/>
          </cx:dataLabels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ABBDDA4-C804-6D47-8DAC-DE41F4E70BA3}">
          <cx:tx>
            <cx:txData>
              <cx:f>_xlchart.v1.12</cx:f>
              <cx:v>Strikeout % (Pre)</cx:v>
            </cx:txData>
          </cx:tx>
          <cx:dataLabels pos="b">
            <cx:visibility seriesName="1" categoryName="0" value="0"/>
            <cx:dataLabelHidden idx="170"/>
            <cx:dataLabelHidden idx="171"/>
            <cx:dataLabelHidden idx="172"/>
            <cx:dataLabelHidden idx="192"/>
            <cx:dataLabelHidden idx="193"/>
            <cx:dataLabelHidden idx="194"/>
            <cx:dataLabelHidden idx="195"/>
          </cx:dataLabels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E0E1F143-62E8-0548-A100-7A473A1AEE1F}">
          <cx:tx>
            <cx:txData>
              <cx:f>_xlchart.v1.14</cx:f>
              <cx:v>Strikeout % (Money)</cx:v>
            </cx:txData>
          </cx:tx>
          <cx:dataLabels pos="b">
            <cx:visibility seriesName="1" categoryName="0" value="0"/>
            <cx:dataLabelHidden idx="188"/>
            <cx:dataLabelHidden idx="189"/>
            <cx:dataLabelHidden idx="190"/>
            <cx:dataLabelHidden idx="192"/>
            <cx:dataLabelHidden idx="193"/>
            <cx:dataLabelHidden idx="194"/>
            <cx:dataLabelHidden idx="195"/>
          </cx:dataLabels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25"/>
        <cx:tickLabels/>
      </cx:axis>
      <cx:axis id="1" hidden="1">
        <cx:valScaling max="0.40000000000000002" min="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108860</xdr:colOff>
      <xdr:row>27</xdr:row>
      <xdr:rowOff>199570</xdr:rowOff>
    </xdr:from>
    <xdr:to>
      <xdr:col>12</xdr:col>
      <xdr:colOff>635001</xdr:colOff>
      <xdr:row>75</xdr:row>
      <xdr:rowOff>137297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1AE92D-6EB5-FF76-C3EE-208089C1F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82196</xdr:colOff>
      <xdr:row>2</xdr:row>
      <xdr:rowOff>6220</xdr:rowOff>
    </xdr:from>
    <xdr:to>
      <xdr:col>10</xdr:col>
      <xdr:colOff>1308099</xdr:colOff>
      <xdr:row>27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4A99C9-FF8D-B6D7-FC43-9E404D32C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</xdr:row>
      <xdr:rowOff>6350</xdr:rowOff>
    </xdr:from>
    <xdr:to>
      <xdr:col>13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0764C-F664-0E47-0F16-590A55031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311150</xdr:colOff>
      <xdr:row>7</xdr:row>
      <xdr:rowOff>107950</xdr:rowOff>
    </xdr:from>
    <xdr:to>
      <xdr:col>9</xdr:col>
      <xdr:colOff>755650</xdr:colOff>
      <xdr:row>21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63E5E1C-A879-0517-D71A-4423AE03E4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91050" y="1530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</xdr:row>
      <xdr:rowOff>1</xdr:rowOff>
    </xdr:from>
    <xdr:to>
      <xdr:col>8</xdr:col>
      <xdr:colOff>12700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76A32-9E74-0342-BF01-86288C7B1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12699</xdr:colOff>
      <xdr:row>16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D81A49-205B-9344-A6EE-1F7DE33E9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25400</xdr:colOff>
      <xdr:row>17</xdr:row>
      <xdr:rowOff>12700</xdr:rowOff>
    </xdr:from>
    <xdr:to>
      <xdr:col>8</xdr:col>
      <xdr:colOff>0</xdr:colOff>
      <xdr:row>31</xdr:row>
      <xdr:rowOff>12699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AC2AF8-76A7-FE46-A059-C3F45FB44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31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4F747BF-6167-5B41-A02E-E612660033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29500" y="3594100"/>
              <a:ext cx="5778500" cy="2844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than Dippold" refreshedDate="45860.485459606483" createdVersion="8" refreshedVersion="8" minRefreshableVersion="3" recordCount="366" xr:uid="{3B878807-34FB-A04A-B98C-C9DAD2D1B08A}">
  <cacheSource type="worksheet">
    <worksheetSource name="Cleaned_MLB_Stats_Dataset__1"/>
  </cacheSource>
  <cacheFields count="32">
    <cacheField name="Era" numFmtId="0">
      <sharedItems count="2">
        <s v="Pre-Moneyball"/>
        <s v="Moneyball Era"/>
      </sharedItems>
    </cacheField>
    <cacheField name="Year" numFmtId="0">
      <sharedItems containsSemiMixedTypes="0" containsString="0" containsNumber="1" containsInteger="1" minValue="1993" maxValue="2013" count="21"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</sharedItems>
    </cacheField>
    <cacheField name="Player" numFmtId="0">
      <sharedItems/>
    </cacheField>
    <cacheField name="League" numFmtId="0">
      <sharedItems/>
    </cacheField>
    <cacheField name="Team" numFmtId="0">
      <sharedItems/>
    </cacheField>
    <cacheField name="Position" numFmtId="0">
      <sharedItems count="9">
        <s v="1B"/>
        <s v="LF"/>
        <s v="CF"/>
        <s v="2B"/>
        <s v="DH"/>
        <s v="C"/>
        <s v="SS"/>
        <s v="3B"/>
        <s v="RF"/>
      </sharedItems>
    </cacheField>
    <cacheField name="Position#" numFmtId="0">
      <sharedItems containsSemiMixedTypes="0" containsString="0" containsNumber="1" containsInteger="1" minValue="2" maxValue="10"/>
    </cacheField>
    <cacheField name="At Bats" numFmtId="0">
      <sharedItems containsSemiMixedTypes="0" containsString="0" containsNumber="1" containsInteger="1" minValue="18" maxValue="704"/>
    </cacheField>
    <cacheField name="Hits" numFmtId="0">
      <sharedItems containsSemiMixedTypes="0" containsString="0" containsNumber="1" containsInteger="1" minValue="5" maxValue="262"/>
    </cacheField>
    <cacheField name="2B" numFmtId="0">
      <sharedItems containsSemiMixedTypes="0" containsString="0" containsNumber="1" containsInteger="1" minValue="0" maxValue="54"/>
    </cacheField>
    <cacheField name="3B" numFmtId="0">
      <sharedItems containsSemiMixedTypes="0" containsString="0" containsNumber="1" containsInteger="1" minValue="0" maxValue="21"/>
    </cacheField>
    <cacheField name="HR" numFmtId="0">
      <sharedItems containsSemiMixedTypes="0" containsString="0" containsNumber="1" containsInteger="1" minValue="0" maxValue="73"/>
    </cacheField>
    <cacheField name="Runs" numFmtId="0">
      <sharedItems containsSemiMixedTypes="0" containsString="0" containsNumber="1" containsInteger="1" minValue="1" maxValue="146"/>
    </cacheField>
    <cacheField name="RBI" numFmtId="0">
      <sharedItems containsSemiMixedTypes="0" containsString="0" containsNumber="1" containsInteger="1" minValue="5" maxValue="165"/>
    </cacheField>
    <cacheField name="Strikeouts" numFmtId="0">
      <sharedItems containsSemiMixedTypes="0" containsString="0" containsNumber="1" containsInteger="1" minValue="0" maxValue="199"/>
    </cacheField>
    <cacheField name="Walks" numFmtId="0">
      <sharedItems containsSemiMixedTypes="0" containsString="0" containsNumber="1" containsInteger="1" minValue="0" maxValue="232"/>
    </cacheField>
    <cacheField name="Int Walks" numFmtId="0">
      <sharedItems containsSemiMixedTypes="0" containsString="0" containsNumber="1" containsInteger="1" minValue="0" maxValue="120"/>
    </cacheField>
    <cacheField name="Hit By Pitch" numFmtId="0">
      <sharedItems containsSemiMixedTypes="0" containsString="0" containsNumber="1" containsInteger="1" minValue="0" maxValue="34"/>
    </cacheField>
    <cacheField name="Sac Fly" numFmtId="0">
      <sharedItems containsSemiMixedTypes="0" containsString="0" containsNumber="1" containsInteger="1" minValue="0" maxValue="16"/>
    </cacheField>
    <cacheField name="Sac Bunt" numFmtId="0">
      <sharedItems containsSemiMixedTypes="0" containsString="0" containsNumber="1" containsInteger="1" minValue="0" maxValue="16"/>
    </cacheField>
    <cacheField name="Batting Average" numFmtId="164">
      <sharedItems containsSemiMixedTypes="0" containsString="0" containsNumber="1" minValue="0.20833333333333334" maxValue="0.39572192513368987"/>
    </cacheField>
    <cacheField name="Strikeout %" numFmtId="164">
      <sharedItems containsSemiMixedTypes="0" containsString="0" containsNumber="1" minValue="0" maxValue="0.35511363636363635"/>
    </cacheField>
    <cacheField name="Walk %" numFmtId="164">
      <sharedItems containsSemiMixedTypes="0" containsString="0" containsNumber="1" minValue="0" maxValue="0.96782841823056298"/>
    </cacheField>
    <cacheField name="On Base Percentage" numFmtId="164">
      <sharedItems containsSemiMixedTypes="0" containsString="0" containsNumber="1" minValue="0.26315789473684209" maxValue="0.60940032414910861"/>
    </cacheField>
    <cacheField name="Slugging %" numFmtId="164">
      <sharedItems containsSemiMixedTypes="0" containsString="0" containsNumber="1" minValue="0.34193548387096773" maxValue="0.86344537815126055"/>
    </cacheField>
    <cacheField name="OPS (On Base + Slugging)" numFmtId="164">
      <sharedItems containsSemiMixedTypes="0" containsString="0" containsNumber="1" minValue="0.63685159353612475" maxValue="1.4217327638273929"/>
    </cacheField>
    <cacheField name="ISO (Isolated Power" numFmtId="164">
      <sharedItems containsSemiMixedTypes="0" containsString="0" containsNumber="1" minValue="6.0714285714285721E-2" maxValue="0.53571428571428581"/>
    </cacheField>
    <cacheField name="EA Batting Avg." numFmtId="164">
      <sharedItems containsSemiMixedTypes="0" containsString="0" containsNumber="1" minValue="-5.7666666666666672E-2" maxValue="0.13172192513368985"/>
    </cacheField>
    <cacheField name="EA On Base %" numFmtId="164">
      <sharedItems containsSemiMixedTypes="0" containsString="0" containsNumber="1" minValue="-7.1842105263157929E-2" maxValue="0.27440032414910859"/>
    </cacheField>
    <cacheField name="EA Slugging %" numFmtId="164">
      <sharedItems containsSemiMixedTypes="0" containsString="0" containsNumber="1" minValue="-7.7060518731988437E-2" maxValue="0.43644537815126055"/>
    </cacheField>
    <cacheField name="EA On Base + Slugging" numFmtId="164">
      <sharedItems containsSemiMixedTypes="0" containsString="0" containsNumber="1" minValue="-0.12214840646387526" maxValue="0.65873276382739288"/>
    </cacheField>
    <cacheField name="EA ISO" numFmtId="164">
      <sharedItems containsSemiMixedTypes="0" containsString="0" containsNumber="1" minValue="-9.0599423631123915E-2" maxValue="0.372714285714285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x v="0"/>
    <x v="0"/>
    <s v="olerujo01"/>
    <s v="AL"/>
    <s v="TOR"/>
    <x v="0"/>
    <n v="3"/>
    <n v="551"/>
    <n v="200"/>
    <n v="54"/>
    <n v="2"/>
    <n v="24"/>
    <n v="109"/>
    <n v="107"/>
    <n v="65"/>
    <n v="114"/>
    <n v="33"/>
    <n v="7"/>
    <n v="7"/>
    <n v="0"/>
    <n v="0.36297640653357532"/>
    <n v="0.11796733212341198"/>
    <n v="0.27949183303085301"/>
    <n v="0.47275405007363769"/>
    <n v="0.59891107078039929"/>
    <n v="1.0716651208540369"/>
    <n v="0.23593466424682397"/>
    <n v="9.7976406533575311E-2"/>
    <n v="0.14075405007363767"/>
    <n v="0.19591107078039927"/>
    <n v="0.33566512085403688"/>
    <n v="9.7934664246823955E-2"/>
  </r>
  <r>
    <x v="0"/>
    <x v="0"/>
    <s v="bondsba01"/>
    <s v="NL"/>
    <s v="SFN"/>
    <x v="1"/>
    <n v="7"/>
    <n v="539"/>
    <n v="181"/>
    <n v="38"/>
    <n v="4"/>
    <n v="46"/>
    <n v="129"/>
    <n v="123"/>
    <n v="79"/>
    <n v="126"/>
    <n v="43"/>
    <n v="2"/>
    <n v="7"/>
    <n v="0"/>
    <n v="0.3358070500927644"/>
    <n v="0.14656771799628943"/>
    <n v="0.31725417439703152"/>
    <n v="0.45845697329376855"/>
    <n v="0.67717996289424864"/>
    <n v="1.1356369361880172"/>
    <n v="0.34137291280148424"/>
    <n v="7.080705009276439E-2"/>
    <n v="0.12645697329376854"/>
    <n v="0.27417996289424862"/>
    <n v="0.39963693618801721"/>
    <n v="0.20337291280148423"/>
  </r>
  <r>
    <x v="0"/>
    <x v="0"/>
    <s v="krukjo01"/>
    <s v="NL"/>
    <s v="PHI"/>
    <x v="0"/>
    <n v="3"/>
    <n v="535"/>
    <n v="169"/>
    <n v="33"/>
    <n v="5"/>
    <n v="14"/>
    <n v="100"/>
    <n v="85"/>
    <n v="87"/>
    <n v="111"/>
    <n v="10"/>
    <n v="0"/>
    <n v="5"/>
    <n v="0"/>
    <n v="0.31588785046728973"/>
    <n v="0.16261682242990655"/>
    <n v="0.22616822429906541"/>
    <n v="0.43010752688172044"/>
    <n v="0.47476635514018689"/>
    <n v="0.90487388202190733"/>
    <n v="0.15887850467289716"/>
    <n v="5.0887850467289719E-2"/>
    <n v="9.8107526881720419E-2"/>
    <n v="7.1766355140186866E-2"/>
    <n v="0.16887388202190734"/>
    <n v="2.0878504672897147E-2"/>
  </r>
  <r>
    <x v="0"/>
    <x v="0"/>
    <s v="griffke02"/>
    <s v="AL"/>
    <s v="SEA"/>
    <x v="2"/>
    <n v="8"/>
    <n v="582"/>
    <n v="180"/>
    <n v="38"/>
    <n v="3"/>
    <n v="45"/>
    <n v="113"/>
    <n v="109"/>
    <n v="91"/>
    <n v="96"/>
    <n v="25"/>
    <n v="6"/>
    <n v="7"/>
    <n v="0"/>
    <n v="0.30927835051546393"/>
    <n v="0.1563573883161512"/>
    <n v="0.21821305841924399"/>
    <n v="0.40810419681620841"/>
    <n v="0.61683848797250862"/>
    <n v="1.0249426847887171"/>
    <n v="0.30756013745704469"/>
    <n v="4.4278350515463916E-2"/>
    <n v="7.6104196816208391E-2"/>
    <n v="0.2138384879725086"/>
    <n v="0.2889426847887171"/>
    <n v="0.16956013745704468"/>
  </r>
  <r>
    <x v="0"/>
    <x v="0"/>
    <s v="alomaro01"/>
    <s v="AL"/>
    <s v="TOR"/>
    <x v="3"/>
    <n v="4"/>
    <n v="589"/>
    <n v="192"/>
    <n v="35"/>
    <n v="6"/>
    <n v="17"/>
    <n v="109"/>
    <n v="93"/>
    <n v="67"/>
    <n v="80"/>
    <n v="5"/>
    <n v="5"/>
    <n v="5"/>
    <n v="4"/>
    <n v="0.32597623089983024"/>
    <n v="0.11375212224108659"/>
    <n v="0.15280135823429541"/>
    <n v="0.40795287187039764"/>
    <n v="0.49235993208828521"/>
    <n v="0.90031280395868285"/>
    <n v="0.16638370118845497"/>
    <n v="6.097623089983023E-2"/>
    <n v="7.595287187039762E-2"/>
    <n v="8.9359932088285188E-2"/>
    <n v="0.16431280395868286"/>
    <n v="2.8383701188454957E-2"/>
  </r>
  <r>
    <x v="0"/>
    <x v="0"/>
    <s v="gracema01"/>
    <s v="NL"/>
    <s v="CHN"/>
    <x v="4"/>
    <n v="10"/>
    <n v="594"/>
    <n v="193"/>
    <n v="39"/>
    <n v="4"/>
    <n v="14"/>
    <n v="86"/>
    <n v="98"/>
    <n v="32"/>
    <n v="71"/>
    <n v="14"/>
    <n v="1"/>
    <n v="9"/>
    <n v="1"/>
    <n v="0.32491582491582494"/>
    <n v="5.387205387205387E-2"/>
    <n v="0.14478114478114479"/>
    <n v="0.3925925925925926"/>
    <n v="0.47474747474747475"/>
    <n v="0.8673400673400673"/>
    <n v="0.14983164983164982"/>
    <n v="5.9915824915824922E-2"/>
    <n v="6.0592592592592587E-2"/>
    <n v="7.1747474747474727E-2"/>
    <n v="0.13134006734006731"/>
    <n v="1.1831649831649804E-2"/>
  </r>
  <r>
    <x v="0"/>
    <x v="0"/>
    <s v="molitpa01"/>
    <s v="AL"/>
    <s v="TOR"/>
    <x v="4"/>
    <n v="10"/>
    <n v="636"/>
    <n v="211"/>
    <n v="37"/>
    <n v="5"/>
    <n v="22"/>
    <n v="121"/>
    <n v="111"/>
    <n v="71"/>
    <n v="77"/>
    <n v="3"/>
    <n v="3"/>
    <n v="8"/>
    <n v="1"/>
    <n v="0.33176100628930816"/>
    <n v="0.11163522012578617"/>
    <n v="0.13050314465408805"/>
    <n v="0.40193370165745856"/>
    <n v="0.50943396226415094"/>
    <n v="0.91136766392160951"/>
    <n v="0.17767295597484278"/>
    <n v="6.6761006289308145E-2"/>
    <n v="6.9933701657458547E-2"/>
    <n v="0.10643396226415092"/>
    <n v="0.17536766392160952"/>
    <n v="3.9672955974842772E-2"/>
  </r>
  <r>
    <x v="0"/>
    <x v="0"/>
    <s v="daultda01"/>
    <s v="NL"/>
    <s v="PHI"/>
    <x v="5"/>
    <n v="2"/>
    <n v="510"/>
    <n v="131"/>
    <n v="35"/>
    <n v="4"/>
    <n v="24"/>
    <n v="90"/>
    <n v="105"/>
    <n v="111"/>
    <n v="117"/>
    <n v="12"/>
    <n v="2"/>
    <n v="8"/>
    <n v="0"/>
    <n v="0.25686274509803919"/>
    <n v="0.21764705882352942"/>
    <n v="0.25686274509803919"/>
    <n v="0.39246467817896391"/>
    <n v="0.4823529411764706"/>
    <n v="0.87481761935543445"/>
    <n v="0.2254901960784314"/>
    <n v="-8.137254901960822E-3"/>
    <n v="6.0464678178963893E-2"/>
    <n v="7.9352941176470571E-2"/>
    <n v="0.13881761935543446"/>
    <n v="8.7490196078431393E-2"/>
  </r>
  <r>
    <x v="0"/>
    <x v="0"/>
    <s v="larkiba01"/>
    <s v="NL"/>
    <s v="CIN"/>
    <x v="6"/>
    <n v="6"/>
    <n v="384"/>
    <n v="121"/>
    <n v="20"/>
    <n v="3"/>
    <n v="8"/>
    <n v="57"/>
    <n v="51"/>
    <n v="33"/>
    <n v="51"/>
    <n v="6"/>
    <n v="1"/>
    <n v="3"/>
    <n v="1"/>
    <n v="0.31510416666666669"/>
    <n v="8.59375E-2"/>
    <n v="0.15104166666666666"/>
    <n v="0.39407744874715261"/>
    <n v="0.4453125"/>
    <n v="0.83938994874715256"/>
    <n v="0.13020833333333331"/>
    <n v="5.0104166666666672E-2"/>
    <n v="6.2077448747152597E-2"/>
    <n v="4.2312499999999975E-2"/>
    <n v="0.10338994874715257"/>
    <n v="-7.7916666666666967E-3"/>
  </r>
  <r>
    <x v="0"/>
    <x v="0"/>
    <s v="sheffga01"/>
    <s v="NL"/>
    <s v="FLO"/>
    <x v="7"/>
    <n v="5"/>
    <n v="236"/>
    <n v="69"/>
    <n v="8"/>
    <n v="3"/>
    <n v="10"/>
    <n v="33"/>
    <n v="37"/>
    <n v="34"/>
    <n v="29"/>
    <n v="6"/>
    <n v="6"/>
    <n v="4"/>
    <n v="0"/>
    <n v="0.2923728813559322"/>
    <n v="0.1440677966101695"/>
    <n v="0.17372881355932204"/>
    <n v="0.37818181818181817"/>
    <n v="0.4788135593220339"/>
    <n v="0.85699537750385213"/>
    <n v="0.1864406779661017"/>
    <n v="2.7372881355932188E-2"/>
    <n v="4.6181818181818157E-2"/>
    <n v="7.5813559322033874E-2"/>
    <n v="0.12099537750385214"/>
    <n v="4.8440677966101686E-2"/>
  </r>
  <r>
    <x v="0"/>
    <x v="0"/>
    <s v="boggswa01"/>
    <s v="AL"/>
    <s v="NYA"/>
    <x v="7"/>
    <n v="5"/>
    <n v="560"/>
    <n v="169"/>
    <n v="26"/>
    <n v="1"/>
    <n v="2"/>
    <n v="83"/>
    <n v="59"/>
    <n v="49"/>
    <n v="74"/>
    <n v="4"/>
    <n v="0"/>
    <n v="9"/>
    <n v="1"/>
    <n v="0.30178571428571427"/>
    <n v="8.7499999999999994E-2"/>
    <n v="0.13928571428571429"/>
    <n v="0.37791601866251945"/>
    <n v="0.36249999999999999"/>
    <n v="0.74041601866251949"/>
    <n v="6.0714285714285721E-2"/>
    <n v="3.6785714285714255E-2"/>
    <n v="4.5916018662519431E-2"/>
    <n v="-4.0500000000000036E-2"/>
    <n v="4.4160186625195053E-3"/>
    <n v="-7.7285714285714291E-2"/>
  </r>
  <r>
    <x v="0"/>
    <x v="0"/>
    <s v="justida01"/>
    <s v="NL"/>
    <s v="ATL"/>
    <x v="8"/>
    <n v="9"/>
    <n v="585"/>
    <n v="158"/>
    <n v="15"/>
    <n v="4"/>
    <n v="40"/>
    <n v="90"/>
    <n v="120"/>
    <n v="90"/>
    <n v="78"/>
    <n v="12"/>
    <n v="3"/>
    <n v="4"/>
    <n v="0"/>
    <n v="0.27008547008547007"/>
    <n v="0.15384615384615385"/>
    <n v="0.15897435897435896"/>
    <n v="0.35671641791044778"/>
    <n v="0.51452991452991448"/>
    <n v="0.87124633244036231"/>
    <n v="0.24444444444444441"/>
    <n v="5.0854700854700563E-3"/>
    <n v="2.4716417910447763E-2"/>
    <n v="0.11152991452991445"/>
    <n v="0.13524633244036233"/>
    <n v="0.1064444444444444"/>
  </r>
  <r>
    <x v="0"/>
    <x v="0"/>
    <s v="sandbry01"/>
    <s v="NL"/>
    <s v="CHN"/>
    <x v="3"/>
    <n v="4"/>
    <n v="456"/>
    <n v="141"/>
    <n v="20"/>
    <n v="0"/>
    <n v="9"/>
    <n v="67"/>
    <n v="45"/>
    <n v="62"/>
    <n v="37"/>
    <n v="1"/>
    <n v="2"/>
    <n v="6"/>
    <n v="2"/>
    <n v="0.30921052631578949"/>
    <n v="0.13596491228070176"/>
    <n v="8.771929824561403E-2"/>
    <n v="0.3592814371257485"/>
    <n v="0.41228070175438597"/>
    <n v="0.77156213888013447"/>
    <n v="0.10307017543859648"/>
    <n v="4.4210526315789478E-2"/>
    <n v="2.7281437125748487E-2"/>
    <n v="9.2807017543859449E-3"/>
    <n v="3.5562138880134486E-2"/>
    <n v="-3.4929824561403533E-2"/>
  </r>
  <r>
    <x v="0"/>
    <x v="0"/>
    <s v="grissma02"/>
    <s v="NL"/>
    <s v="MON"/>
    <x v="2"/>
    <n v="8"/>
    <n v="630"/>
    <n v="188"/>
    <n v="27"/>
    <n v="2"/>
    <n v="19"/>
    <n v="104"/>
    <n v="95"/>
    <n v="76"/>
    <n v="52"/>
    <n v="6"/>
    <n v="3"/>
    <n v="8"/>
    <n v="0"/>
    <n v="0.29841269841269841"/>
    <n v="0.12063492063492064"/>
    <n v="9.6825396825396828E-2"/>
    <n v="0.35064935064935066"/>
    <n v="0.43809523809523809"/>
    <n v="0.78874458874458875"/>
    <n v="0.13968253968253969"/>
    <n v="3.3412698412698394E-2"/>
    <n v="1.8649350649350638E-2"/>
    <n v="3.5095238095238068E-2"/>
    <n v="5.2744588744588761E-2"/>
    <n v="1.6825396825396743E-3"/>
  </r>
  <r>
    <x v="0"/>
    <x v="0"/>
    <s v="puckeki01"/>
    <s v="AL"/>
    <s v="MIN"/>
    <x v="1"/>
    <n v="7"/>
    <n v="622"/>
    <n v="184"/>
    <n v="39"/>
    <n v="3"/>
    <n v="22"/>
    <n v="89"/>
    <n v="89"/>
    <n v="93"/>
    <n v="47"/>
    <n v="7"/>
    <n v="7"/>
    <n v="5"/>
    <n v="1"/>
    <n v="0.29581993569131831"/>
    <n v="0.14951768488745981"/>
    <n v="9.8070739549839234E-2"/>
    <n v="0.34948604992657856"/>
    <n v="0.47427652733118969"/>
    <n v="0.82376257725776825"/>
    <n v="0.17845659163987138"/>
    <n v="3.0819935691318301E-2"/>
    <n v="1.748604992657854E-2"/>
    <n v="7.1276527331189665E-2"/>
    <n v="8.7762577257768259E-2"/>
    <n v="4.0456591639871364E-2"/>
  </r>
  <r>
    <x v="0"/>
    <x v="0"/>
    <s v="ripkeca01"/>
    <s v="AL"/>
    <s v="BAL"/>
    <x v="6"/>
    <n v="6"/>
    <n v="641"/>
    <n v="165"/>
    <n v="26"/>
    <n v="3"/>
    <n v="24"/>
    <n v="87"/>
    <n v="90"/>
    <n v="58"/>
    <n v="65"/>
    <n v="19"/>
    <n v="6"/>
    <n v="6"/>
    <n v="0"/>
    <n v="0.25741029641185648"/>
    <n v="9.0483619344773794E-2"/>
    <n v="0.14040561622464898"/>
    <n v="0.32869080779944287"/>
    <n v="0.41965678627145087"/>
    <n v="0.74834759407089368"/>
    <n v="0.16224648985959439"/>
    <n v="-7.5897035881435371E-3"/>
    <n v="-3.3091922005571428E-3"/>
    <n v="1.6656786271450841E-2"/>
    <n v="1.2347594070893697E-2"/>
    <n v="2.4246489859594378E-2"/>
  </r>
  <r>
    <x v="0"/>
    <x v="0"/>
    <s v="sheffga01"/>
    <s v="NL"/>
    <s v="SDN"/>
    <x v="7"/>
    <n v="5"/>
    <n v="258"/>
    <n v="76"/>
    <n v="12"/>
    <n v="2"/>
    <n v="10"/>
    <n v="34"/>
    <n v="36"/>
    <n v="30"/>
    <n v="18"/>
    <n v="0"/>
    <n v="3"/>
    <n v="3"/>
    <n v="0"/>
    <n v="0.29457364341085274"/>
    <n v="0.11627906976744186"/>
    <n v="8.1395348837209308E-2"/>
    <n v="0.34397163120567376"/>
    <n v="0.47286821705426357"/>
    <n v="0.81683984825993727"/>
    <n v="0.17829457364341084"/>
    <n v="2.9573643410852724E-2"/>
    <n v="1.1971631205673738E-2"/>
    <n v="6.9868217054263548E-2"/>
    <n v="8.0839848259937286E-2"/>
    <n v="4.0294573643410825E-2"/>
  </r>
  <r>
    <x v="0"/>
    <x v="0"/>
    <s v="rodriiv01"/>
    <s v="AL"/>
    <s v="TEX"/>
    <x v="5"/>
    <n v="2"/>
    <n v="473"/>
    <n v="129"/>
    <n v="28"/>
    <n v="4"/>
    <n v="10"/>
    <n v="56"/>
    <n v="66"/>
    <n v="70"/>
    <n v="29"/>
    <n v="3"/>
    <n v="4"/>
    <n v="8"/>
    <n v="5"/>
    <n v="0.27272727272727271"/>
    <n v="0.14799154334038056"/>
    <n v="7.6109936575052856E-2"/>
    <n v="0.31517509727626458"/>
    <n v="0.41226215644820297"/>
    <n v="0.72743725372446755"/>
    <n v="0.13953488372093026"/>
    <n v="7.7272727272726938E-3"/>
    <n v="-1.6824902723735435E-2"/>
    <n v="9.2621564482029406E-3"/>
    <n v="-8.5627462755324402E-3"/>
    <n v="1.5348837209302468E-3"/>
  </r>
  <r>
    <x v="0"/>
    <x v="0"/>
    <s v="cartejo01"/>
    <s v="AL"/>
    <s v="TOR"/>
    <x v="8"/>
    <n v="9"/>
    <n v="603"/>
    <n v="153"/>
    <n v="33"/>
    <n v="5"/>
    <n v="33"/>
    <n v="92"/>
    <n v="121"/>
    <n v="113"/>
    <n v="47"/>
    <n v="5"/>
    <n v="9"/>
    <n v="10"/>
    <n v="0"/>
    <n v="0.2537313432835821"/>
    <n v="0.18739635157545606"/>
    <n v="0.1011608623548922"/>
    <n v="0.31240657698056801"/>
    <n v="0.48922056384742951"/>
    <n v="0.80162714082799758"/>
    <n v="0.23548922056384741"/>
    <n v="-1.1268656716417913E-2"/>
    <n v="-1.959342301943201E-2"/>
    <n v="8.6220563847429488E-2"/>
    <n v="6.5627140827997588E-2"/>
    <n v="9.7489220563847401E-2"/>
  </r>
  <r>
    <x v="0"/>
    <x v="1"/>
    <s v="thomafr04"/>
    <s v="AL"/>
    <s v="CHA"/>
    <x v="0"/>
    <n v="3"/>
    <n v="399"/>
    <n v="141"/>
    <n v="34"/>
    <n v="1"/>
    <n v="38"/>
    <n v="106"/>
    <n v="101"/>
    <n v="61"/>
    <n v="109"/>
    <n v="12"/>
    <n v="2"/>
    <n v="7"/>
    <n v="0"/>
    <n v="0.35338345864661652"/>
    <n v="0.15288220551378445"/>
    <n v="0.30827067669172931"/>
    <n v="0.4874274661508704"/>
    <n v="0.72932330827067671"/>
    <n v="1.2167507744215471"/>
    <n v="0.37593984962406019"/>
    <n v="8.3383458646616504E-2"/>
    <n v="0.14842746615087038"/>
    <n v="0.30532330827067672"/>
    <n v="0.4537507744215471"/>
    <n v="0.22193984962406019"/>
  </r>
  <r>
    <x v="0"/>
    <x v="1"/>
    <s v="gwynnto01"/>
    <s v="NL"/>
    <s v="SDN"/>
    <x v="2"/>
    <n v="8"/>
    <n v="419"/>
    <n v="165"/>
    <n v="35"/>
    <n v="1"/>
    <n v="12"/>
    <n v="79"/>
    <n v="64"/>
    <n v="19"/>
    <n v="48"/>
    <n v="16"/>
    <n v="2"/>
    <n v="5"/>
    <n v="1"/>
    <n v="0.3937947494033413"/>
    <n v="4.5346062052505964E-2"/>
    <n v="0.15751789976133651"/>
    <n v="0.45358649789029537"/>
    <n v="0.56801909307875897"/>
    <n v="1.0216055909690542"/>
    <n v="0.17422434367541767"/>
    <n v="0.12379474940334129"/>
    <n v="0.11458649789029535"/>
    <n v="0.14401909307875899"/>
    <n v="0.25860559096905422"/>
    <n v="2.0224343675417672E-2"/>
  </r>
  <r>
    <x v="0"/>
    <x v="1"/>
    <s v="bondsba01"/>
    <s v="NL"/>
    <s v="SFN"/>
    <x v="1"/>
    <n v="7"/>
    <n v="391"/>
    <n v="122"/>
    <n v="18"/>
    <n v="1"/>
    <n v="37"/>
    <n v="89"/>
    <n v="81"/>
    <n v="43"/>
    <n v="74"/>
    <n v="18"/>
    <n v="6"/>
    <n v="3"/>
    <n v="0"/>
    <n v="0.31202046035805625"/>
    <n v="0.10997442455242967"/>
    <n v="0.2506393861892583"/>
    <n v="0.42616033755274263"/>
    <n v="0.6470588235294118"/>
    <n v="1.0732191610821544"/>
    <n v="0.33503836317135555"/>
    <n v="4.2020460358056233E-2"/>
    <n v="8.7160337552742606E-2"/>
    <n v="0.22305882352941181"/>
    <n v="0.31021916108215442"/>
    <n v="0.18103836317135555"/>
  </r>
  <r>
    <x v="0"/>
    <x v="1"/>
    <s v="boggswa01"/>
    <s v="AL"/>
    <s v="NYA"/>
    <x v="7"/>
    <n v="5"/>
    <n v="366"/>
    <n v="125"/>
    <n v="19"/>
    <n v="1"/>
    <n v="11"/>
    <n v="61"/>
    <n v="55"/>
    <n v="29"/>
    <n v="61"/>
    <n v="3"/>
    <n v="1"/>
    <n v="4"/>
    <n v="2"/>
    <n v="0.34153005464480873"/>
    <n v="7.9234972677595633E-2"/>
    <n v="0.17759562841530055"/>
    <n v="0.43287037037037035"/>
    <n v="0.48907103825136611"/>
    <n v="0.92194140862173646"/>
    <n v="0.14754098360655737"/>
    <n v="7.1530054644808716E-2"/>
    <n v="9.3870370370370326E-2"/>
    <n v="6.507103825136612E-2"/>
    <n v="0.15894140862173645"/>
    <n v="-6.4590163934426237E-3"/>
  </r>
  <r>
    <x v="0"/>
    <x v="1"/>
    <s v="justida01"/>
    <s v="NL"/>
    <s v="ATL"/>
    <x v="8"/>
    <n v="9"/>
    <n v="352"/>
    <n v="110"/>
    <n v="16"/>
    <n v="2"/>
    <n v="19"/>
    <n v="61"/>
    <n v="59"/>
    <n v="45"/>
    <n v="69"/>
    <n v="5"/>
    <n v="2"/>
    <n v="1"/>
    <n v="0"/>
    <n v="0.3125"/>
    <n v="0.12784090909090909"/>
    <n v="0.21590909090909091"/>
    <n v="0.42688679245283018"/>
    <n v="0.53125"/>
    <n v="0.95813679245283012"/>
    <n v="0.21875"/>
    <n v="4.2499999999999982E-2"/>
    <n v="8.7886792452830154E-2"/>
    <n v="0.10725000000000001"/>
    <n v="0.19513679245283011"/>
    <n v="6.4750000000000002E-2"/>
  </r>
  <r>
    <x v="0"/>
    <x v="1"/>
    <s v="griffke02"/>
    <s v="AL"/>
    <s v="SEA"/>
    <x v="2"/>
    <n v="8"/>
    <n v="433"/>
    <n v="140"/>
    <n v="24"/>
    <n v="4"/>
    <n v="40"/>
    <n v="94"/>
    <n v="90"/>
    <n v="73"/>
    <n v="56"/>
    <n v="19"/>
    <n v="2"/>
    <n v="2"/>
    <n v="0"/>
    <n v="0.32332563510392609"/>
    <n v="0.16859122401847576"/>
    <n v="0.17782909930715934"/>
    <n v="0.40162271805273836"/>
    <n v="0.67436489607390304"/>
    <n v="1.0759876141266413"/>
    <n v="0.35103926096997695"/>
    <n v="5.3325635103926072E-2"/>
    <n v="6.2622718052738335E-2"/>
    <n v="0.25036489607390305"/>
    <n v="0.31298761412664133"/>
    <n v="0.19703926096997695"/>
  </r>
  <r>
    <x v="0"/>
    <x v="1"/>
    <s v="jeffegr01"/>
    <s v="NL"/>
    <s v="SLN"/>
    <x v="0"/>
    <n v="3"/>
    <n v="397"/>
    <n v="129"/>
    <n v="27"/>
    <n v="1"/>
    <n v="12"/>
    <n v="52"/>
    <n v="55"/>
    <n v="26"/>
    <n v="45"/>
    <n v="12"/>
    <n v="1"/>
    <n v="4"/>
    <n v="0"/>
    <n v="0.32493702770780858"/>
    <n v="6.5491183879093195E-2"/>
    <n v="0.14609571788413098"/>
    <n v="0.39149888143176736"/>
    <n v="0.48866498740554154"/>
    <n v="0.8801638688373089"/>
    <n v="0.16372795969773296"/>
    <n v="5.4937027707808561E-2"/>
    <n v="5.2498881431767341E-2"/>
    <n v="6.4664987405541552E-2"/>
    <n v="0.11716386883730889"/>
    <n v="9.727959697732963E-3"/>
  </r>
  <r>
    <x v="0"/>
    <x v="1"/>
    <s v="alomaro01"/>
    <s v="AL"/>
    <s v="TOR"/>
    <x v="3"/>
    <n v="4"/>
    <n v="392"/>
    <n v="120"/>
    <n v="25"/>
    <n v="4"/>
    <n v="8"/>
    <n v="78"/>
    <n v="38"/>
    <n v="41"/>
    <n v="51"/>
    <n v="2"/>
    <n v="2"/>
    <n v="3"/>
    <n v="7"/>
    <n v="0.30612244897959184"/>
    <n v="0.10459183673469388"/>
    <n v="0.14030612244897958"/>
    <n v="0.3861607142857143"/>
    <n v="0.45153061224489793"/>
    <n v="0.83769132653061229"/>
    <n v="0.14540816326530609"/>
    <n v="3.6122448979591826E-2"/>
    <n v="4.7160714285714278E-2"/>
    <n v="2.7530612244897945E-2"/>
    <n v="7.4691326530612279E-2"/>
    <n v="-8.5918367346939084E-3"/>
  </r>
  <r>
    <x v="0"/>
    <x v="1"/>
    <s v="piazzmi01"/>
    <s v="NL"/>
    <s v="LAN"/>
    <x v="5"/>
    <n v="2"/>
    <n v="405"/>
    <n v="129"/>
    <n v="18"/>
    <n v="0"/>
    <n v="24"/>
    <n v="64"/>
    <n v="92"/>
    <n v="65"/>
    <n v="33"/>
    <n v="10"/>
    <n v="1"/>
    <n v="2"/>
    <n v="0"/>
    <n v="0.31851851851851853"/>
    <n v="0.16049382716049382"/>
    <n v="0.10864197530864197"/>
    <n v="0.36961451247165533"/>
    <n v="0.54074074074074074"/>
    <n v="0.91035525321239608"/>
    <n v="0.22222222222222221"/>
    <n v="4.8518518518518516E-2"/>
    <n v="3.0614512471655309E-2"/>
    <n v="0.11674074074074076"/>
    <n v="0.14735525321239606"/>
    <n v="6.8222222222222212E-2"/>
  </r>
  <r>
    <x v="0"/>
    <x v="1"/>
    <s v="puckeki01"/>
    <s v="AL"/>
    <s v="MIN"/>
    <x v="8"/>
    <n v="9"/>
    <n v="439"/>
    <n v="139"/>
    <n v="32"/>
    <n v="3"/>
    <n v="20"/>
    <n v="79"/>
    <n v="112"/>
    <n v="47"/>
    <n v="28"/>
    <n v="7"/>
    <n v="7"/>
    <n v="7"/>
    <n v="1"/>
    <n v="0.31662870159453305"/>
    <n v="0.1070615034168565"/>
    <n v="9.5671981776765377E-2"/>
    <n v="0.36174636174636177"/>
    <n v="0.53986332574031892"/>
    <n v="0.90160968748668069"/>
    <n v="0.22323462414578588"/>
    <n v="4.6628701594533029E-2"/>
    <n v="2.2746361746361743E-2"/>
    <n v="0.11586332574031893"/>
    <n v="0.13860968748668068"/>
    <n v="6.9234624145785878E-2"/>
  </r>
  <r>
    <x v="0"/>
    <x v="1"/>
    <s v="rodriiv01"/>
    <s v="AL"/>
    <s v="TEX"/>
    <x v="5"/>
    <n v="2"/>
    <n v="363"/>
    <n v="108"/>
    <n v="19"/>
    <n v="1"/>
    <n v="16"/>
    <n v="56"/>
    <n v="57"/>
    <n v="42"/>
    <n v="31"/>
    <n v="5"/>
    <n v="7"/>
    <n v="4"/>
    <n v="0"/>
    <n v="0.2975206611570248"/>
    <n v="0.11570247933884298"/>
    <n v="0.1184573002754821"/>
    <n v="0.36049382716049383"/>
    <n v="0.48760330578512395"/>
    <n v="0.84809713294561773"/>
    <n v="0.19008264462809915"/>
    <n v="2.7520661157024784E-2"/>
    <n v="2.1493827160493806E-2"/>
    <n v="6.3603305785123965E-2"/>
    <n v="8.5097132945617715E-2"/>
    <n v="3.6082644628099153E-2"/>
  </r>
  <r>
    <x v="0"/>
    <x v="1"/>
    <s v="ripkeca01"/>
    <s v="AL"/>
    <s v="BAL"/>
    <x v="6"/>
    <n v="6"/>
    <n v="444"/>
    <n v="140"/>
    <n v="19"/>
    <n v="3"/>
    <n v="13"/>
    <n v="71"/>
    <n v="75"/>
    <n v="41"/>
    <n v="32"/>
    <n v="3"/>
    <n v="4"/>
    <n v="4"/>
    <n v="0"/>
    <n v="0.31531531531531531"/>
    <n v="9.2342342342342343E-2"/>
    <n v="8.7837837837837843E-2"/>
    <n v="0.36363636363636365"/>
    <n v="0.45945945945945948"/>
    <n v="0.82309582309582319"/>
    <n v="0.14414414414414417"/>
    <n v="4.5315315315315297E-2"/>
    <n v="2.4636363636363623E-2"/>
    <n v="3.5459459459459497E-2"/>
    <n v="6.0095823095823175E-2"/>
    <n v="-9.8558558558558274E-3"/>
  </r>
  <r>
    <x v="0"/>
    <x v="1"/>
    <s v="smithoz01"/>
    <s v="NL"/>
    <s v="SLN"/>
    <x v="6"/>
    <n v="6"/>
    <n v="381"/>
    <n v="100"/>
    <n v="18"/>
    <n v="3"/>
    <n v="3"/>
    <n v="51"/>
    <n v="30"/>
    <n v="26"/>
    <n v="38"/>
    <n v="3"/>
    <n v="0"/>
    <n v="4"/>
    <n v="10"/>
    <n v="0.26246719160104987"/>
    <n v="6.8241469816272965E-2"/>
    <n v="0.10761154855643044"/>
    <n v="0.32624113475177308"/>
    <n v="0.34908136482939633"/>
    <n v="0.67532249958116941"/>
    <n v="8.6614173228346469E-2"/>
    <n v="-7.5328083989501526E-3"/>
    <n v="-1.2758865248226947E-2"/>
    <n v="-7.4918635170603654E-2"/>
    <n v="-8.7677500418830601E-2"/>
    <n v="-6.7385826771653529E-2"/>
  </r>
  <r>
    <x v="0"/>
    <x v="1"/>
    <s v="willima04"/>
    <s v="NL"/>
    <s v="SFN"/>
    <x v="7"/>
    <n v="5"/>
    <n v="445"/>
    <n v="119"/>
    <n v="16"/>
    <n v="3"/>
    <n v="43"/>
    <n v="74"/>
    <n v="96"/>
    <n v="87"/>
    <n v="33"/>
    <n v="7"/>
    <n v="2"/>
    <n v="3"/>
    <n v="0"/>
    <n v="0.26741573033707866"/>
    <n v="0.19550561797752808"/>
    <n v="9.4382022471910118E-2"/>
    <n v="0.3188405797101449"/>
    <n v="0.6067415730337079"/>
    <n v="0.9255821527438528"/>
    <n v="0.33932584269662924"/>
    <n v="-2.5842696629213568E-3"/>
    <n v="-2.0159420289855123E-2"/>
    <n v="0.18274157303370792"/>
    <n v="0.16258215274385279"/>
    <n v="0.18532584269662924"/>
  </r>
  <r>
    <x v="0"/>
    <x v="1"/>
    <s v="cartejo01"/>
    <s v="AL"/>
    <s v="TOR"/>
    <x v="1"/>
    <n v="7"/>
    <n v="435"/>
    <n v="118"/>
    <n v="25"/>
    <n v="2"/>
    <n v="27"/>
    <n v="70"/>
    <n v="103"/>
    <n v="64"/>
    <n v="33"/>
    <n v="6"/>
    <n v="2"/>
    <n v="13"/>
    <n v="0"/>
    <n v="0.27126436781609198"/>
    <n v="0.14712643678160919"/>
    <n v="9.4252873563218389E-2"/>
    <n v="0.31677018633540371"/>
    <n v="0.52413793103448281"/>
    <n v="0.84090811736988647"/>
    <n v="0.25287356321839083"/>
    <n v="1.2643678160919603E-3"/>
    <n v="-2.222981366459631E-2"/>
    <n v="0.10013793103448282"/>
    <n v="7.7908117369886454E-2"/>
    <n v="9.8873563218390831E-2"/>
  </r>
  <r>
    <x v="0"/>
    <x v="1"/>
    <s v="duncama01"/>
    <s v="NL"/>
    <s v="PHI"/>
    <x v="3"/>
    <n v="4"/>
    <n v="347"/>
    <n v="93"/>
    <n v="22"/>
    <n v="1"/>
    <n v="8"/>
    <n v="49"/>
    <n v="48"/>
    <n v="72"/>
    <n v="17"/>
    <n v="1"/>
    <n v="4"/>
    <n v="4"/>
    <n v="2"/>
    <n v="0.2680115273775216"/>
    <n v="0.207492795389049"/>
    <n v="6.3400576368876083E-2"/>
    <n v="0.30645161290322581"/>
    <n v="0.40634005763688763"/>
    <n v="0.71279167054011339"/>
    <n v="0.13832853025936603"/>
    <n v="-1.988472622478421E-3"/>
    <n v="-3.2548387096774212E-2"/>
    <n v="-1.7659942363112358E-2"/>
    <n v="-5.0208329459886625E-2"/>
    <n v="-1.5671469740633964E-2"/>
  </r>
  <r>
    <x v="0"/>
    <x v="2"/>
    <s v="martied01"/>
    <s v="AL"/>
    <s v="SEA"/>
    <x v="4"/>
    <n v="10"/>
    <n v="511"/>
    <n v="182"/>
    <n v="52"/>
    <n v="0"/>
    <n v="29"/>
    <n v="121"/>
    <n v="113"/>
    <n v="87"/>
    <n v="116"/>
    <n v="19"/>
    <n v="8"/>
    <n v="4"/>
    <n v="0"/>
    <n v="0.35616438356164382"/>
    <n v="0.17025440313111545"/>
    <n v="0.27984344422700586"/>
    <n v="0.47887323943661969"/>
    <n v="0.62818003913894327"/>
    <n v="1.1070532785755629"/>
    <n v="0.27201565557729945"/>
    <n v="8.9164383561643801E-2"/>
    <n v="0.14087323943661967"/>
    <n v="0.21118003913894329"/>
    <n v="0.3520532785755629"/>
    <n v="0.12201565557729946"/>
  </r>
  <r>
    <x v="0"/>
    <x v="2"/>
    <s v="thomafr04"/>
    <s v="AL"/>
    <s v="CHA"/>
    <x v="0"/>
    <n v="3"/>
    <n v="493"/>
    <n v="152"/>
    <n v="27"/>
    <n v="0"/>
    <n v="40"/>
    <n v="102"/>
    <n v="111"/>
    <n v="74"/>
    <n v="136"/>
    <n v="29"/>
    <n v="6"/>
    <n v="12"/>
    <n v="0"/>
    <n v="0.30831643002028397"/>
    <n v="0.15010141987829614"/>
    <n v="0.34685598377281945"/>
    <n v="0.45440494590417313"/>
    <n v="0.60649087221095332"/>
    <n v="1.0608958181151265"/>
    <n v="0.29817444219066935"/>
    <n v="4.1316430020283956E-2"/>
    <n v="0.11640494590417311"/>
    <n v="0.18949087221095334"/>
    <n v="0.30589581811512645"/>
    <n v="0.14817444219066936"/>
  </r>
  <r>
    <x v="0"/>
    <x v="2"/>
    <s v="bondsba01"/>
    <s v="NL"/>
    <s v="SFN"/>
    <x v="1"/>
    <n v="7"/>
    <n v="506"/>
    <n v="149"/>
    <n v="30"/>
    <n v="7"/>
    <n v="33"/>
    <n v="109"/>
    <n v="104"/>
    <n v="83"/>
    <n v="120"/>
    <n v="22"/>
    <n v="5"/>
    <n v="4"/>
    <n v="0"/>
    <n v="0.29446640316205536"/>
    <n v="0.16403162055335968"/>
    <n v="0.29051383399209485"/>
    <n v="0.43149606299212601"/>
    <n v="0.57707509881422925"/>
    <n v="1.0085711618063553"/>
    <n v="0.28260869565217389"/>
    <n v="2.7466403162055342E-2"/>
    <n v="9.3496062992125983E-2"/>
    <n v="0.16007509881422927"/>
    <n v="0.25357116180635531"/>
    <n v="0.1326086956521739"/>
  </r>
  <r>
    <x v="0"/>
    <x v="2"/>
    <s v="boggswa01"/>
    <s v="AL"/>
    <s v="NYA"/>
    <x v="7"/>
    <n v="5"/>
    <n v="460"/>
    <n v="149"/>
    <n v="22"/>
    <n v="4"/>
    <n v="5"/>
    <n v="76"/>
    <n v="63"/>
    <n v="50"/>
    <n v="74"/>
    <n v="5"/>
    <n v="0"/>
    <n v="7"/>
    <n v="0"/>
    <n v="0.32391304347826089"/>
    <n v="0.10869565217391304"/>
    <n v="0.17173913043478262"/>
    <n v="0.4121996303142329"/>
    <n v="0.42173913043478262"/>
    <n v="0.83393876074901552"/>
    <n v="9.7826086956521729E-2"/>
    <n v="5.6913043478260872E-2"/>
    <n v="7.4199630314232878E-2"/>
    <n v="4.7391304347826346E-3"/>
    <n v="7.8938760749015513E-2"/>
    <n v="-5.2173913043478265E-2"/>
  </r>
  <r>
    <x v="0"/>
    <x v="2"/>
    <s v="gwynnto01"/>
    <s v="NL"/>
    <s v="SDN"/>
    <x v="8"/>
    <n v="9"/>
    <n v="535"/>
    <n v="197"/>
    <n v="33"/>
    <n v="1"/>
    <n v="9"/>
    <n v="82"/>
    <n v="90"/>
    <n v="15"/>
    <n v="35"/>
    <n v="10"/>
    <n v="1"/>
    <n v="6"/>
    <n v="0"/>
    <n v="0.36822429906542054"/>
    <n v="2.8037383177570093E-2"/>
    <n v="8.5981308411214957E-2"/>
    <n v="0.40381282495667242"/>
    <n v="0.48411214953271026"/>
    <n v="0.88792497448938268"/>
    <n v="0.11588785046728972"/>
    <n v="0.10122429906542052"/>
    <n v="6.58128249566724E-2"/>
    <n v="6.7112149532710275E-2"/>
    <n v="0.13292497448938267"/>
    <n v="-3.4112149532710273E-2"/>
  </r>
  <r>
    <x v="0"/>
    <x v="2"/>
    <s v="piazzmi01"/>
    <s v="NL"/>
    <s v="LAN"/>
    <x v="5"/>
    <n v="2"/>
    <n v="434"/>
    <n v="150"/>
    <n v="17"/>
    <n v="0"/>
    <n v="32"/>
    <n v="82"/>
    <n v="93"/>
    <n v="80"/>
    <n v="39"/>
    <n v="10"/>
    <n v="1"/>
    <n v="1"/>
    <n v="0"/>
    <n v="0.34562211981566821"/>
    <n v="0.18433179723502305"/>
    <n v="0.1152073732718894"/>
    <n v="0.4"/>
    <n v="0.60599078341013823"/>
    <n v="1.0059907834101383"/>
    <n v="0.26036866359447003"/>
    <n v="7.862211981566819E-2"/>
    <n v="6.2E-2"/>
    <n v="0.18899078341013825"/>
    <n v="0.25099078341013825"/>
    <n v="0.11036866359447003"/>
  </r>
  <r>
    <x v="0"/>
    <x v="2"/>
    <s v="biggicr01"/>
    <s v="NL"/>
    <s v="HOU"/>
    <x v="3"/>
    <n v="4"/>
    <n v="553"/>
    <n v="167"/>
    <n v="30"/>
    <n v="2"/>
    <n v="22"/>
    <n v="123"/>
    <n v="77"/>
    <n v="85"/>
    <n v="80"/>
    <n v="1"/>
    <n v="22"/>
    <n v="7"/>
    <n v="11"/>
    <n v="0.30198915009041594"/>
    <n v="0.15370705244122965"/>
    <n v="0.18625678119349007"/>
    <n v="0.40634441087613293"/>
    <n v="0.48282097649186256"/>
    <n v="0.88916538736799544"/>
    <n v="0.18083182640144663"/>
    <n v="3.4989150090415921E-2"/>
    <n v="6.8344410876132911E-2"/>
    <n v="6.5820976491862582E-2"/>
    <n v="0.13416538736799544"/>
    <n v="3.0831826401446633E-2"/>
  </r>
  <r>
    <x v="0"/>
    <x v="2"/>
    <s v="belleal01"/>
    <s v="AL"/>
    <s v="CLE"/>
    <x v="1"/>
    <n v="7"/>
    <n v="546"/>
    <n v="173"/>
    <n v="52"/>
    <n v="1"/>
    <n v="50"/>
    <n v="121"/>
    <n v="126"/>
    <n v="80"/>
    <n v="73"/>
    <n v="5"/>
    <n v="6"/>
    <n v="4"/>
    <n v="0"/>
    <n v="0.31684981684981683"/>
    <n v="0.14652014652014653"/>
    <n v="0.15384615384615385"/>
    <n v="0.40063593004769477"/>
    <n v="0.69047619047619047"/>
    <n v="1.0911121205238852"/>
    <n v="0.37362637362637363"/>
    <n v="4.9849816849816819E-2"/>
    <n v="6.2635930047694743E-2"/>
    <n v="0.27347619047619048"/>
    <n v="0.33611212052388517"/>
    <n v="0.22362637362637364"/>
  </r>
  <r>
    <x v="0"/>
    <x v="2"/>
    <s v="puckeki01"/>
    <s v="AL"/>
    <s v="MIN"/>
    <x v="8"/>
    <n v="9"/>
    <n v="538"/>
    <n v="169"/>
    <n v="39"/>
    <n v="0"/>
    <n v="23"/>
    <n v="83"/>
    <n v="99"/>
    <n v="89"/>
    <n v="56"/>
    <n v="18"/>
    <n v="3"/>
    <n v="5"/>
    <n v="0"/>
    <n v="0.31412639405204462"/>
    <n v="0.1654275092936803"/>
    <n v="0.14312267657992564"/>
    <n v="0.37873754152823919"/>
    <n v="0.51486988847583648"/>
    <n v="0.89360743000407572"/>
    <n v="0.20074349442379186"/>
    <n v="4.7126394052044607E-2"/>
    <n v="4.0737541528239163E-2"/>
    <n v="9.7869888475836497E-2"/>
    <n v="0.13860743000407572"/>
    <n v="5.0743494423791863E-2"/>
  </r>
  <r>
    <x v="0"/>
    <x v="2"/>
    <s v="larkiba01"/>
    <s v="NL"/>
    <s v="CIN"/>
    <x v="6"/>
    <n v="6"/>
    <n v="496"/>
    <n v="158"/>
    <n v="29"/>
    <n v="6"/>
    <n v="15"/>
    <n v="98"/>
    <n v="66"/>
    <n v="49"/>
    <n v="61"/>
    <n v="2"/>
    <n v="3"/>
    <n v="4"/>
    <n v="3"/>
    <n v="0.31854838709677419"/>
    <n v="9.8790322580645157E-2"/>
    <n v="0.13306451612903225"/>
    <n v="0.39361702127659576"/>
    <n v="0.49193548387096775"/>
    <n v="0.88555250514756345"/>
    <n v="0.17338709677419356"/>
    <n v="5.1548387096774173E-2"/>
    <n v="5.5617021276595735E-2"/>
    <n v="7.4935483870967767E-2"/>
    <n v="0.13055250514756345"/>
    <n v="2.3387096774193566E-2"/>
  </r>
  <r>
    <x v="0"/>
    <x v="2"/>
    <s v="gantro01"/>
    <s v="NL"/>
    <s v="CIN"/>
    <x v="4"/>
    <n v="10"/>
    <n v="410"/>
    <n v="113"/>
    <n v="19"/>
    <n v="4"/>
    <n v="29"/>
    <n v="79"/>
    <n v="88"/>
    <n v="108"/>
    <n v="74"/>
    <n v="5"/>
    <n v="3"/>
    <n v="5"/>
    <n v="1"/>
    <n v="0.275609756097561"/>
    <n v="0.26341463414634148"/>
    <n v="0.2"/>
    <n v="0.38617886178861788"/>
    <n v="0.5536585365853659"/>
    <n v="0.93983739837398383"/>
    <n v="0.2780487804878049"/>
    <n v="8.6097560975609833E-3"/>
    <n v="4.8178861788617855E-2"/>
    <n v="0.13665853658536592"/>
    <n v="0.18483739837398383"/>
    <n v="0.12804878048780491"/>
  </r>
  <r>
    <x v="0"/>
    <x v="2"/>
    <s v="loftoke01"/>
    <s v="AL"/>
    <s v="CLE"/>
    <x v="2"/>
    <n v="8"/>
    <n v="481"/>
    <n v="149"/>
    <n v="22"/>
    <n v="13"/>
    <n v="7"/>
    <n v="93"/>
    <n v="53"/>
    <n v="49"/>
    <n v="40"/>
    <n v="6"/>
    <n v="1"/>
    <n v="3"/>
    <n v="4"/>
    <n v="0.30977130977130979"/>
    <n v="0.10187110187110188"/>
    <n v="9.7713097713097719E-2"/>
    <n v="0.3619047619047619"/>
    <n v="0.45322245322245325"/>
    <n v="0.81512721512721509"/>
    <n v="0.14345114345114346"/>
    <n v="4.2771309771309773E-2"/>
    <n v="2.3904761904761873E-2"/>
    <n v="3.6222453222453266E-2"/>
    <n v="6.0127215127215083E-2"/>
    <n v="-6.5488565488565353E-3"/>
  </r>
  <r>
    <x v="0"/>
    <x v="2"/>
    <s v="mcgrifr01"/>
    <s v="NL"/>
    <s v="ATL"/>
    <x v="0"/>
    <n v="3"/>
    <n v="528"/>
    <n v="148"/>
    <n v="27"/>
    <n v="1"/>
    <n v="27"/>
    <n v="85"/>
    <n v="93"/>
    <n v="99"/>
    <n v="65"/>
    <n v="6"/>
    <n v="5"/>
    <n v="6"/>
    <n v="0"/>
    <n v="0.28030303030303028"/>
    <n v="0.1875"/>
    <n v="0.14393939393939395"/>
    <n v="0.36092715231788081"/>
    <n v="0.48863636363636365"/>
    <n v="0.84956351595424451"/>
    <n v="0.20833333333333337"/>
    <n v="1.3303030303030261E-2"/>
    <n v="2.2927152317880783E-2"/>
    <n v="7.1636363636363665E-2"/>
    <n v="9.4563515954244504E-2"/>
    <n v="5.8333333333333376E-2"/>
  </r>
  <r>
    <x v="0"/>
    <x v="2"/>
    <s v="baergca01"/>
    <s v="AL"/>
    <s v="CLE"/>
    <x v="3"/>
    <n v="4"/>
    <n v="557"/>
    <n v="175"/>
    <n v="28"/>
    <n v="2"/>
    <n v="15"/>
    <n v="87"/>
    <n v="90"/>
    <n v="31"/>
    <n v="35"/>
    <n v="6"/>
    <n v="3"/>
    <n v="5"/>
    <n v="0"/>
    <n v="0.31418312387791741"/>
    <n v="5.565529622980251E-2"/>
    <n v="7.899461400359066E-2"/>
    <n v="0.35499999999999998"/>
    <n v="0.4524236983842011"/>
    <n v="0.80742369838420114"/>
    <n v="0.13824057450628369"/>
    <n v="4.7183123877917399E-2"/>
    <n v="1.699999999999996E-2"/>
    <n v="3.5423698384201119E-2"/>
    <n v="5.2423698384201134E-2"/>
    <n v="-1.1759425493716308E-2"/>
  </r>
  <r>
    <x v="0"/>
    <x v="2"/>
    <s v="dykstle01"/>
    <s v="NL"/>
    <s v="PHI"/>
    <x v="2"/>
    <n v="8"/>
    <n v="254"/>
    <n v="67"/>
    <n v="15"/>
    <n v="1"/>
    <n v="2"/>
    <n v="37"/>
    <n v="18"/>
    <n v="28"/>
    <n v="33"/>
    <n v="2"/>
    <n v="3"/>
    <n v="2"/>
    <n v="0"/>
    <n v="0.26377952755905509"/>
    <n v="0.11023622047244094"/>
    <n v="0.14960629921259844"/>
    <n v="0.35273972602739728"/>
    <n v="0.3543307086614173"/>
    <n v="0.70707043468881459"/>
    <n v="9.055118110236221E-2"/>
    <n v="-3.2204724409449215E-3"/>
    <n v="1.473972602739726E-2"/>
    <n v="-6.2669291338582678E-2"/>
    <n v="-4.7929565311185418E-2"/>
    <n v="-5.9448818897637784E-2"/>
  </r>
  <r>
    <x v="0"/>
    <x v="2"/>
    <s v="castivi02"/>
    <s v="NL"/>
    <s v="COL"/>
    <x v="7"/>
    <n v="5"/>
    <n v="527"/>
    <n v="163"/>
    <n v="34"/>
    <n v="2"/>
    <n v="32"/>
    <n v="82"/>
    <n v="90"/>
    <n v="87"/>
    <n v="30"/>
    <n v="2"/>
    <n v="4"/>
    <n v="6"/>
    <n v="4"/>
    <n v="0.30929791271347251"/>
    <n v="0.16508538899430741"/>
    <n v="6.8311195445920306E-2"/>
    <n v="0.34744268077601409"/>
    <n v="0.56356736242884253"/>
    <n v="0.91101004320485668"/>
    <n v="0.25426944971537002"/>
    <n v="4.2297912713472496E-2"/>
    <n v="9.4426807760140674E-3"/>
    <n v="0.14656736242884255"/>
    <n v="0.15601004320485667"/>
    <n v="0.10426944971537003"/>
  </r>
  <r>
    <x v="0"/>
    <x v="2"/>
    <s v="ripkeca01"/>
    <s v="AL"/>
    <s v="BAL"/>
    <x v="6"/>
    <n v="6"/>
    <n v="550"/>
    <n v="144"/>
    <n v="33"/>
    <n v="2"/>
    <n v="17"/>
    <n v="71"/>
    <n v="88"/>
    <n v="59"/>
    <n v="52"/>
    <n v="6"/>
    <n v="2"/>
    <n v="8"/>
    <n v="1"/>
    <n v="0.26181818181818184"/>
    <n v="0.10727272727272727"/>
    <n v="0.10909090909090909"/>
    <n v="0.3235294117647059"/>
    <n v="0.42181818181818181"/>
    <n v="0.74534759358288771"/>
    <n v="0.15999999999999998"/>
    <n v="-5.1818181818181763E-3"/>
    <n v="-1.4470588235294124E-2"/>
    <n v="4.8181818181818326E-3"/>
    <n v="-9.6524064171122914E-3"/>
    <n v="9.9999999999999811E-3"/>
  </r>
  <r>
    <x v="0"/>
    <x v="2"/>
    <s v="rodriiv01"/>
    <s v="AL"/>
    <s v="TEX"/>
    <x v="5"/>
    <n v="2"/>
    <n v="492"/>
    <n v="149"/>
    <n v="32"/>
    <n v="2"/>
    <n v="12"/>
    <n v="56"/>
    <n v="67"/>
    <n v="48"/>
    <n v="16"/>
    <n v="2"/>
    <n v="4"/>
    <n v="5"/>
    <n v="0"/>
    <n v="0.30284552845528456"/>
    <n v="9.7560975609756101E-2"/>
    <n v="4.4715447154471545E-2"/>
    <n v="0.32688588007736946"/>
    <n v="0.44918699186991867"/>
    <n v="0.77607287194728813"/>
    <n v="0.14634146341463411"/>
    <n v="3.5845528455284548E-2"/>
    <n v="-1.1114119922630561E-2"/>
    <n v="3.2186991869918691E-2"/>
    <n v="2.107287194728813E-2"/>
    <n v="-3.6585365853658847E-3"/>
  </r>
  <r>
    <x v="0"/>
    <x v="3"/>
    <s v="bondsba01"/>
    <s v="NL"/>
    <s v="SFN"/>
    <x v="1"/>
    <n v="7"/>
    <n v="517"/>
    <n v="159"/>
    <n v="27"/>
    <n v="3"/>
    <n v="42"/>
    <n v="122"/>
    <n v="129"/>
    <n v="76"/>
    <n v="151"/>
    <n v="30"/>
    <n v="1"/>
    <n v="6"/>
    <n v="0"/>
    <n v="0.30754352030947774"/>
    <n v="0.14700193423597679"/>
    <n v="0.3520309477756286"/>
    <n v="0.46074074074074073"/>
    <n v="0.61508704061895547"/>
    <n v="1.0758277813596961"/>
    <n v="0.30754352030947774"/>
    <n v="3.7543520309477718E-2"/>
    <n v="0.1207407407407407"/>
    <n v="0.18808704061895548"/>
    <n v="0.30882778135969613"/>
    <n v="0.15054352030947774"/>
  </r>
  <r>
    <x v="0"/>
    <x v="3"/>
    <s v="piazzmi01"/>
    <s v="NL"/>
    <s v="LAN"/>
    <x v="5"/>
    <n v="2"/>
    <n v="547"/>
    <n v="184"/>
    <n v="16"/>
    <n v="0"/>
    <n v="36"/>
    <n v="87"/>
    <n v="105"/>
    <n v="93"/>
    <n v="81"/>
    <n v="21"/>
    <n v="1"/>
    <n v="2"/>
    <n v="0"/>
    <n v="0.33638025594149906"/>
    <n v="0.17001828153564899"/>
    <n v="0.1882998171846435"/>
    <n v="0.42155309033280508"/>
    <n v="0.56307129798903111"/>
    <n v="0.98462438832183619"/>
    <n v="0.22669104204753204"/>
    <n v="6.6380255941499045E-2"/>
    <n v="8.1553090332805056E-2"/>
    <n v="0.13607129798903111"/>
    <n v="0.21762438832183617"/>
    <n v="6.9691042047532042E-2"/>
  </r>
  <r>
    <x v="0"/>
    <x v="3"/>
    <s v="vaughmo01"/>
    <s v="AL"/>
    <s v="BOS"/>
    <x v="0"/>
    <n v="3"/>
    <n v="635"/>
    <n v="207"/>
    <n v="29"/>
    <n v="1"/>
    <n v="44"/>
    <n v="118"/>
    <n v="143"/>
    <n v="154"/>
    <n v="95"/>
    <n v="19"/>
    <n v="14"/>
    <n v="8"/>
    <n v="0"/>
    <n v="0.32598425196850395"/>
    <n v="0.24251968503937008"/>
    <n v="0.2015748031496063"/>
    <n v="0.42021276595744683"/>
    <n v="0.58267716535433067"/>
    <n v="1.0028899313117776"/>
    <n v="0.25669291338582673"/>
    <n v="5.5984251968503929E-2"/>
    <n v="8.0212765957446808E-2"/>
    <n v="0.15567716535433068"/>
    <n v="0.2358899313117776"/>
    <n v="9.9692913385826726E-2"/>
  </r>
  <r>
    <x v="0"/>
    <x v="3"/>
    <s v="belleal01"/>
    <s v="AL"/>
    <s v="CLE"/>
    <x v="1"/>
    <n v="7"/>
    <n v="602"/>
    <n v="187"/>
    <n v="38"/>
    <n v="3"/>
    <n v="48"/>
    <n v="124"/>
    <n v="148"/>
    <n v="87"/>
    <n v="99"/>
    <n v="15"/>
    <n v="7"/>
    <n v="7"/>
    <n v="0"/>
    <n v="0.31063122923588038"/>
    <n v="0.14451827242524917"/>
    <n v="0.2009966777408638"/>
    <n v="0.4097902097902098"/>
    <n v="0.62292358803986714"/>
    <n v="1.0327137978300769"/>
    <n v="0.31229235880398676"/>
    <n v="4.0631229235880362E-2"/>
    <n v="6.9790209790209778E-2"/>
    <n v="0.19592358803986715"/>
    <n v="0.26571379783007687"/>
    <n v="0.15529235880398676"/>
  </r>
  <r>
    <x v="0"/>
    <x v="3"/>
    <s v="alomaro01"/>
    <s v="AL"/>
    <s v="BAL"/>
    <x v="3"/>
    <n v="4"/>
    <n v="588"/>
    <n v="193"/>
    <n v="43"/>
    <n v="4"/>
    <n v="22"/>
    <n v="132"/>
    <n v="94"/>
    <n v="65"/>
    <n v="90"/>
    <n v="10"/>
    <n v="1"/>
    <n v="12"/>
    <n v="8"/>
    <n v="0.32823129251700678"/>
    <n v="0.11054421768707483"/>
    <n v="0.17176870748299319"/>
    <n v="0.4109985528219971"/>
    <n v="0.52721088435374153"/>
    <n v="0.93820943717573857"/>
    <n v="0.19897959183673475"/>
    <n v="5.8231292517006761E-2"/>
    <n v="7.0998552821997074E-2"/>
    <n v="0.10021088435374154"/>
    <n v="0.17120943717573855"/>
    <n v="4.1979591836734748E-2"/>
  </r>
  <r>
    <x v="0"/>
    <x v="3"/>
    <s v="larkiba01"/>
    <s v="NL"/>
    <s v="CIN"/>
    <x v="6"/>
    <n v="6"/>
    <n v="517"/>
    <n v="154"/>
    <n v="32"/>
    <n v="4"/>
    <n v="33"/>
    <n v="117"/>
    <n v="89"/>
    <n v="52"/>
    <n v="96"/>
    <n v="3"/>
    <n v="7"/>
    <n v="7"/>
    <n v="0"/>
    <n v="0.2978723404255319"/>
    <n v="0.10058027079303675"/>
    <n v="0.20502901353965183"/>
    <n v="0.4098883572567783"/>
    <n v="0.5667311411992263"/>
    <n v="0.9766194984560046"/>
    <n v="0.2688588007736944"/>
    <n v="2.7872340425531883E-2"/>
    <n v="6.9888357256778277E-2"/>
    <n v="0.13973114119922631"/>
    <n v="0.20961949845600458"/>
    <n v="0.11185880077369439"/>
  </r>
  <r>
    <x v="0"/>
    <x v="3"/>
    <s v="anderbr01"/>
    <s v="AL"/>
    <s v="BAL"/>
    <x v="8"/>
    <n v="9"/>
    <n v="579"/>
    <n v="172"/>
    <n v="37"/>
    <n v="5"/>
    <n v="50"/>
    <n v="117"/>
    <n v="110"/>
    <n v="106"/>
    <n v="76"/>
    <n v="1"/>
    <n v="22"/>
    <n v="4"/>
    <n v="6"/>
    <n v="0.29706390328151988"/>
    <n v="0.18307426597582038"/>
    <n v="0.17098445595854922"/>
    <n v="0.3964757709251101"/>
    <n v="0.63730569948186533"/>
    <n v="1.0337814704069754"/>
    <n v="0.34024179620034545"/>
    <n v="2.7063903281519863E-2"/>
    <n v="5.647577092511008E-2"/>
    <n v="0.21030569948186534"/>
    <n v="0.26678147040697542"/>
    <n v="0.18324179620034545"/>
  </r>
  <r>
    <x v="0"/>
    <x v="3"/>
    <s v="boggswa01"/>
    <s v="AL"/>
    <s v="NYA"/>
    <x v="7"/>
    <n v="5"/>
    <n v="501"/>
    <n v="156"/>
    <n v="29"/>
    <n v="2"/>
    <n v="2"/>
    <n v="80"/>
    <n v="41"/>
    <n v="32"/>
    <n v="67"/>
    <n v="7"/>
    <n v="0"/>
    <n v="5"/>
    <n v="1"/>
    <n v="0.31137724550898205"/>
    <n v="6.3872255489021951E-2"/>
    <n v="0.14770459081836326"/>
    <n v="0.38917975567190227"/>
    <n v="0.38922155688622756"/>
    <n v="0.77840131255812983"/>
    <n v="7.7844311377245512E-2"/>
    <n v="4.137724550898203E-2"/>
    <n v="4.9179755671902248E-2"/>
    <n v="-3.7778443113772431E-2"/>
    <n v="1.1401312558129817E-2"/>
    <n v="-7.9155688622754489E-2"/>
  </r>
  <r>
    <x v="0"/>
    <x v="3"/>
    <s v="jonesch06"/>
    <s v="NL"/>
    <s v="ATL"/>
    <x v="7"/>
    <n v="5"/>
    <n v="598"/>
    <n v="185"/>
    <n v="32"/>
    <n v="5"/>
    <n v="30"/>
    <n v="114"/>
    <n v="110"/>
    <n v="88"/>
    <n v="87"/>
    <n v="0"/>
    <n v="0"/>
    <n v="7"/>
    <n v="1"/>
    <n v="0.30936454849498329"/>
    <n v="0.14715719063545152"/>
    <n v="0.14548494983277591"/>
    <n v="0.39306358381502893"/>
    <n v="0.53010033444816052"/>
    <n v="0.92316391826318944"/>
    <n v="0.22073578595317722"/>
    <n v="3.9364548494983276E-2"/>
    <n v="5.3063583815028903E-2"/>
    <n v="0.10310033444816052"/>
    <n v="0.15616391826318943"/>
    <n v="6.3735785953177221E-2"/>
  </r>
  <r>
    <x v="0"/>
    <x v="3"/>
    <s v="biggicr01"/>
    <s v="NL"/>
    <s v="HOU"/>
    <x v="3"/>
    <n v="4"/>
    <n v="605"/>
    <n v="174"/>
    <n v="24"/>
    <n v="4"/>
    <n v="15"/>
    <n v="113"/>
    <n v="75"/>
    <n v="72"/>
    <n v="75"/>
    <n v="0"/>
    <n v="27"/>
    <n v="8"/>
    <n v="8"/>
    <n v="0.28760330578512394"/>
    <n v="0.11900826446280992"/>
    <n v="0.16859504132231404"/>
    <n v="0.38601398601398601"/>
    <n v="0.41487603305785126"/>
    <n v="0.80089001907183732"/>
    <n v="0.12727272727272732"/>
    <n v="1.7603305785123924E-2"/>
    <n v="4.6013986013985986E-2"/>
    <n v="-1.2123966942148734E-2"/>
    <n v="3.3890019071837307E-2"/>
    <n v="-2.9727272727272686E-2"/>
  </r>
  <r>
    <x v="0"/>
    <x v="3"/>
    <s v="mcgrifr01"/>
    <s v="NL"/>
    <s v="ATL"/>
    <x v="0"/>
    <n v="3"/>
    <n v="617"/>
    <n v="182"/>
    <n v="37"/>
    <n v="1"/>
    <n v="28"/>
    <n v="81"/>
    <n v="107"/>
    <n v="116"/>
    <n v="68"/>
    <n v="12"/>
    <n v="2"/>
    <n v="4"/>
    <n v="0"/>
    <n v="0.29497568881685576"/>
    <n v="0.18800648298217179"/>
    <n v="0.13290113452188007"/>
    <n v="0.36468885672937773"/>
    <n v="0.49432739059967584"/>
    <n v="0.85901624732905357"/>
    <n v="0.19935170178282008"/>
    <n v="2.4975688816855746E-2"/>
    <n v="2.4688856729377706E-2"/>
    <n v="6.7327390599675851E-2"/>
    <n v="9.2016247329053558E-2"/>
    <n v="4.2351701782820078E-2"/>
  </r>
  <r>
    <x v="0"/>
    <x v="3"/>
    <s v="loftoke01"/>
    <s v="AL"/>
    <s v="CLE"/>
    <x v="2"/>
    <n v="8"/>
    <n v="662"/>
    <n v="210"/>
    <n v="35"/>
    <n v="4"/>
    <n v="14"/>
    <n v="132"/>
    <n v="67"/>
    <n v="82"/>
    <n v="61"/>
    <n v="3"/>
    <n v="0"/>
    <n v="6"/>
    <n v="7"/>
    <n v="0.31722054380664655"/>
    <n v="0.12386706948640483"/>
    <n v="9.6676737160120846E-2"/>
    <n v="0.37174211248285322"/>
    <n v="0.44561933534743203"/>
    <n v="0.8173614478302853"/>
    <n v="0.12839879154078548"/>
    <n v="4.7220543806646531E-2"/>
    <n v="3.1742112482853191E-2"/>
    <n v="1.8619335347432042E-2"/>
    <n v="5.0361447830285289E-2"/>
    <n v="-2.8601208459214517E-2"/>
  </r>
  <r>
    <x v="0"/>
    <x v="3"/>
    <s v="johnsla03"/>
    <s v="NL"/>
    <s v="NYN"/>
    <x v="2"/>
    <n v="8"/>
    <n v="682"/>
    <n v="227"/>
    <n v="31"/>
    <n v="21"/>
    <n v="9"/>
    <n v="117"/>
    <n v="69"/>
    <n v="40"/>
    <n v="33"/>
    <n v="8"/>
    <n v="1"/>
    <n v="5"/>
    <n v="3"/>
    <n v="0.33284457478005863"/>
    <n v="5.865102639296188E-2"/>
    <n v="6.1583577712609971E-2"/>
    <n v="0.36199722607489598"/>
    <n v="0.47947214076246336"/>
    <n v="0.8414693668373594"/>
    <n v="0.14662756598240473"/>
    <n v="6.2844574780058615E-2"/>
    <n v="2.1997226074895959E-2"/>
    <n v="5.2472140762463371E-2"/>
    <n v="7.4469366837359385E-2"/>
    <n v="-1.0372434017595272E-2"/>
  </r>
  <r>
    <x v="0"/>
    <x v="3"/>
    <s v="bicheda01"/>
    <s v="NL"/>
    <s v="COL"/>
    <x v="8"/>
    <n v="9"/>
    <n v="633"/>
    <n v="198"/>
    <n v="39"/>
    <n v="3"/>
    <n v="31"/>
    <n v="114"/>
    <n v="141"/>
    <n v="105"/>
    <n v="45"/>
    <n v="4"/>
    <n v="6"/>
    <n v="10"/>
    <n v="0"/>
    <n v="0.3127962085308057"/>
    <n v="0.16587677725118483"/>
    <n v="8.6887835703001584E-2"/>
    <n v="0.35878962536023057"/>
    <n v="0.53080568720379151"/>
    <n v="0.88959531256402213"/>
    <n v="0.21800947867298581"/>
    <n v="4.2796208530805679E-2"/>
    <n v="1.8789625360230544E-2"/>
    <n v="0.10380568720379152"/>
    <n v="0.12259531256402212"/>
    <n v="6.1009478672985812E-2"/>
  </r>
  <r>
    <x v="0"/>
    <x v="3"/>
    <s v="rodriiv01"/>
    <s v="AL"/>
    <s v="TEX"/>
    <x v="5"/>
    <n v="2"/>
    <n v="639"/>
    <n v="192"/>
    <n v="47"/>
    <n v="3"/>
    <n v="19"/>
    <n v="116"/>
    <n v="86"/>
    <n v="55"/>
    <n v="38"/>
    <n v="7"/>
    <n v="4"/>
    <n v="4"/>
    <n v="0"/>
    <n v="0.30046948356807512"/>
    <n v="8.6071987480438178E-2"/>
    <n v="7.6682316118935834E-2"/>
    <n v="0.34160583941605838"/>
    <n v="0.47261345852895148"/>
    <n v="0.8142192979450098"/>
    <n v="0.17214397496087636"/>
    <n v="3.0469483568075106E-2"/>
    <n v="1.6058394160583522E-3"/>
    <n v="4.5613458528951489E-2"/>
    <n v="4.7219297945009786E-2"/>
    <n v="1.5143974960876355E-2"/>
  </r>
  <r>
    <x v="0"/>
    <x v="3"/>
    <s v="ripkeca01"/>
    <s v="AL"/>
    <s v="BAL"/>
    <x v="6"/>
    <n v="6"/>
    <n v="640"/>
    <n v="178"/>
    <n v="40"/>
    <n v="1"/>
    <n v="26"/>
    <n v="94"/>
    <n v="102"/>
    <n v="78"/>
    <n v="59"/>
    <n v="3"/>
    <n v="4"/>
    <n v="4"/>
    <n v="0"/>
    <n v="0.27812500000000001"/>
    <n v="0.121875"/>
    <n v="0.10312499999999999"/>
    <n v="0.34087694483734088"/>
    <n v="0.46562500000000001"/>
    <n v="0.80650194483734094"/>
    <n v="0.1875"/>
    <n v="8.1249999999999933E-3"/>
    <n v="8.7694483734085393E-4"/>
    <n v="3.862500000000002E-2"/>
    <n v="3.950194483734093E-2"/>
    <n v="3.0499999999999999E-2"/>
  </r>
  <r>
    <x v="0"/>
    <x v="4"/>
    <s v="bondsba01"/>
    <s v="NL"/>
    <s v="SFN"/>
    <x v="1"/>
    <n v="7"/>
    <n v="532"/>
    <n v="155"/>
    <n v="26"/>
    <n v="5"/>
    <n v="40"/>
    <n v="123"/>
    <n v="101"/>
    <n v="87"/>
    <n v="145"/>
    <n v="34"/>
    <n v="8"/>
    <n v="5"/>
    <n v="0"/>
    <n v="0.29135338345864664"/>
    <n v="0.16353383458646617"/>
    <n v="0.35150375939849626"/>
    <n v="0.44637681159420289"/>
    <n v="0.58458646616541354"/>
    <n v="1.0309632777596165"/>
    <n v="0.2932330827067669"/>
    <n v="2.4353383458646627E-2"/>
    <n v="0.10937681159420287"/>
    <n v="0.16558646616541356"/>
    <n v="0.27496327775961649"/>
    <n v="0.1412330827067669"/>
  </r>
  <r>
    <x v="0"/>
    <x v="4"/>
    <s v="martied01"/>
    <s v="AL"/>
    <s v="SEA"/>
    <x v="4"/>
    <n v="10"/>
    <n v="542"/>
    <n v="179"/>
    <n v="35"/>
    <n v="1"/>
    <n v="28"/>
    <n v="104"/>
    <n v="108"/>
    <n v="86"/>
    <n v="119"/>
    <n v="11"/>
    <n v="11"/>
    <n v="6"/>
    <n v="0"/>
    <n v="0.33025830258302585"/>
    <n v="0.15867158671586715"/>
    <n v="0.26014760147601473"/>
    <n v="0.45575221238938052"/>
    <n v="0.55350553505535061"/>
    <n v="1.0092577474447311"/>
    <n v="0.22324723247232475"/>
    <n v="6.3258302583025838E-2"/>
    <n v="0.1187522123893805"/>
    <n v="0.13450553505535062"/>
    <n v="0.25325774744473106"/>
    <n v="7.1247232472324756E-2"/>
  </r>
  <r>
    <x v="0"/>
    <x v="4"/>
    <s v="walkela01"/>
    <s v="NL"/>
    <s v="COL"/>
    <x v="8"/>
    <n v="9"/>
    <n v="568"/>
    <n v="208"/>
    <n v="46"/>
    <n v="4"/>
    <n v="49"/>
    <n v="143"/>
    <n v="130"/>
    <n v="90"/>
    <n v="78"/>
    <n v="14"/>
    <n v="14"/>
    <n v="4"/>
    <n v="0"/>
    <n v="0.36619718309859156"/>
    <n v="0.15845070422535212"/>
    <n v="0.18661971830985916"/>
    <n v="0.45180722891566266"/>
    <n v="0.72007042253521125"/>
    <n v="1.171877651450874"/>
    <n v="0.35387323943661969"/>
    <n v="9.9197183098591546E-2"/>
    <n v="0.11480722891566264"/>
    <n v="0.30107042253521127"/>
    <n v="0.41587765145087396"/>
    <n v="0.20187323943661969"/>
  </r>
  <r>
    <x v="0"/>
    <x v="4"/>
    <s v="bagweje01"/>
    <s v="NL"/>
    <s v="HOU"/>
    <x v="0"/>
    <n v="3"/>
    <n v="566"/>
    <n v="162"/>
    <n v="40"/>
    <n v="2"/>
    <n v="43"/>
    <n v="109"/>
    <n v="135"/>
    <n v="122"/>
    <n v="127"/>
    <n v="27"/>
    <n v="16"/>
    <n v="8"/>
    <n v="0"/>
    <n v="0.28621908127208479"/>
    <n v="0.21554770318021202"/>
    <n v="0.30035335689045939"/>
    <n v="0.42538354253835425"/>
    <n v="0.59187279151943462"/>
    <n v="1.0172563340577889"/>
    <n v="0.30565371024734983"/>
    <n v="1.921908127208477E-2"/>
    <n v="8.8383542538354232E-2"/>
    <n v="0.17287279151943463"/>
    <n v="0.26125633405778892"/>
    <n v="0.15365371024734983"/>
  </r>
  <r>
    <x v="0"/>
    <x v="4"/>
    <s v="piazzmi01"/>
    <s v="NL"/>
    <s v="LAN"/>
    <x v="5"/>
    <n v="2"/>
    <n v="556"/>
    <n v="201"/>
    <n v="32"/>
    <n v="1"/>
    <n v="40"/>
    <n v="104"/>
    <n v="124"/>
    <n v="77"/>
    <n v="69"/>
    <n v="11"/>
    <n v="3"/>
    <n v="5"/>
    <n v="0"/>
    <n v="0.36151079136690645"/>
    <n v="0.13848920863309352"/>
    <n v="0.14928057553956833"/>
    <n v="0.43127962085308058"/>
    <n v="0.63848920863309355"/>
    <n v="1.0697688294861742"/>
    <n v="0.2769784172661871"/>
    <n v="9.4510791366906433E-2"/>
    <n v="9.4279620853080559E-2"/>
    <n v="0.21948920863309357"/>
    <n v="0.31376882948617424"/>
    <n v="0.12497841726618711"/>
  </r>
  <r>
    <x v="0"/>
    <x v="4"/>
    <s v="lankfra01"/>
    <s v="NL"/>
    <s v="SLN"/>
    <x v="2"/>
    <n v="8"/>
    <n v="465"/>
    <n v="137"/>
    <n v="36"/>
    <n v="3"/>
    <n v="31"/>
    <n v="94"/>
    <n v="98"/>
    <n v="125"/>
    <n v="95"/>
    <n v="10"/>
    <n v="0"/>
    <n v="5"/>
    <n v="0"/>
    <n v="0.29462365591397849"/>
    <n v="0.26881720430107525"/>
    <n v="0.22580645161290322"/>
    <n v="0.41061946902654867"/>
    <n v="0.5849462365591398"/>
    <n v="0.99556570558568847"/>
    <n v="0.29032258064516131"/>
    <n v="2.7623655913978473E-2"/>
    <n v="7.3619469026548645E-2"/>
    <n v="0.16594623655913981"/>
    <n v="0.23956570558568846"/>
    <n v="0.13832258064516131"/>
  </r>
  <r>
    <x v="0"/>
    <x v="4"/>
    <s v="biggicr01"/>
    <s v="NL"/>
    <s v="HOU"/>
    <x v="3"/>
    <n v="4"/>
    <n v="619"/>
    <n v="191"/>
    <n v="37"/>
    <n v="8"/>
    <n v="22"/>
    <n v="146"/>
    <n v="81"/>
    <n v="107"/>
    <n v="84"/>
    <n v="6"/>
    <n v="34"/>
    <n v="7"/>
    <n v="0"/>
    <n v="0.30856219709208399"/>
    <n v="0.172859450726979"/>
    <n v="0.20032310177705978"/>
    <n v="0.41532258064516131"/>
    <n v="0.50080775444264947"/>
    <n v="0.91613033508781072"/>
    <n v="0.19224555735056548"/>
    <n v="4.1562197092083975E-2"/>
    <n v="7.8322580645161288E-2"/>
    <n v="8.1807754442649483E-2"/>
    <n v="0.16013033508781072"/>
    <n v="4.0245557350565481E-2"/>
  </r>
  <r>
    <x v="0"/>
    <x v="4"/>
    <s v="gwynnto01"/>
    <s v="NL"/>
    <s v="SDN"/>
    <x v="4"/>
    <n v="10"/>
    <n v="592"/>
    <n v="220"/>
    <n v="49"/>
    <n v="2"/>
    <n v="17"/>
    <n v="97"/>
    <n v="119"/>
    <n v="28"/>
    <n v="43"/>
    <n v="12"/>
    <n v="3"/>
    <n v="12"/>
    <n v="1"/>
    <n v="0.3716216216216216"/>
    <n v="4.72972972972973E-2"/>
    <n v="9.7972972972972971E-2"/>
    <n v="0.40923076923076923"/>
    <n v="0.54729729729729726"/>
    <n v="0.95652806652806643"/>
    <n v="0.17567567567567566"/>
    <n v="0.10462162162162159"/>
    <n v="7.223076923076921E-2"/>
    <n v="0.12829729729729727"/>
    <n v="0.20052806652806643"/>
    <n v="2.3675675675675661E-2"/>
  </r>
  <r>
    <x v="0"/>
    <x v="4"/>
    <s v="blausje01"/>
    <s v="NL"/>
    <s v="ATL"/>
    <x v="6"/>
    <n v="6"/>
    <n v="519"/>
    <n v="160"/>
    <n v="31"/>
    <n v="4"/>
    <n v="17"/>
    <n v="90"/>
    <n v="70"/>
    <n v="101"/>
    <n v="70"/>
    <n v="6"/>
    <n v="20"/>
    <n v="9"/>
    <n v="5"/>
    <n v="0.30828516377649323"/>
    <n v="0.19460500963391136"/>
    <n v="0.18497109826589594"/>
    <n v="0.4045307443365696"/>
    <n v="0.48169556840077071"/>
    <n v="0.88622631273734032"/>
    <n v="0.17341040462427748"/>
    <n v="4.1285163776493217E-2"/>
    <n v="6.7530744336569581E-2"/>
    <n v="6.2695568400770729E-2"/>
    <n v="0.13022631273734031"/>
    <n v="2.1410404624277485E-2"/>
  </r>
  <r>
    <x v="0"/>
    <x v="4"/>
    <s v="oneilpa01"/>
    <s v="AL"/>
    <s v="NYA"/>
    <x v="8"/>
    <n v="9"/>
    <n v="553"/>
    <n v="179"/>
    <n v="42"/>
    <n v="0"/>
    <n v="21"/>
    <n v="89"/>
    <n v="117"/>
    <n v="92"/>
    <n v="75"/>
    <n v="8"/>
    <n v="0"/>
    <n v="9"/>
    <n v="0"/>
    <n v="0.32368896925858953"/>
    <n v="0.16636528028933092"/>
    <n v="0.15009041591320071"/>
    <n v="0.39874411302982732"/>
    <n v="0.51356238698010848"/>
    <n v="0.91230650000993574"/>
    <n v="0.18987341772151894"/>
    <n v="5.6688969258589517E-2"/>
    <n v="6.1744113029827297E-2"/>
    <n v="9.4562386980108493E-2"/>
    <n v="0.15630650000993573"/>
    <n v="3.7873417721518948E-2"/>
  </r>
  <r>
    <x v="0"/>
    <x v="4"/>
    <s v="griffke02"/>
    <s v="AL"/>
    <s v="SEA"/>
    <x v="2"/>
    <n v="8"/>
    <n v="608"/>
    <n v="185"/>
    <n v="34"/>
    <n v="3"/>
    <n v="56"/>
    <n v="125"/>
    <n v="147"/>
    <n v="121"/>
    <n v="76"/>
    <n v="23"/>
    <n v="8"/>
    <n v="12"/>
    <n v="0"/>
    <n v="0.30427631578947367"/>
    <n v="0.19901315789473684"/>
    <n v="0.17598684210526316"/>
    <n v="0.38210227272727271"/>
    <n v="0.64638157894736847"/>
    <n v="1.0284838516746411"/>
    <n v="0.3421052631578948"/>
    <n v="3.7276315789473657E-2"/>
    <n v="4.5102272727272685E-2"/>
    <n v="0.22738157894736849"/>
    <n v="0.27248385167464106"/>
    <n v="0.1901052631578948"/>
  </r>
  <r>
    <x v="0"/>
    <x v="4"/>
    <s v="anderbr01"/>
    <s v="AL"/>
    <s v="BAL"/>
    <x v="1"/>
    <n v="7"/>
    <n v="590"/>
    <n v="170"/>
    <n v="39"/>
    <n v="7"/>
    <n v="18"/>
    <n v="97"/>
    <n v="73"/>
    <n v="105"/>
    <n v="84"/>
    <n v="6"/>
    <n v="19"/>
    <n v="1"/>
    <n v="2"/>
    <n v="0.28813559322033899"/>
    <n v="0.17796610169491525"/>
    <n v="0.18474576271186441"/>
    <n v="0.39337175792507206"/>
    <n v="0.46949152542372879"/>
    <n v="0.8628632833488008"/>
    <n v="0.1813559322033898"/>
    <n v="2.1135593220338977E-2"/>
    <n v="5.6371757925072041E-2"/>
    <n v="5.0491525423728811E-2"/>
    <n v="0.1068632833488008"/>
    <n v="2.9355932203389806E-2"/>
  </r>
  <r>
    <x v="0"/>
    <x v="4"/>
    <s v="caminke01"/>
    <s v="NL"/>
    <s v="SDN"/>
    <x v="7"/>
    <n v="5"/>
    <n v="486"/>
    <n v="141"/>
    <n v="28"/>
    <n v="0"/>
    <n v="26"/>
    <n v="92"/>
    <n v="90"/>
    <n v="118"/>
    <n v="80"/>
    <n v="9"/>
    <n v="3"/>
    <n v="7"/>
    <n v="0"/>
    <n v="0.29012345679012347"/>
    <n v="0.24279835390946503"/>
    <n v="0.18930041152263374"/>
    <n v="0.3888888888888889"/>
    <n v="0.50823045267489708"/>
    <n v="0.89711934156378592"/>
    <n v="0.21810699588477361"/>
    <n v="2.3123456790123453E-2"/>
    <n v="5.1888888888888873E-2"/>
    <n v="8.9230452674897098E-2"/>
    <n v="0.14111934156378592"/>
    <n v="6.6106995884773617E-2"/>
  </r>
  <r>
    <x v="0"/>
    <x v="4"/>
    <s v="alomaro01"/>
    <s v="AL"/>
    <s v="BAL"/>
    <x v="3"/>
    <n v="4"/>
    <n v="412"/>
    <n v="137"/>
    <n v="23"/>
    <n v="2"/>
    <n v="14"/>
    <n v="64"/>
    <n v="60"/>
    <n v="43"/>
    <n v="40"/>
    <n v="2"/>
    <n v="3"/>
    <n v="7"/>
    <n v="7"/>
    <n v="0.33252427184466021"/>
    <n v="0.10436893203883495"/>
    <n v="0.10922330097087378"/>
    <n v="0.38961038961038963"/>
    <n v="0.5"/>
    <n v="0.88961038961038963"/>
    <n v="0.16747572815533979"/>
    <n v="6.5524271844660198E-2"/>
    <n v="5.2610389610389607E-2"/>
    <n v="8.1000000000000016E-2"/>
    <n v="0.13361038961038962"/>
    <n v="1.5475728155339791E-2"/>
  </r>
  <r>
    <x v="0"/>
    <x v="4"/>
    <s v="martiti02"/>
    <s v="AL"/>
    <s v="NYA"/>
    <x v="0"/>
    <n v="3"/>
    <n v="594"/>
    <n v="176"/>
    <n v="31"/>
    <n v="2"/>
    <n v="44"/>
    <n v="96"/>
    <n v="141"/>
    <n v="75"/>
    <n v="75"/>
    <n v="14"/>
    <n v="3"/>
    <n v="13"/>
    <n v="0"/>
    <n v="0.29629629629629628"/>
    <n v="0.12626262626262627"/>
    <n v="0.15488215488215487"/>
    <n v="0.3708029197080292"/>
    <n v="0.57744107744107742"/>
    <n v="0.94824399714910657"/>
    <n v="0.28114478114478114"/>
    <n v="2.9296296296296265E-2"/>
    <n v="3.3802919708029178E-2"/>
    <n v="0.15844107744107744"/>
    <n v="0.19224399714910656"/>
    <n v="0.12914478114478115"/>
  </r>
  <r>
    <x v="0"/>
    <x v="4"/>
    <s v="rodriiv01"/>
    <s v="AL"/>
    <s v="TEX"/>
    <x v="5"/>
    <n v="2"/>
    <n v="597"/>
    <n v="187"/>
    <n v="34"/>
    <n v="4"/>
    <n v="20"/>
    <n v="98"/>
    <n v="77"/>
    <n v="89"/>
    <n v="38"/>
    <n v="7"/>
    <n v="8"/>
    <n v="4"/>
    <n v="1"/>
    <n v="0.31323283082077052"/>
    <n v="0.1490787269681742"/>
    <n v="8.8777219430485763E-2"/>
    <n v="0.36012364760432769"/>
    <n v="0.48408710217755446"/>
    <n v="0.84421074978188215"/>
    <n v="0.17085427135678394"/>
    <n v="4.623283082077051E-2"/>
    <n v="2.3123647604327668E-2"/>
    <n v="6.5087102177554479E-2"/>
    <n v="8.8210749781882147E-2"/>
    <n v="1.8854271356783942E-2"/>
  </r>
  <r>
    <x v="0"/>
    <x v="4"/>
    <s v="rodrial01"/>
    <s v="AL"/>
    <s v="SEA"/>
    <x v="6"/>
    <n v="6"/>
    <n v="587"/>
    <n v="176"/>
    <n v="40"/>
    <n v="3"/>
    <n v="23"/>
    <n v="100"/>
    <n v="84"/>
    <n v="99"/>
    <n v="41"/>
    <n v="1"/>
    <n v="5"/>
    <n v="1"/>
    <n v="4"/>
    <n v="0.29982964224872233"/>
    <n v="0.1686541737649063"/>
    <n v="8.006814310051108E-2"/>
    <n v="0.35015772870662459"/>
    <n v="0.49574105621805792"/>
    <n v="0.84589878492468251"/>
    <n v="0.19591141396933559"/>
    <n v="3.2829642248722313E-2"/>
    <n v="1.3157728706624572E-2"/>
    <n v="7.6741056218057935E-2"/>
    <n v="8.9898784924682507E-2"/>
    <n v="4.3911413969335594E-2"/>
  </r>
  <r>
    <x v="0"/>
    <x v="4"/>
    <s v="ripkeca01"/>
    <s v="AL"/>
    <s v="BAL"/>
    <x v="7"/>
    <n v="5"/>
    <n v="615"/>
    <n v="166"/>
    <n v="30"/>
    <n v="0"/>
    <n v="17"/>
    <n v="79"/>
    <n v="84"/>
    <n v="73"/>
    <n v="56"/>
    <n v="3"/>
    <n v="5"/>
    <n v="10"/>
    <n v="0"/>
    <n v="0.26991869918699185"/>
    <n v="0.11869918699186992"/>
    <n v="0.1040650406504065"/>
    <n v="0.33090379008746357"/>
    <n v="0.40162601626016259"/>
    <n v="0.73252980634762621"/>
    <n v="0.13170731707317074"/>
    <n v="2.9186991869918355E-3"/>
    <n v="-6.0962099125364544E-3"/>
    <n v="-1.7373983739837395E-2"/>
    <n v="-2.3470193652373794E-2"/>
    <n v="-2.0292682926829259E-2"/>
  </r>
  <r>
    <x v="0"/>
    <x v="5"/>
    <s v="mcgwima01"/>
    <s v="NL"/>
    <s v="SLN"/>
    <x v="0"/>
    <n v="3"/>
    <n v="509"/>
    <n v="152"/>
    <n v="21"/>
    <n v="0"/>
    <n v="70"/>
    <n v="130"/>
    <n v="147"/>
    <n v="155"/>
    <n v="162"/>
    <n v="28"/>
    <n v="6"/>
    <n v="4"/>
    <n v="0"/>
    <n v="0.29862475442043224"/>
    <n v="0.30451866404715128"/>
    <n v="0.3850687622789784"/>
    <n v="0.4698972099853157"/>
    <n v="0.75245579567779963"/>
    <n v="1.2223530056631153"/>
    <n v="0.4538310412573674"/>
    <n v="3.2624754420432223E-2"/>
    <n v="0.13489720998531568"/>
    <n v="0.33245579567779965"/>
    <n v="0.46735300566311533"/>
    <n v="0.29983104125736737"/>
  </r>
  <r>
    <x v="0"/>
    <x v="5"/>
    <s v="bondsba01"/>
    <s v="NL"/>
    <s v="SFN"/>
    <x v="1"/>
    <n v="7"/>
    <n v="552"/>
    <n v="167"/>
    <n v="44"/>
    <n v="7"/>
    <n v="37"/>
    <n v="120"/>
    <n v="122"/>
    <n v="92"/>
    <n v="130"/>
    <n v="29"/>
    <n v="8"/>
    <n v="6"/>
    <n v="1"/>
    <n v="0.30253623188405798"/>
    <n v="0.16666666666666666"/>
    <n v="0.30253623188405798"/>
    <n v="0.43821839080459768"/>
    <n v="0.60869565217391308"/>
    <n v="1.0469140429785107"/>
    <n v="0.3061594202898551"/>
    <n v="3.6536231884057968E-2"/>
    <n v="0.10321839080459766"/>
    <n v="0.1886956521739131"/>
    <n v="0.29191404297851065"/>
    <n v="0.1521594202898551"/>
  </r>
  <r>
    <x v="0"/>
    <x v="5"/>
    <s v="walkela01"/>
    <s v="NL"/>
    <s v="COL"/>
    <x v="2"/>
    <n v="8"/>
    <n v="454"/>
    <n v="165"/>
    <n v="46"/>
    <n v="3"/>
    <n v="23"/>
    <n v="113"/>
    <n v="67"/>
    <n v="61"/>
    <n v="64"/>
    <n v="2"/>
    <n v="4"/>
    <n v="2"/>
    <n v="0"/>
    <n v="0.36343612334801761"/>
    <n v="0.1343612334801762"/>
    <n v="0.15418502202643172"/>
    <n v="0.44465648854961831"/>
    <n v="0.62995594713656389"/>
    <n v="1.0746124356861821"/>
    <n v="0.26651982378854627"/>
    <n v="9.74361233480176E-2"/>
    <n v="0.10965648854961829"/>
    <n v="0.2099559471365639"/>
    <n v="0.31961243568618214"/>
    <n v="0.11251982378854627"/>
  </r>
  <r>
    <x v="0"/>
    <x v="5"/>
    <s v="piazzmi01"/>
    <s v="NL"/>
    <s v="NYN"/>
    <x v="5"/>
    <n v="2"/>
    <n v="394"/>
    <n v="137"/>
    <n v="33"/>
    <n v="0"/>
    <n v="23"/>
    <n v="67"/>
    <n v="76"/>
    <n v="53"/>
    <n v="47"/>
    <n v="10"/>
    <n v="2"/>
    <n v="3"/>
    <n v="0"/>
    <n v="0.34771573604060912"/>
    <n v="0.13451776649746192"/>
    <n v="0.14974619289340102"/>
    <n v="0.4170403587443946"/>
    <n v="0.60659898477157359"/>
    <n v="1.0236393435159683"/>
    <n v="0.25888324873096447"/>
    <n v="8.171573604060911E-2"/>
    <n v="8.2040358744394581E-2"/>
    <n v="0.18659898477157361"/>
    <n v="0.2686393435159683"/>
    <n v="0.10488324873096447"/>
  </r>
  <r>
    <x v="0"/>
    <x v="5"/>
    <s v="thomeji01"/>
    <s v="AL"/>
    <s v="CLE"/>
    <x v="0"/>
    <n v="3"/>
    <n v="440"/>
    <n v="129"/>
    <n v="34"/>
    <n v="2"/>
    <n v="30"/>
    <n v="89"/>
    <n v="85"/>
    <n v="141"/>
    <n v="89"/>
    <n v="8"/>
    <n v="4"/>
    <n v="4"/>
    <n v="0"/>
    <n v="0.29318181818181815"/>
    <n v="0.32045454545454544"/>
    <n v="0.22954545454545455"/>
    <n v="0.41340782122905029"/>
    <n v="0.58409090909090911"/>
    <n v="0.99749873031995939"/>
    <n v="0.29090909090909095"/>
    <n v="2.718181818181814E-2"/>
    <n v="7.8407821229050267E-2"/>
    <n v="0.16409090909090912"/>
    <n v="0.24249873031995939"/>
    <n v="0.13690909090909095"/>
  </r>
  <r>
    <x v="0"/>
    <x v="5"/>
    <s v="biggicr01"/>
    <s v="NL"/>
    <s v="HOU"/>
    <x v="3"/>
    <n v="4"/>
    <n v="646"/>
    <n v="210"/>
    <n v="51"/>
    <n v="2"/>
    <n v="20"/>
    <n v="123"/>
    <n v="88"/>
    <n v="113"/>
    <n v="64"/>
    <n v="6"/>
    <n v="23"/>
    <n v="4"/>
    <n v="1"/>
    <n v="0.32507739938080493"/>
    <n v="0.17492260061919504"/>
    <n v="0.14396284829721362"/>
    <n v="0.40298507462686567"/>
    <n v="0.50309597523219818"/>
    <n v="0.9060810498590639"/>
    <n v="0.17801857585139325"/>
    <n v="5.9077399380804918E-2"/>
    <n v="6.7985074626865649E-2"/>
    <n v="8.3095975232198194E-2"/>
    <n v="0.1510810498590639"/>
    <n v="2.4018575851393248E-2"/>
  </r>
  <r>
    <x v="0"/>
    <x v="5"/>
    <s v="jonesch06"/>
    <s v="NL"/>
    <s v="ATL"/>
    <x v="7"/>
    <n v="5"/>
    <n v="601"/>
    <n v="188"/>
    <n v="29"/>
    <n v="5"/>
    <n v="34"/>
    <n v="123"/>
    <n v="107"/>
    <n v="93"/>
    <n v="96"/>
    <n v="1"/>
    <n v="1"/>
    <n v="8"/>
    <n v="1"/>
    <n v="0.31281198003327787"/>
    <n v="0.15474209650582363"/>
    <n v="0.16306156405990016"/>
    <n v="0.40368271954674223"/>
    <n v="0.54742096505823623"/>
    <n v="0.95110368460497852"/>
    <n v="0.23460898502495836"/>
    <n v="4.6811980033277856E-2"/>
    <n v="6.868271954674221E-2"/>
    <n v="0.12742096505823625"/>
    <n v="0.19610368460497851"/>
    <n v="8.0608985024958363E-2"/>
  </r>
  <r>
    <x v="0"/>
    <x v="5"/>
    <s v="weisswa01"/>
    <s v="NL"/>
    <s v="ATL"/>
    <x v="6"/>
    <n v="6"/>
    <n v="347"/>
    <n v="97"/>
    <n v="18"/>
    <n v="2"/>
    <n v="0"/>
    <n v="64"/>
    <n v="27"/>
    <n v="53"/>
    <n v="59"/>
    <n v="0"/>
    <n v="3"/>
    <n v="3"/>
    <n v="12"/>
    <n v="0.27953890489913547"/>
    <n v="0.15273775216138327"/>
    <n v="0.17867435158501441"/>
    <n v="0.38592233009708737"/>
    <n v="0.34293948126801155"/>
    <n v="0.72886181136509887"/>
    <n v="6.3400576368876083E-2"/>
    <n v="1.3538904899135451E-2"/>
    <n v="5.0922330097087354E-2"/>
    <n v="-7.7060518731988437E-2"/>
    <n v="-2.6138188634901138E-2"/>
    <n v="-9.0599423631123915E-2"/>
  </r>
  <r>
    <x v="0"/>
    <x v="5"/>
    <s v="griffke02"/>
    <s v="AL"/>
    <s v="SEA"/>
    <x v="2"/>
    <n v="8"/>
    <n v="633"/>
    <n v="180"/>
    <n v="33"/>
    <n v="3"/>
    <n v="56"/>
    <n v="120"/>
    <n v="146"/>
    <n v="121"/>
    <n v="76"/>
    <n v="11"/>
    <n v="7"/>
    <n v="4"/>
    <n v="0"/>
    <n v="0.28436018957345971"/>
    <n v="0.19115323854660349"/>
    <n v="0.14849921011058451"/>
    <n v="0.36527777777777776"/>
    <n v="0.61137440758293837"/>
    <n v="0.97665218536071619"/>
    <n v="0.32701421800947866"/>
    <n v="1.8360189573459695E-2"/>
    <n v="3.0277777777777737E-2"/>
    <n v="0.19137440758293839"/>
    <n v="0.22165218536071618"/>
    <n v="0.17301421800947867"/>
  </r>
  <r>
    <x v="0"/>
    <x v="5"/>
    <s v="gonzaju03"/>
    <s v="AL"/>
    <s v="TEX"/>
    <x v="8"/>
    <n v="9"/>
    <n v="606"/>
    <n v="193"/>
    <n v="50"/>
    <n v="2"/>
    <n v="45"/>
    <n v="110"/>
    <n v="157"/>
    <n v="126"/>
    <n v="46"/>
    <n v="9"/>
    <n v="6"/>
    <n v="11"/>
    <n v="0"/>
    <n v="0.31848184818481851"/>
    <n v="0.20792079207920791"/>
    <n v="0.10066006600660066"/>
    <n v="0.36621823617339311"/>
    <n v="0.63036303630363033"/>
    <n v="0.99658127247702344"/>
    <n v="0.31188118811881183"/>
    <n v="5.2481848184818491E-2"/>
    <n v="3.1218236173393088E-2"/>
    <n v="0.21036303630363035"/>
    <n v="0.24158127247702343"/>
    <n v="0.15788118811881183"/>
  </r>
  <r>
    <x v="0"/>
    <x v="5"/>
    <s v="loftoke01"/>
    <s v="AL"/>
    <s v="CLE"/>
    <x v="1"/>
    <n v="7"/>
    <n v="600"/>
    <n v="169"/>
    <n v="31"/>
    <n v="6"/>
    <n v="12"/>
    <n v="101"/>
    <n v="64"/>
    <n v="80"/>
    <n v="87"/>
    <n v="1"/>
    <n v="2"/>
    <n v="6"/>
    <n v="3"/>
    <n v="0.28166666666666668"/>
    <n v="0.13333333333333333"/>
    <n v="0.15"/>
    <n v="0.37122302158273379"/>
    <n v="0.41333333333333333"/>
    <n v="0.78455635491606712"/>
    <n v="0.13166666666666665"/>
    <n v="1.5666666666666662E-2"/>
    <n v="3.6223021582733772E-2"/>
    <n v="-6.6666666666666541E-3"/>
    <n v="2.9556354916067118E-2"/>
    <n v="-2.2333333333333344E-2"/>
  </r>
  <r>
    <x v="0"/>
    <x v="5"/>
    <s v="gwynnto01"/>
    <s v="NL"/>
    <s v="SDN"/>
    <x v="8"/>
    <n v="9"/>
    <n v="461"/>
    <n v="148"/>
    <n v="35"/>
    <n v="0"/>
    <n v="16"/>
    <n v="65"/>
    <n v="69"/>
    <n v="18"/>
    <n v="35"/>
    <n v="6"/>
    <n v="1"/>
    <n v="8"/>
    <n v="0"/>
    <n v="0.32104121475054231"/>
    <n v="3.9045553145336226E-2"/>
    <n v="9.1106290672451198E-2"/>
    <n v="0.36435643564356435"/>
    <n v="0.50108459869848154"/>
    <n v="0.86544103434204589"/>
    <n v="0.18004338394793923"/>
    <n v="5.50412147505423E-2"/>
    <n v="2.9356435643564327E-2"/>
    <n v="8.1084598698481558E-2"/>
    <n v="0.11044103434204589"/>
    <n v="2.604338394793923E-2"/>
  </r>
  <r>
    <x v="0"/>
    <x v="5"/>
    <s v="rodriiv01"/>
    <s v="AL"/>
    <s v="TEX"/>
    <x v="5"/>
    <n v="2"/>
    <n v="579"/>
    <n v="186"/>
    <n v="40"/>
    <n v="4"/>
    <n v="21"/>
    <n v="88"/>
    <n v="91"/>
    <n v="88"/>
    <n v="32"/>
    <n v="4"/>
    <n v="3"/>
    <n v="3"/>
    <n v="0"/>
    <n v="0.32124352331606215"/>
    <n v="0.15198618307426598"/>
    <n v="6.7357512953367879E-2"/>
    <n v="0.35818476499189628"/>
    <n v="0.51295336787564771"/>
    <n v="0.87113813286754405"/>
    <n v="0.19170984455958556"/>
    <n v="5.5243523316062138E-2"/>
    <n v="2.3184764991896256E-2"/>
    <n v="9.295336787564773E-2"/>
    <n v="0.11613813286754404"/>
    <n v="3.7709844559585565E-2"/>
  </r>
  <r>
    <x v="0"/>
    <x v="5"/>
    <s v="rodrial01"/>
    <s v="AL"/>
    <s v="SEA"/>
    <x v="6"/>
    <n v="6"/>
    <n v="686"/>
    <n v="213"/>
    <n v="35"/>
    <n v="5"/>
    <n v="42"/>
    <n v="123"/>
    <n v="124"/>
    <n v="121"/>
    <n v="45"/>
    <n v="0"/>
    <n v="10"/>
    <n v="4"/>
    <n v="3"/>
    <n v="0.31049562682215742"/>
    <n v="0.17638483965014579"/>
    <n v="8.0174927113702624E-2"/>
    <n v="0.3597315436241611"/>
    <n v="0.55976676384839652"/>
    <n v="0.91949830747255756"/>
    <n v="0.2492711370262391"/>
    <n v="4.4495626822157408E-2"/>
    <n v="2.4731543624161079E-2"/>
    <n v="0.13976676384839654"/>
    <n v="0.16449830747255756"/>
    <n v="9.52711370262391E-2"/>
  </r>
  <r>
    <x v="0"/>
    <x v="5"/>
    <s v="alomaro01"/>
    <s v="AL"/>
    <s v="BAL"/>
    <x v="3"/>
    <n v="4"/>
    <n v="588"/>
    <n v="166"/>
    <n v="36"/>
    <n v="1"/>
    <n v="14"/>
    <n v="86"/>
    <n v="56"/>
    <n v="70"/>
    <n v="59"/>
    <n v="3"/>
    <n v="2"/>
    <n v="5"/>
    <n v="3"/>
    <n v="0.28231292517006801"/>
    <n v="0.11904761904761904"/>
    <n v="0.10884353741496598"/>
    <n v="0.3470948012232416"/>
    <n v="0.41836734693877553"/>
    <n v="0.76546214816201719"/>
    <n v="0.13605442176870752"/>
    <n v="1.6312925170067993E-2"/>
    <n v="1.209480122324158E-2"/>
    <n v="-1.6326530612244539E-3"/>
    <n v="1.0462148162017182E-2"/>
    <n v="-1.7945578231292475E-2"/>
  </r>
  <r>
    <x v="0"/>
    <x v="5"/>
    <s v="piazzmi01"/>
    <s v="NL"/>
    <s v="LAN"/>
    <x v="5"/>
    <n v="2"/>
    <n v="149"/>
    <n v="42"/>
    <n v="5"/>
    <n v="0"/>
    <n v="9"/>
    <n v="20"/>
    <n v="30"/>
    <n v="27"/>
    <n v="11"/>
    <n v="4"/>
    <n v="0"/>
    <n v="1"/>
    <n v="0"/>
    <n v="0.28187919463087246"/>
    <n v="0.18120805369127516"/>
    <n v="0.10067114093959731"/>
    <n v="0.32919254658385094"/>
    <n v="0.49664429530201343"/>
    <n v="0.82583684188586437"/>
    <n v="0.21476510067114096"/>
    <n v="1.5879194630872451E-2"/>
    <n v="-5.8074534161490776E-3"/>
    <n v="7.6644295302013443E-2"/>
    <n v="7.0836841885864366E-2"/>
    <n v="6.0765100671140965E-2"/>
  </r>
  <r>
    <x v="0"/>
    <x v="5"/>
    <s v="ripkeca01"/>
    <s v="AL"/>
    <s v="BAL"/>
    <x v="7"/>
    <n v="5"/>
    <n v="601"/>
    <n v="163"/>
    <n v="27"/>
    <n v="1"/>
    <n v="14"/>
    <n v="65"/>
    <n v="61"/>
    <n v="68"/>
    <n v="51"/>
    <n v="0"/>
    <n v="4"/>
    <n v="2"/>
    <n v="1"/>
    <n v="0.27121464226289516"/>
    <n v="0.11314475873544093"/>
    <n v="9.1514143094841932E-2"/>
    <n v="0.33130699088145898"/>
    <n v="0.38935108153078202"/>
    <n v="0.720658072412241"/>
    <n v="0.11813643926788686"/>
    <n v="5.2146422628951417E-3"/>
    <n v="-3.6930091185410352E-3"/>
    <n v="-3.0648918469217967E-2"/>
    <n v="-3.4341927587759002E-2"/>
    <n v="-3.5863560732113137E-2"/>
  </r>
  <r>
    <x v="0"/>
    <x v="5"/>
    <s v="piazzmi01"/>
    <s v="NL"/>
    <s v="FLO"/>
    <x v="5"/>
    <n v="2"/>
    <n v="18"/>
    <n v="5"/>
    <n v="0"/>
    <n v="1"/>
    <n v="0"/>
    <n v="1"/>
    <n v="5"/>
    <n v="0"/>
    <n v="0"/>
    <n v="0"/>
    <n v="0"/>
    <n v="1"/>
    <n v="0"/>
    <n v="0.27777777777777779"/>
    <n v="0"/>
    <n v="0"/>
    <n v="0.26315789473684209"/>
    <n v="0.3888888888888889"/>
    <n v="0.65204678362573099"/>
    <n v="0.1111111111111111"/>
    <n v="1.1777777777777776E-2"/>
    <n v="-7.1842105263157929E-2"/>
    <n v="-3.1111111111111089E-2"/>
    <n v="-0.10295321637426902"/>
    <n v="-4.2888888888888893E-2"/>
  </r>
  <r>
    <x v="0"/>
    <x v="6"/>
    <s v="walkela01"/>
    <s v="NL"/>
    <s v="COL"/>
    <x v="8"/>
    <n v="9"/>
    <n v="438"/>
    <n v="166"/>
    <n v="26"/>
    <n v="4"/>
    <n v="37"/>
    <n v="108"/>
    <n v="115"/>
    <n v="52"/>
    <n v="57"/>
    <n v="8"/>
    <n v="12"/>
    <n v="6"/>
    <n v="0"/>
    <n v="0.37899543378995432"/>
    <n v="0.11872146118721461"/>
    <n v="0.17579908675799086"/>
    <n v="0.45808966861598438"/>
    <n v="0.71004566210045661"/>
    <n v="1.168135330716441"/>
    <n v="0.33105022831050229"/>
    <n v="0.1079954337899543"/>
    <n v="0.11308966861598441"/>
    <n v="0.27604566210045661"/>
    <n v="0.39013533071644102"/>
    <n v="0.16805022831050229"/>
  </r>
  <r>
    <x v="0"/>
    <x v="6"/>
    <s v="bagweje01"/>
    <s v="NL"/>
    <s v="HOU"/>
    <x v="4"/>
    <n v="10"/>
    <n v="562"/>
    <n v="171"/>
    <n v="35"/>
    <n v="0"/>
    <n v="42"/>
    <n v="143"/>
    <n v="126"/>
    <n v="127"/>
    <n v="149"/>
    <n v="16"/>
    <n v="11"/>
    <n v="7"/>
    <n v="0"/>
    <n v="0.30427046263345198"/>
    <n v="0.22597864768683273"/>
    <n v="0.31316725978647686"/>
    <n v="0.45404663923182442"/>
    <n v="0.59074733096085408"/>
    <n v="1.0447939701926785"/>
    <n v="0.2864768683274021"/>
    <n v="3.3270462633451958E-2"/>
    <n v="0.10904663923182445"/>
    <n v="0.15674733096085408"/>
    <n v="0.26679397019267848"/>
    <n v="0.1234768683274021"/>
  </r>
  <r>
    <x v="0"/>
    <x v="6"/>
    <s v="ramirma02"/>
    <s v="AL"/>
    <s v="CLE"/>
    <x v="8"/>
    <n v="9"/>
    <n v="522"/>
    <n v="174"/>
    <n v="34"/>
    <n v="3"/>
    <n v="44"/>
    <n v="131"/>
    <n v="165"/>
    <n v="131"/>
    <n v="96"/>
    <n v="9"/>
    <n v="13"/>
    <n v="9"/>
    <n v="0"/>
    <n v="0.33333333333333331"/>
    <n v="0.25095785440613028"/>
    <n v="0.22605363984674329"/>
    <n v="0.44218750000000001"/>
    <n v="0.66283524904214564"/>
    <n v="1.1050227490421456"/>
    <n v="0.32950191570881232"/>
    <n v="6.2333333333333296E-2"/>
    <n v="9.7187500000000038E-2"/>
    <n v="0.22883524904214564"/>
    <n v="0.32702274904214557"/>
    <n v="0.16650191570881231"/>
  </r>
  <r>
    <x v="0"/>
    <x v="6"/>
    <s v="mcgwima01"/>
    <s v="NL"/>
    <s v="SLN"/>
    <x v="0"/>
    <n v="3"/>
    <n v="521"/>
    <n v="145"/>
    <n v="21"/>
    <n v="1"/>
    <n v="65"/>
    <n v="118"/>
    <n v="147"/>
    <n v="141"/>
    <n v="133"/>
    <n v="21"/>
    <n v="2"/>
    <n v="5"/>
    <n v="0"/>
    <n v="0.27831094049904032"/>
    <n v="0.2706333973128599"/>
    <n v="0.29942418426103645"/>
    <n v="0.42360060514372161"/>
    <n v="0.69673704414587334"/>
    <n v="1.1203376492895949"/>
    <n v="0.41842610364683303"/>
    <n v="7.3109404990402971E-3"/>
    <n v="7.8600605143721636E-2"/>
    <n v="0.26273704414587334"/>
    <n v="0.34233764928959487"/>
    <n v="0.25542610364683305"/>
  </r>
  <r>
    <x v="0"/>
    <x v="6"/>
    <s v="thomeji01"/>
    <s v="AL"/>
    <s v="CLE"/>
    <x v="0"/>
    <n v="3"/>
    <n v="494"/>
    <n v="137"/>
    <n v="27"/>
    <n v="2"/>
    <n v="33"/>
    <n v="101"/>
    <n v="108"/>
    <n v="171"/>
    <n v="127"/>
    <n v="13"/>
    <n v="4"/>
    <n v="4"/>
    <n v="0"/>
    <n v="0.27732793522267207"/>
    <n v="0.34615384615384615"/>
    <n v="0.291497975708502"/>
    <n v="0.42607313195548491"/>
    <n v="0.54048582995951422"/>
    <n v="0.96655896191499913"/>
    <n v="0.26315789473684215"/>
    <n v="6.3279352226720542E-3"/>
    <n v="8.1073131955484934E-2"/>
    <n v="0.10648582995951422"/>
    <n v="0.1885589619149991"/>
    <n v="0.10015789473684214"/>
  </r>
  <r>
    <x v="0"/>
    <x v="6"/>
    <s v="palmera01"/>
    <s v="AL"/>
    <s v="TEX"/>
    <x v="4"/>
    <n v="10"/>
    <n v="565"/>
    <n v="183"/>
    <n v="30"/>
    <n v="1"/>
    <n v="47"/>
    <n v="96"/>
    <n v="148"/>
    <n v="69"/>
    <n v="97"/>
    <n v="14"/>
    <n v="3"/>
    <n v="9"/>
    <n v="0"/>
    <n v="0.32389380530973449"/>
    <n v="0.12212389380530973"/>
    <n v="0.20176991150442478"/>
    <n v="0.41988130563798221"/>
    <n v="0.63008849557522129"/>
    <n v="1.0499698012132035"/>
    <n v="0.30619469026548679"/>
    <n v="5.2893805309734476E-2"/>
    <n v="7.4881305637982232E-2"/>
    <n v="0.19608849557522129"/>
    <n v="0.27196980121320347"/>
    <n v="0.14319469026548678"/>
  </r>
  <r>
    <x v="0"/>
    <x v="6"/>
    <s v="garcino01"/>
    <s v="AL"/>
    <s v="BOS"/>
    <x v="6"/>
    <n v="6"/>
    <n v="532"/>
    <n v="190"/>
    <n v="42"/>
    <n v="4"/>
    <n v="27"/>
    <n v="103"/>
    <n v="104"/>
    <n v="39"/>
    <n v="51"/>
    <n v="7"/>
    <n v="8"/>
    <n v="4"/>
    <n v="0"/>
    <n v="0.35714285714285715"/>
    <n v="7.3308270676691725E-2"/>
    <n v="0.12406015037593984"/>
    <n v="0.41848739495798321"/>
    <n v="0.60338345864661658"/>
    <n v="1.0218708536045997"/>
    <n v="0.24624060150375943"/>
    <n v="8.6142857142857132E-2"/>
    <n v="7.3487394957983232E-2"/>
    <n v="0.16938345864661658"/>
    <n v="0.2438708536045997"/>
    <n v="8.324060150375942E-2"/>
  </r>
  <r>
    <x v="0"/>
    <x v="6"/>
    <s v="alomaro01"/>
    <s v="AL"/>
    <s v="CLE"/>
    <x v="3"/>
    <n v="4"/>
    <n v="563"/>
    <n v="182"/>
    <n v="40"/>
    <n v="3"/>
    <n v="24"/>
    <n v="138"/>
    <n v="120"/>
    <n v="96"/>
    <n v="99"/>
    <n v="3"/>
    <n v="7"/>
    <n v="13"/>
    <n v="12"/>
    <n v="0.32326820603907636"/>
    <n v="0.17051509769094139"/>
    <n v="0.19360568383658969"/>
    <n v="0.42228739002932553"/>
    <n v="0.53285968028419184"/>
    <n v="0.95514707031351742"/>
    <n v="0.20959147424511548"/>
    <n v="5.2268206039076337E-2"/>
    <n v="7.7287390029325553E-2"/>
    <n v="9.8859680284191842E-2"/>
    <n v="0.1771470703135174"/>
    <n v="4.6591474245115477E-2"/>
  </r>
  <r>
    <x v="0"/>
    <x v="6"/>
    <s v="burnije01"/>
    <s v="NL"/>
    <s v="MIL"/>
    <x v="1"/>
    <n v="7"/>
    <n v="467"/>
    <n v="126"/>
    <n v="33"/>
    <n v="2"/>
    <n v="33"/>
    <n v="87"/>
    <n v="103"/>
    <n v="124"/>
    <n v="91"/>
    <n v="7"/>
    <n v="16"/>
    <n v="6"/>
    <n v="0"/>
    <n v="0.26980728051391861"/>
    <n v="0.26552462526766596"/>
    <n v="0.24411134903640258"/>
    <n v="0.40172413793103451"/>
    <n v="0.56102783725910066"/>
    <n v="0.96275197519013522"/>
    <n v="0.29122055674518205"/>
    <n v="-1.1927194860814061E-3"/>
    <n v="5.6724137931034535E-2"/>
    <n v="0.12702783725910066"/>
    <n v="0.1847519751901352"/>
    <n v="0.12822055674518204"/>
  </r>
  <r>
    <x v="0"/>
    <x v="6"/>
    <s v="loftoke01"/>
    <s v="AL"/>
    <s v="CLE"/>
    <x v="1"/>
    <n v="7"/>
    <n v="465"/>
    <n v="140"/>
    <n v="28"/>
    <n v="6"/>
    <n v="7"/>
    <n v="110"/>
    <n v="39"/>
    <n v="84"/>
    <n v="79"/>
    <n v="2"/>
    <n v="6"/>
    <n v="5"/>
    <n v="5"/>
    <n v="0.30107526881720431"/>
    <n v="0.18064516129032257"/>
    <n v="0.18709677419354839"/>
    <n v="0.40540540540540543"/>
    <n v="0.43225806451612903"/>
    <n v="0.8376634699215344"/>
    <n v="0.13118279569892471"/>
    <n v="3.0075268817204293E-2"/>
    <n v="6.0405405405405455E-2"/>
    <n v="-1.7419354838709711E-3"/>
    <n v="5.9663469921534373E-2"/>
    <n v="-3.1817204301075291E-2"/>
  </r>
  <r>
    <x v="0"/>
    <x v="6"/>
    <s v="griffke02"/>
    <s v="AL"/>
    <s v="SEA"/>
    <x v="2"/>
    <n v="8"/>
    <n v="606"/>
    <n v="173"/>
    <n v="26"/>
    <n v="3"/>
    <n v="48"/>
    <n v="123"/>
    <n v="134"/>
    <n v="108"/>
    <n v="91"/>
    <n v="17"/>
    <n v="7"/>
    <n v="2"/>
    <n v="0"/>
    <n v="0.28547854785478549"/>
    <n v="0.17821782178217821"/>
    <n v="0.18976897689768976"/>
    <n v="0.38385269121813032"/>
    <n v="0.57590759075907594"/>
    <n v="0.9597602819772062"/>
    <n v="0.29042904290429045"/>
    <n v="1.4478547854785473E-2"/>
    <n v="3.8852691218130342E-2"/>
    <n v="0.14190759075907594"/>
    <n v="0.18176028197720617"/>
    <n v="0.12742904290429044"/>
  </r>
  <r>
    <x v="0"/>
    <x v="6"/>
    <s v="larkiba01"/>
    <s v="NL"/>
    <s v="CIN"/>
    <x v="6"/>
    <n v="6"/>
    <n v="583"/>
    <n v="171"/>
    <n v="30"/>
    <n v="4"/>
    <n v="12"/>
    <n v="108"/>
    <n v="75"/>
    <n v="57"/>
    <n v="93"/>
    <n v="5"/>
    <n v="2"/>
    <n v="4"/>
    <n v="5"/>
    <n v="0.29331046312178388"/>
    <n v="9.7770154373927956E-2"/>
    <n v="0.17152658662092624"/>
    <n v="0.39002932551319647"/>
    <n v="0.42024013722126929"/>
    <n v="0.81026946273446576"/>
    <n v="0.12692967409948541"/>
    <n v="2.2310463121783863E-2"/>
    <n v="4.5029325513196494E-2"/>
    <n v="-1.3759862778730703E-2"/>
    <n v="3.2269462734465737E-2"/>
    <n v="-3.6070325900514594E-2"/>
  </r>
  <r>
    <x v="0"/>
    <x v="6"/>
    <s v="bellja01"/>
    <s v="NL"/>
    <s v="ARI"/>
    <x v="3"/>
    <n v="4"/>
    <n v="589"/>
    <n v="170"/>
    <n v="32"/>
    <n v="6"/>
    <n v="38"/>
    <n v="132"/>
    <n v="112"/>
    <n v="132"/>
    <n v="82"/>
    <n v="2"/>
    <n v="4"/>
    <n v="9"/>
    <n v="4"/>
    <n v="0.28862478777589134"/>
    <n v="0.22410865874363328"/>
    <n v="0.14940577249575551"/>
    <n v="0.3742690058479532"/>
    <n v="0.55687606112054333"/>
    <n v="0.93114506696849653"/>
    <n v="0.26825127334465199"/>
    <n v="1.7624787775891326E-2"/>
    <n v="2.9269005847953222E-2"/>
    <n v="0.12287606112054333"/>
    <n v="0.1531450669684965"/>
    <n v="0.10525127334465198"/>
  </r>
  <r>
    <x v="0"/>
    <x v="6"/>
    <s v="sosasa01"/>
    <s v="NL"/>
    <s v="CHN"/>
    <x v="2"/>
    <n v="8"/>
    <n v="625"/>
    <n v="180"/>
    <n v="24"/>
    <n v="2"/>
    <n v="63"/>
    <n v="114"/>
    <n v="141"/>
    <n v="171"/>
    <n v="78"/>
    <n v="8"/>
    <n v="3"/>
    <n v="6"/>
    <n v="0"/>
    <n v="0.28799999999999998"/>
    <n v="0.27360000000000001"/>
    <n v="0.1424"/>
    <n v="0.36657303370786515"/>
    <n v="0.63519999999999999"/>
    <n v="1.0017730337078652"/>
    <n v="0.34720000000000001"/>
    <n v="1.699999999999996E-2"/>
    <n v="2.1573033707865175E-2"/>
    <n v="0.20119999999999999"/>
    <n v="0.22377303370786517"/>
    <n v="0.1842"/>
  </r>
  <r>
    <x v="0"/>
    <x v="6"/>
    <s v="ripkeca01"/>
    <s v="AL"/>
    <s v="BAL"/>
    <x v="7"/>
    <n v="5"/>
    <n v="332"/>
    <n v="113"/>
    <n v="27"/>
    <n v="0"/>
    <n v="18"/>
    <n v="51"/>
    <n v="57"/>
    <n v="31"/>
    <n v="13"/>
    <n v="3"/>
    <n v="3"/>
    <n v="3"/>
    <n v="3"/>
    <n v="0.34036144578313254"/>
    <n v="9.337349397590361E-2"/>
    <n v="5.7228915662650599E-2"/>
    <n v="0.36752136752136755"/>
    <n v="0.58433734939759041"/>
    <n v="0.95185871691895796"/>
    <n v="0.24397590361445787"/>
    <n v="6.9361445783132525E-2"/>
    <n v="2.2521367521367575E-2"/>
    <n v="0.15033734939759041"/>
    <n v="0.17385871691895793"/>
    <n v="8.0975903614457861E-2"/>
  </r>
  <r>
    <x v="0"/>
    <x v="6"/>
    <s v="piazzmi01"/>
    <s v="NL"/>
    <s v="NYN"/>
    <x v="5"/>
    <n v="2"/>
    <n v="534"/>
    <n v="162"/>
    <n v="25"/>
    <n v="0"/>
    <n v="40"/>
    <n v="100"/>
    <n v="124"/>
    <n v="70"/>
    <n v="51"/>
    <n v="11"/>
    <n v="1"/>
    <n v="7"/>
    <n v="0"/>
    <n v="0.30337078651685395"/>
    <n v="0.13108614232209737"/>
    <n v="0.11797752808988764"/>
    <n v="0.36087689713322091"/>
    <n v="0.57490636704119846"/>
    <n v="0.93578326417441937"/>
    <n v="0.27153558052434451"/>
    <n v="3.2370786516853933E-2"/>
    <n v="1.5876897133220935E-2"/>
    <n v="0.14090636704119847"/>
    <n v="0.15778326417441935"/>
    <n v="0.1085355805243445"/>
  </r>
  <r>
    <x v="0"/>
    <x v="6"/>
    <s v="rodriiv01"/>
    <s v="AL"/>
    <s v="TEX"/>
    <x v="5"/>
    <n v="2"/>
    <n v="600"/>
    <n v="199"/>
    <n v="29"/>
    <n v="1"/>
    <n v="35"/>
    <n v="116"/>
    <n v="113"/>
    <n v="64"/>
    <n v="24"/>
    <n v="2"/>
    <n v="1"/>
    <n v="5"/>
    <n v="0"/>
    <n v="0.33166666666666667"/>
    <n v="0.10666666666666667"/>
    <n v="4.4999999999999998E-2"/>
    <n v="0.35555555555555557"/>
    <n v="0.55833333333333335"/>
    <n v="0.91388888888888897"/>
    <n v="0.22666666666666668"/>
    <n v="6.0666666666666647E-2"/>
    <n v="1.0555555555555596E-2"/>
    <n v="0.12433333333333335"/>
    <n v="0.13588888888888895"/>
    <n v="6.3666666666666677E-2"/>
  </r>
  <r>
    <x v="0"/>
    <x v="6"/>
    <s v="willima04"/>
    <s v="NL"/>
    <s v="ARI"/>
    <x v="7"/>
    <n v="5"/>
    <n v="627"/>
    <n v="190"/>
    <n v="37"/>
    <n v="2"/>
    <n v="35"/>
    <n v="98"/>
    <n v="142"/>
    <n v="93"/>
    <n v="41"/>
    <n v="9"/>
    <n v="2"/>
    <n v="8"/>
    <n v="0"/>
    <n v="0.30303030303030304"/>
    <n v="0.14832535885167464"/>
    <n v="8.2934609250398722E-2"/>
    <n v="0.34365781710914456"/>
    <n v="0.53588516746411485"/>
    <n v="0.87954298457325941"/>
    <n v="0.23285486443381181"/>
    <n v="3.203030303030302E-2"/>
    <n v="-1.3421828908554145E-3"/>
    <n v="0.10188516746411486"/>
    <n v="0.10154298457325939"/>
    <n v="6.9854864433811809E-2"/>
  </r>
  <r>
    <x v="0"/>
    <x v="7"/>
    <s v="giambja01"/>
    <s v="AL"/>
    <s v="OAK"/>
    <x v="0"/>
    <n v="3"/>
    <n v="510"/>
    <n v="170"/>
    <n v="29"/>
    <n v="1"/>
    <n v="43"/>
    <n v="108"/>
    <n v="137"/>
    <n v="96"/>
    <n v="137"/>
    <n v="6"/>
    <n v="9"/>
    <n v="8"/>
    <n v="0"/>
    <n v="0.33333333333333331"/>
    <n v="0.18823529411764706"/>
    <n v="0.29803921568627451"/>
    <n v="0.4759036144578313"/>
    <n v="0.6470588235294118"/>
    <n v="1.1229624379872432"/>
    <n v="0.31372549019607848"/>
    <n v="6.3333333333333297E-2"/>
    <n v="0.13090361445783133"/>
    <n v="0.2100588235294118"/>
    <n v="0.34096243798724313"/>
    <n v="0.14672549019607847"/>
  </r>
  <r>
    <x v="0"/>
    <x v="7"/>
    <s v="guerrvl01"/>
    <s v="NL"/>
    <s v="MON"/>
    <x v="1"/>
    <n v="7"/>
    <n v="571"/>
    <n v="197"/>
    <n v="28"/>
    <n v="11"/>
    <n v="44"/>
    <n v="101"/>
    <n v="123"/>
    <n v="74"/>
    <n v="58"/>
    <n v="23"/>
    <n v="8"/>
    <n v="4"/>
    <n v="0"/>
    <n v="0.34500875656742558"/>
    <n v="0.1295971978984238"/>
    <n v="0.15586690017513136"/>
    <n v="0.41029641185647425"/>
    <n v="0.66374781085814361"/>
    <n v="1.0740442227146179"/>
    <n v="0.31873905429071803"/>
    <n v="7.5008756567425561E-2"/>
    <n v="6.5296411856474279E-2"/>
    <n v="0.22674781085814361"/>
    <n v="0.29204422271461783"/>
    <n v="0.15173905429071802"/>
  </r>
  <r>
    <x v="0"/>
    <x v="7"/>
    <s v="kentje01"/>
    <s v="NL"/>
    <s v="SFN"/>
    <x v="3"/>
    <n v="4"/>
    <n v="587"/>
    <n v="196"/>
    <n v="41"/>
    <n v="7"/>
    <n v="33"/>
    <n v="114"/>
    <n v="125"/>
    <n v="107"/>
    <n v="90"/>
    <n v="6"/>
    <n v="9"/>
    <n v="9"/>
    <n v="0"/>
    <n v="0.33390119250425893"/>
    <n v="0.18228279386712096"/>
    <n v="0.17887563884156729"/>
    <n v="0.42446043165467628"/>
    <n v="0.59625212947189099"/>
    <n v="1.0207125611265673"/>
    <n v="0.26235093696763206"/>
    <n v="6.3901192504258908E-2"/>
    <n v="7.9460431654676311E-2"/>
    <n v="0.15925212947189099"/>
    <n v="0.23871256112656725"/>
    <n v="9.5350936967632055E-2"/>
  </r>
  <r>
    <x v="0"/>
    <x v="7"/>
    <s v="sosasa01"/>
    <s v="NL"/>
    <s v="CHN"/>
    <x v="8"/>
    <n v="9"/>
    <n v="604"/>
    <n v="193"/>
    <n v="38"/>
    <n v="1"/>
    <n v="50"/>
    <n v="106"/>
    <n v="138"/>
    <n v="168"/>
    <n v="91"/>
    <n v="19"/>
    <n v="2"/>
    <n v="8"/>
    <n v="0"/>
    <n v="0.31953642384105962"/>
    <n v="0.27814569536423839"/>
    <n v="0.18543046357615894"/>
    <n v="0.4056737588652482"/>
    <n v="0.63410596026490063"/>
    <n v="1.0397797191301488"/>
    <n v="0.314569536423841"/>
    <n v="4.9536423841059607E-2"/>
    <n v="6.0673758865248228E-2"/>
    <n v="0.19710596026490063"/>
    <n v="0.25777971913014874"/>
    <n v="0.14756953642384099"/>
  </r>
  <r>
    <x v="0"/>
    <x v="7"/>
    <s v="jeterde01"/>
    <s v="AL"/>
    <s v="NYA"/>
    <x v="6"/>
    <n v="6"/>
    <n v="593"/>
    <n v="201"/>
    <n v="31"/>
    <n v="4"/>
    <n v="15"/>
    <n v="119"/>
    <n v="73"/>
    <n v="99"/>
    <n v="68"/>
    <n v="4"/>
    <n v="12"/>
    <n v="3"/>
    <n v="3"/>
    <n v="0.33895446880269814"/>
    <n v="0.16694772344013492"/>
    <n v="0.14165261382799327"/>
    <n v="0.41568047337278108"/>
    <n v="0.48060708263069141"/>
    <n v="0.89628755600347243"/>
    <n v="0.14165261382799327"/>
    <n v="6.8954468802698121E-2"/>
    <n v="7.0680473372781105E-2"/>
    <n v="4.3607082630691407E-2"/>
    <n v="0.1142875560034724"/>
    <n v="-2.5347386172006742E-2"/>
  </r>
  <r>
    <x v="0"/>
    <x v="7"/>
    <s v="kendaja01"/>
    <s v="NL"/>
    <s v="PIT"/>
    <x v="5"/>
    <n v="2"/>
    <n v="579"/>
    <n v="185"/>
    <n v="33"/>
    <n v="6"/>
    <n v="14"/>
    <n v="112"/>
    <n v="58"/>
    <n v="79"/>
    <n v="79"/>
    <n v="3"/>
    <n v="15"/>
    <n v="4"/>
    <n v="1"/>
    <n v="0.31951640759930916"/>
    <n v="0.13644214162348878"/>
    <n v="0.16753022452504318"/>
    <n v="0.41211225997045792"/>
    <n v="0.46977547495682209"/>
    <n v="0.88188773492728001"/>
    <n v="0.15025906735751293"/>
    <n v="4.9516407599309142E-2"/>
    <n v="6.7112259970457944E-2"/>
    <n v="3.2775474956822093E-2"/>
    <n v="9.9887734927279981E-2"/>
    <n v="-1.6740932642487077E-2"/>
  </r>
  <r>
    <x v="0"/>
    <x v="7"/>
    <s v="edmonji01"/>
    <s v="NL"/>
    <s v="SLN"/>
    <x v="2"/>
    <n v="8"/>
    <n v="525"/>
    <n v="155"/>
    <n v="25"/>
    <n v="0"/>
    <n v="42"/>
    <n v="129"/>
    <n v="108"/>
    <n v="167"/>
    <n v="103"/>
    <n v="3"/>
    <n v="6"/>
    <n v="8"/>
    <n v="1"/>
    <n v="0.29523809523809524"/>
    <n v="0.3180952380952381"/>
    <n v="0.21333333333333335"/>
    <n v="0.41121495327102803"/>
    <n v="0.58285714285714285"/>
    <n v="0.99407209612817082"/>
    <n v="0.28761904761904761"/>
    <n v="2.5238095238095226E-2"/>
    <n v="6.6214953271028054E-2"/>
    <n v="0.14585714285714285"/>
    <n v="0.2120720961281708"/>
    <n v="0.1206190476190476"/>
  </r>
  <r>
    <x v="0"/>
    <x v="7"/>
    <s v="jonesch06"/>
    <s v="NL"/>
    <s v="ATL"/>
    <x v="7"/>
    <n v="5"/>
    <n v="579"/>
    <n v="180"/>
    <n v="38"/>
    <n v="1"/>
    <n v="36"/>
    <n v="118"/>
    <n v="111"/>
    <n v="64"/>
    <n v="95"/>
    <n v="10"/>
    <n v="2"/>
    <n v="10"/>
    <n v="0"/>
    <n v="0.31088082901554404"/>
    <n v="0.11053540587219343"/>
    <n v="0.1848013816925734"/>
    <n v="0.40379008746355682"/>
    <n v="0.56649395509499134"/>
    <n v="0.97028404255854817"/>
    <n v="0.25561312607944731"/>
    <n v="4.0880829015544018E-2"/>
    <n v="5.879008746355685E-2"/>
    <n v="0.12949395509499134"/>
    <n v="0.18828404255854814"/>
    <n v="8.8613126079447296E-2"/>
  </r>
  <r>
    <x v="0"/>
    <x v="7"/>
    <s v="willibe02"/>
    <s v="AL"/>
    <s v="NYA"/>
    <x v="2"/>
    <n v="8"/>
    <n v="537"/>
    <n v="165"/>
    <n v="37"/>
    <n v="6"/>
    <n v="30"/>
    <n v="108"/>
    <n v="121"/>
    <n v="84"/>
    <n v="71"/>
    <n v="11"/>
    <n v="5"/>
    <n v="3"/>
    <n v="0"/>
    <n v="0.30726256983240224"/>
    <n v="0.15642458100558659"/>
    <n v="0.16201117318435754"/>
    <n v="0.39123376623376621"/>
    <n v="0.56610800744878953"/>
    <n v="0.9573417736825558"/>
    <n v="0.25884543761638729"/>
    <n v="3.7262569832402226E-2"/>
    <n v="4.6233766233766238E-2"/>
    <n v="0.12910800744878953"/>
    <n v="0.17534177368255577"/>
    <n v="9.1845437616387277E-2"/>
  </r>
  <r>
    <x v="0"/>
    <x v="7"/>
    <s v="dyeje01"/>
    <s v="AL"/>
    <s v="KCA"/>
    <x v="8"/>
    <n v="9"/>
    <n v="601"/>
    <n v="193"/>
    <n v="41"/>
    <n v="2"/>
    <n v="33"/>
    <n v="107"/>
    <n v="118"/>
    <n v="99"/>
    <n v="69"/>
    <n v="6"/>
    <n v="3"/>
    <n v="6"/>
    <n v="0"/>
    <n v="0.3211314475873544"/>
    <n v="0.16472545757071547"/>
    <n v="0.12978369384359401"/>
    <n v="0.39027982326951399"/>
    <n v="0.56073211314475868"/>
    <n v="0.95101193641427262"/>
    <n v="0.23960066555740428"/>
    <n v="5.1131447587354384E-2"/>
    <n v="4.5279823269514019E-2"/>
    <n v="0.12373211314475868"/>
    <n v="0.16901193641427259"/>
    <n v="7.260066555740427E-2"/>
  </r>
  <r>
    <x v="0"/>
    <x v="7"/>
    <s v="frymatr01"/>
    <s v="AL"/>
    <s v="CLE"/>
    <x v="7"/>
    <n v="5"/>
    <n v="574"/>
    <n v="184"/>
    <n v="38"/>
    <n v="4"/>
    <n v="22"/>
    <n v="93"/>
    <n v="106"/>
    <n v="111"/>
    <n v="73"/>
    <n v="2"/>
    <n v="1"/>
    <n v="10"/>
    <n v="0"/>
    <n v="0.32055749128919858"/>
    <n v="0.19337979094076654"/>
    <n v="0.13240418118466898"/>
    <n v="0.39209726443769"/>
    <n v="0.51567944250871078"/>
    <n v="0.90777670694640078"/>
    <n v="0.1951219512195122"/>
    <n v="5.0557491289198564E-2"/>
    <n v="4.7097264437690023E-2"/>
    <n v="7.8679442508710784E-2"/>
    <n v="0.12577670694640075"/>
    <n v="2.8121951219512192E-2"/>
  </r>
  <r>
    <x v="0"/>
    <x v="7"/>
    <s v="larkiba01"/>
    <s v="NL"/>
    <s v="CIN"/>
    <x v="6"/>
    <n v="6"/>
    <n v="396"/>
    <n v="124"/>
    <n v="26"/>
    <n v="5"/>
    <n v="11"/>
    <n v="71"/>
    <n v="41"/>
    <n v="31"/>
    <n v="48"/>
    <n v="0"/>
    <n v="1"/>
    <n v="0"/>
    <n v="2"/>
    <n v="0.31313131313131315"/>
    <n v="7.8282828282828287E-2"/>
    <n v="0.12373737373737374"/>
    <n v="0.38876404494382022"/>
    <n v="0.48737373737373735"/>
    <n v="0.87613778231755757"/>
    <n v="0.1742424242424242"/>
    <n v="4.3131313131313131E-2"/>
    <n v="4.3764044943820246E-2"/>
    <n v="5.0373737373737348E-2"/>
    <n v="9.4137782317557539E-2"/>
    <n v="7.2424242424241891E-3"/>
  </r>
  <r>
    <x v="0"/>
    <x v="7"/>
    <s v="rodriiv01"/>
    <s v="AL"/>
    <s v="TEX"/>
    <x v="5"/>
    <n v="2"/>
    <n v="363"/>
    <n v="126"/>
    <n v="27"/>
    <n v="4"/>
    <n v="27"/>
    <n v="66"/>
    <n v="83"/>
    <n v="48"/>
    <n v="19"/>
    <n v="5"/>
    <n v="1"/>
    <n v="6"/>
    <n v="0"/>
    <n v="0.34710743801652894"/>
    <n v="0.13223140495867769"/>
    <n v="6.8870523415977963E-2"/>
    <n v="0.37532133676092544"/>
    <n v="0.66666666666666663"/>
    <n v="1.0419880034275921"/>
    <n v="0.31955922865013769"/>
    <n v="7.7107438016528917E-2"/>
    <n v="3.0321336760925466E-2"/>
    <n v="0.22966666666666663"/>
    <n v="0.2599880034275921"/>
    <n v="0.15255922865013768"/>
  </r>
  <r>
    <x v="0"/>
    <x v="7"/>
    <s v="alomaro01"/>
    <s v="AL"/>
    <s v="CLE"/>
    <x v="3"/>
    <n v="4"/>
    <n v="610"/>
    <n v="189"/>
    <n v="40"/>
    <n v="2"/>
    <n v="19"/>
    <n v="111"/>
    <n v="89"/>
    <n v="82"/>
    <n v="64"/>
    <n v="4"/>
    <n v="6"/>
    <n v="6"/>
    <n v="11"/>
    <n v="0.30983606557377047"/>
    <n v="0.13442622950819672"/>
    <n v="0.12131147540983607"/>
    <n v="0.37755102040816324"/>
    <n v="0.47540983606557374"/>
    <n v="0.85296085647373698"/>
    <n v="0.16557377049180327"/>
    <n v="3.9836065573770452E-2"/>
    <n v="3.2551020408163267E-2"/>
    <n v="3.8409836065573744E-2"/>
    <n v="7.0960856473736955E-2"/>
    <n v="-1.4262295081967358E-3"/>
  </r>
  <r>
    <x v="0"/>
    <x v="7"/>
    <s v="evereca01"/>
    <s v="AL"/>
    <s v="BOS"/>
    <x v="1"/>
    <n v="7"/>
    <n v="496"/>
    <n v="149"/>
    <n v="32"/>
    <n v="4"/>
    <n v="34"/>
    <n v="82"/>
    <n v="108"/>
    <n v="113"/>
    <n v="52"/>
    <n v="5"/>
    <n v="8"/>
    <n v="5"/>
    <n v="0"/>
    <n v="0.30040322580645162"/>
    <n v="0.22782258064516128"/>
    <n v="0.13104838709677419"/>
    <n v="0.37254901960784315"/>
    <n v="0.58669354838709675"/>
    <n v="0.9592425679949399"/>
    <n v="0.28629032258064513"/>
    <n v="3.0403225806451606E-2"/>
    <n v="2.7549019607843173E-2"/>
    <n v="0.14969354838709675"/>
    <n v="0.17724256799493987"/>
    <n v="0.11929032258064512"/>
  </r>
  <r>
    <x v="0"/>
    <x v="7"/>
    <s v="galaran01"/>
    <s v="NL"/>
    <s v="ATL"/>
    <x v="0"/>
    <n v="3"/>
    <n v="494"/>
    <n v="149"/>
    <n v="25"/>
    <n v="1"/>
    <n v="28"/>
    <n v="67"/>
    <n v="100"/>
    <n v="126"/>
    <n v="36"/>
    <n v="5"/>
    <n v="17"/>
    <n v="1"/>
    <n v="0"/>
    <n v="0.30161943319838058"/>
    <n v="0.25506072874493929"/>
    <n v="0.11740890688259109"/>
    <n v="0.36861313868613138"/>
    <n v="0.52631578947368418"/>
    <n v="0.89492892815981562"/>
    <n v="0.2246963562753036"/>
    <n v="3.1619433198380564E-2"/>
    <n v="2.3613138686131407E-2"/>
    <n v="8.9315789473684182E-2"/>
    <n v="0.11292892815981559"/>
    <n v="5.769635627530359E-2"/>
  </r>
  <r>
    <x v="0"/>
    <x v="8"/>
    <s v="bondsba01"/>
    <s v="NL"/>
    <s v="SFN"/>
    <x v="1"/>
    <n v="7"/>
    <n v="476"/>
    <n v="156"/>
    <n v="32"/>
    <n v="2"/>
    <n v="73"/>
    <n v="129"/>
    <n v="137"/>
    <n v="93"/>
    <n v="177"/>
    <n v="35"/>
    <n v="9"/>
    <n v="2"/>
    <n v="0"/>
    <n v="0.32773109243697479"/>
    <n v="0.1953781512605042"/>
    <n v="0.4642857142857143"/>
    <n v="0.51506024096385539"/>
    <n v="0.86344537815126055"/>
    <n v="1.3785056191151159"/>
    <n v="0.53571428571428581"/>
    <n v="6.3731092436974779E-2"/>
    <n v="0.18306024096385537"/>
    <n v="0.43644537815126055"/>
    <n v="0.61950561911511592"/>
    <n v="0.37271428571428578"/>
  </r>
  <r>
    <x v="0"/>
    <x v="8"/>
    <s v="sosasa01"/>
    <s v="NL"/>
    <s v="CHN"/>
    <x v="8"/>
    <n v="9"/>
    <n v="577"/>
    <n v="189"/>
    <n v="34"/>
    <n v="5"/>
    <n v="64"/>
    <n v="146"/>
    <n v="160"/>
    <n v="153"/>
    <n v="116"/>
    <n v="37"/>
    <n v="6"/>
    <n v="12"/>
    <n v="0"/>
    <n v="0.32755632582322358"/>
    <n v="0.26516464471403811"/>
    <n v="0.27556325823223571"/>
    <n v="0.43741209563994377"/>
    <n v="0.7365684575389948"/>
    <n v="1.1739805531789385"/>
    <n v="0.40901213171577122"/>
    <n v="6.3556325823223569E-2"/>
    <n v="0.10541209563994375"/>
    <n v="0.30956845753899481"/>
    <n v="0.41498055317893845"/>
    <n v="0.24601213171577122"/>
  </r>
  <r>
    <x v="0"/>
    <x v="8"/>
    <s v="walkela01"/>
    <s v="NL"/>
    <s v="COL"/>
    <x v="4"/>
    <n v="10"/>
    <n v="497"/>
    <n v="174"/>
    <n v="35"/>
    <n v="3"/>
    <n v="38"/>
    <n v="107"/>
    <n v="123"/>
    <n v="103"/>
    <n v="82"/>
    <n v="6"/>
    <n v="14"/>
    <n v="8"/>
    <n v="0"/>
    <n v="0.3501006036217304"/>
    <n v="0.20724346076458752"/>
    <n v="0.20523138832997989"/>
    <n v="0.4492512479201331"/>
    <n v="0.6619718309859155"/>
    <n v="1.1112230789060487"/>
    <n v="0.3118712273641851"/>
    <n v="8.6100603621730387E-2"/>
    <n v="0.11725124792013308"/>
    <n v="0.23497183098591551"/>
    <n v="0.35222307890604865"/>
    <n v="0.14887122736418509"/>
  </r>
  <r>
    <x v="0"/>
    <x v="8"/>
    <s v="gonzalu01"/>
    <s v="NL"/>
    <s v="ARI"/>
    <x v="2"/>
    <n v="8"/>
    <n v="609"/>
    <n v="198"/>
    <n v="36"/>
    <n v="7"/>
    <n v="57"/>
    <n v="128"/>
    <n v="142"/>
    <n v="83"/>
    <n v="100"/>
    <n v="24"/>
    <n v="14"/>
    <n v="5"/>
    <n v="0"/>
    <n v="0.3251231527093596"/>
    <n v="0.13628899835796388"/>
    <n v="0.22660098522167488"/>
    <n v="0.42857142857142855"/>
    <n v="0.68801313628899841"/>
    <n v="1.1165845648604269"/>
    <n v="0.36288998357963881"/>
    <n v="6.1123152709359585E-2"/>
    <n v="9.657142857142853E-2"/>
    <n v="0.26101313628899842"/>
    <n v="0.35758456486042689"/>
    <n v="0.1998899835796388"/>
  </r>
  <r>
    <x v="0"/>
    <x v="8"/>
    <s v="heltoto01"/>
    <s v="NL"/>
    <s v="COL"/>
    <x v="0"/>
    <n v="3"/>
    <n v="587"/>
    <n v="197"/>
    <n v="54"/>
    <n v="2"/>
    <n v="49"/>
    <n v="132"/>
    <n v="146"/>
    <n v="104"/>
    <n v="98"/>
    <n v="15"/>
    <n v="5"/>
    <n v="5"/>
    <n v="1"/>
    <n v="0.33560477001703576"/>
    <n v="0.17717206132879046"/>
    <n v="0.20102214650766609"/>
    <n v="0.43165467625899279"/>
    <n v="0.68483816013628618"/>
    <n v="1.1164928363952789"/>
    <n v="0.34923339011925042"/>
    <n v="7.1604770017035746E-2"/>
    <n v="9.9654676258992769E-2"/>
    <n v="0.25783816013628619"/>
    <n v="0.35749283639527885"/>
    <n v="0.18623339011925041"/>
  </r>
  <r>
    <x v="0"/>
    <x v="8"/>
    <s v="jonesch06"/>
    <s v="NL"/>
    <s v="ATL"/>
    <x v="7"/>
    <n v="5"/>
    <n v="572"/>
    <n v="189"/>
    <n v="33"/>
    <n v="5"/>
    <n v="38"/>
    <n v="113"/>
    <n v="102"/>
    <n v="82"/>
    <n v="98"/>
    <n v="20"/>
    <n v="2"/>
    <n v="5"/>
    <n v="0"/>
    <n v="0.33041958041958042"/>
    <n v="0.14335664335664336"/>
    <n v="0.20979020979020979"/>
    <n v="0.42688330871491875"/>
    <n v="0.6048951048951049"/>
    <n v="1.0317784136100236"/>
    <n v="0.27447552447552448"/>
    <n v="6.6419580419580404E-2"/>
    <n v="9.4883308714918735E-2"/>
    <n v="0.17789510489510491"/>
    <n v="0.27277841361002364"/>
    <n v="0.11147552447552447"/>
  </r>
  <r>
    <x v="0"/>
    <x v="8"/>
    <s v="martied01"/>
    <s v="AL"/>
    <s v="SEA"/>
    <x v="4"/>
    <n v="10"/>
    <n v="470"/>
    <n v="144"/>
    <n v="40"/>
    <n v="1"/>
    <n v="23"/>
    <n v="80"/>
    <n v="116"/>
    <n v="90"/>
    <n v="93"/>
    <n v="9"/>
    <n v="9"/>
    <n v="9"/>
    <n v="0"/>
    <n v="0.30638297872340425"/>
    <n v="0.19148936170212766"/>
    <n v="0.23617021276595745"/>
    <n v="0.423407917383821"/>
    <n v="0.54255319148936165"/>
    <n v="0.96596110887318265"/>
    <n v="0.2361702127659574"/>
    <n v="4.2382978723404241E-2"/>
    <n v="9.140791738382098E-2"/>
    <n v="0.11555319148936166"/>
    <n v="0.20696110887318264"/>
    <n v="7.3170212765957393E-2"/>
  </r>
  <r>
    <x v="0"/>
    <x v="8"/>
    <s v="ramirma02"/>
    <s v="AL"/>
    <s v="BOS"/>
    <x v="1"/>
    <n v="7"/>
    <n v="529"/>
    <n v="162"/>
    <n v="33"/>
    <n v="2"/>
    <n v="41"/>
    <n v="93"/>
    <n v="125"/>
    <n v="147"/>
    <n v="81"/>
    <n v="25"/>
    <n v="8"/>
    <n v="2"/>
    <n v="0"/>
    <n v="0.30623818525519847"/>
    <n v="0.27788279773156899"/>
    <n v="0.21550094517958412"/>
    <n v="0.40483870967741936"/>
    <n v="0.60869565217391308"/>
    <n v="1.0135343618513324"/>
    <n v="0.30245746691871461"/>
    <n v="4.2238185255198457E-2"/>
    <n v="7.2838709677419344E-2"/>
    <n v="0.18169565217391309"/>
    <n v="0.25453436185133238"/>
    <n v="0.13945746691871461"/>
  </r>
  <r>
    <x v="0"/>
    <x v="8"/>
    <s v="olerujo01"/>
    <s v="AL"/>
    <s v="SEA"/>
    <x v="0"/>
    <n v="3"/>
    <n v="572"/>
    <n v="173"/>
    <n v="32"/>
    <n v="1"/>
    <n v="21"/>
    <n v="91"/>
    <n v="95"/>
    <n v="70"/>
    <n v="94"/>
    <n v="19"/>
    <n v="5"/>
    <n v="7"/>
    <n v="1"/>
    <n v="0.30244755244755245"/>
    <n v="0.12237762237762238"/>
    <n v="0.2062937062937063"/>
    <n v="0.40117994100294985"/>
    <n v="0.47202797202797203"/>
    <n v="0.87320791303092182"/>
    <n v="0.16958041958041958"/>
    <n v="3.8447552447552436E-2"/>
    <n v="6.917994100294983E-2"/>
    <n v="4.5027972027972041E-2"/>
    <n v="0.11420791303092181"/>
    <n v="6.5804195804195775E-3"/>
  </r>
  <r>
    <x v="0"/>
    <x v="8"/>
    <s v="rodrial01"/>
    <s v="AL"/>
    <s v="TEX"/>
    <x v="7"/>
    <n v="5"/>
    <n v="632"/>
    <n v="201"/>
    <n v="34"/>
    <n v="1"/>
    <n v="52"/>
    <n v="133"/>
    <n v="135"/>
    <n v="131"/>
    <n v="75"/>
    <n v="6"/>
    <n v="16"/>
    <n v="9"/>
    <n v="0"/>
    <n v="0.31803797468354428"/>
    <n v="0.20727848101265822"/>
    <n v="0.15348101265822786"/>
    <n v="0.39890710382513661"/>
    <n v="0.62183544303797467"/>
    <n v="1.0207425468631113"/>
    <n v="0.30379746835443039"/>
    <n v="5.4037974683544265E-2"/>
    <n v="6.6907103825136593E-2"/>
    <n v="0.19483544303797468"/>
    <n v="0.26174254686311127"/>
    <n v="0.14079746835443038"/>
  </r>
  <r>
    <x v="0"/>
    <x v="8"/>
    <s v="piazzmi01"/>
    <s v="NL"/>
    <s v="NYN"/>
    <x v="5"/>
    <n v="2"/>
    <n v="503"/>
    <n v="151"/>
    <n v="29"/>
    <n v="0"/>
    <n v="36"/>
    <n v="81"/>
    <n v="94"/>
    <n v="87"/>
    <n v="67"/>
    <n v="19"/>
    <n v="2"/>
    <n v="1"/>
    <n v="0"/>
    <n v="0.30019880715705766"/>
    <n v="0.17296222664015903"/>
    <n v="0.1749502982107356"/>
    <n v="0.38394415357766143"/>
    <n v="0.57256461232604372"/>
    <n v="0.95650876590370515"/>
    <n v="0.27236580516898606"/>
    <n v="3.6198807157057644E-2"/>
    <n v="5.1944153577661412E-2"/>
    <n v="0.14556461232604373"/>
    <n v="0.19750876590370514"/>
    <n v="0.10936580516898606"/>
  </r>
  <r>
    <x v="0"/>
    <x v="8"/>
    <s v="suzukic01"/>
    <s v="AL"/>
    <s v="SEA"/>
    <x v="2"/>
    <n v="8"/>
    <n v="692"/>
    <n v="242"/>
    <n v="34"/>
    <n v="8"/>
    <n v="8"/>
    <n v="127"/>
    <n v="69"/>
    <n v="53"/>
    <n v="30"/>
    <n v="10"/>
    <n v="8"/>
    <n v="4"/>
    <n v="4"/>
    <n v="0.34971098265895956"/>
    <n v="7.6589595375722547E-2"/>
    <n v="6.9364161849710976E-2"/>
    <n v="0.38147138964577659"/>
    <n v="0.45664739884393063"/>
    <n v="0.83811878848970722"/>
    <n v="0.10693641618497107"/>
    <n v="8.5710982658959545E-2"/>
    <n v="4.9471389645776576E-2"/>
    <n v="2.9647398843930639E-2"/>
    <n v="7.9118788489707215E-2"/>
    <n v="-5.6063583815028933E-2"/>
  </r>
  <r>
    <x v="0"/>
    <x v="8"/>
    <s v="boonebr01"/>
    <s v="AL"/>
    <s v="SEA"/>
    <x v="3"/>
    <n v="4"/>
    <n v="623"/>
    <n v="206"/>
    <n v="37"/>
    <n v="3"/>
    <n v="37"/>
    <n v="118"/>
    <n v="141"/>
    <n v="110"/>
    <n v="40"/>
    <n v="5"/>
    <n v="9"/>
    <n v="13"/>
    <n v="5"/>
    <n v="0.3306581059390048"/>
    <n v="0.17656500802568217"/>
    <n v="8.6677367576243974E-2"/>
    <n v="0.37226277372262773"/>
    <n v="0.5778491171749599"/>
    <n v="0.95011189089758763"/>
    <n v="0.2471910112359551"/>
    <n v="6.6658105939004786E-2"/>
    <n v="4.0262773722627709E-2"/>
    <n v="0.15084911717495991"/>
    <n v="0.19111189089758762"/>
    <n v="8.4191011235955099E-2"/>
  </r>
  <r>
    <x v="0"/>
    <x v="8"/>
    <s v="gonzaju03"/>
    <s v="AL"/>
    <s v="CLE"/>
    <x v="8"/>
    <n v="9"/>
    <n v="532"/>
    <n v="173"/>
    <n v="34"/>
    <n v="1"/>
    <n v="35"/>
    <n v="97"/>
    <n v="140"/>
    <n v="94"/>
    <n v="41"/>
    <n v="5"/>
    <n v="6"/>
    <n v="16"/>
    <n v="0"/>
    <n v="0.32518796992481203"/>
    <n v="0.17669172932330826"/>
    <n v="9.7744360902255634E-2"/>
    <n v="0.36974789915966388"/>
    <n v="0.59022556390977443"/>
    <n v="0.95997346306943832"/>
    <n v="0.26503759398496241"/>
    <n v="6.1187969924812013E-2"/>
    <n v="3.7747899159663867E-2"/>
    <n v="0.16322556390977444"/>
    <n v="0.20097346306943831"/>
    <n v="0.1020375939849624"/>
  </r>
  <r>
    <x v="0"/>
    <x v="8"/>
    <s v="kentje01"/>
    <s v="NL"/>
    <s v="SFN"/>
    <x v="3"/>
    <n v="4"/>
    <n v="607"/>
    <n v="181"/>
    <n v="49"/>
    <n v="6"/>
    <n v="22"/>
    <n v="84"/>
    <n v="106"/>
    <n v="96"/>
    <n v="65"/>
    <n v="4"/>
    <n v="11"/>
    <n v="13"/>
    <n v="0"/>
    <n v="0.29818780889621088"/>
    <n v="0.15815485996705106"/>
    <n v="0.13179571663920922"/>
    <n v="0.3692528735632184"/>
    <n v="0.5074135090609555"/>
    <n v="0.87666638262417385"/>
    <n v="0.20922570016474462"/>
    <n v="3.4187808896210869E-2"/>
    <n v="3.7252873563218381E-2"/>
    <n v="8.0413509060955513E-2"/>
    <n v="0.11766638262417384"/>
    <n v="4.6225700164744615E-2"/>
  </r>
  <r>
    <x v="0"/>
    <x v="8"/>
    <s v="aurilri01"/>
    <s v="NL"/>
    <s v="SFN"/>
    <x v="6"/>
    <n v="6"/>
    <n v="636"/>
    <n v="206"/>
    <n v="37"/>
    <n v="5"/>
    <n v="37"/>
    <n v="114"/>
    <n v="97"/>
    <n v="83"/>
    <n v="47"/>
    <n v="2"/>
    <n v="0"/>
    <n v="3"/>
    <n v="3"/>
    <n v="0.32389937106918237"/>
    <n v="0.13050314465408805"/>
    <n v="7.7044025157232701E-2"/>
    <n v="0.36880466472303208"/>
    <n v="0.57232704402515722"/>
    <n v="0.9411317087481893"/>
    <n v="0.24842767295597484"/>
    <n v="5.9899371069182361E-2"/>
    <n v="3.6804664723032066E-2"/>
    <n v="0.14532704402515723"/>
    <n v="0.18213170874818929"/>
    <n v="8.5427672955974837E-2"/>
  </r>
  <r>
    <x v="0"/>
    <x v="8"/>
    <s v="rodriiv01"/>
    <s v="AL"/>
    <s v="TEX"/>
    <x v="5"/>
    <n v="2"/>
    <n v="442"/>
    <n v="136"/>
    <n v="24"/>
    <n v="2"/>
    <n v="25"/>
    <n v="70"/>
    <n v="65"/>
    <n v="73"/>
    <n v="23"/>
    <n v="3"/>
    <n v="4"/>
    <n v="1"/>
    <n v="0"/>
    <n v="0.30769230769230771"/>
    <n v="0.16515837104072398"/>
    <n v="6.7873303167420809E-2"/>
    <n v="0.34680851063829787"/>
    <n v="0.54072398190045246"/>
    <n v="0.88753249253875033"/>
    <n v="0.23303167420814475"/>
    <n v="4.3692307692307697E-2"/>
    <n v="1.4808510638297856E-2"/>
    <n v="0.11372398190045246"/>
    <n v="0.12853249253875032"/>
    <n v="7.003167420814474E-2"/>
  </r>
  <r>
    <x v="0"/>
    <x v="8"/>
    <s v="ripkeca01"/>
    <s v="AL"/>
    <s v="BAL"/>
    <x v="6"/>
    <n v="6"/>
    <n v="477"/>
    <n v="114"/>
    <n v="16"/>
    <n v="0"/>
    <n v="14"/>
    <n v="43"/>
    <n v="68"/>
    <n v="63"/>
    <n v="26"/>
    <n v="1"/>
    <n v="2"/>
    <n v="9"/>
    <n v="2"/>
    <n v="0.2389937106918239"/>
    <n v="0.13207547169811321"/>
    <n v="6.0796645702306078E-2"/>
    <n v="0.27626459143968873"/>
    <n v="0.36058700209643607"/>
    <n v="0.63685159353612475"/>
    <n v="0.12159329140461217"/>
    <n v="-2.5006289308176111E-2"/>
    <n v="-5.5735408560311284E-2"/>
    <n v="-6.641299790356392E-2"/>
    <n v="-0.12214840646387526"/>
    <n v="-4.1406708595387837E-2"/>
  </r>
  <r>
    <x v="0"/>
    <x v="9"/>
    <s v="bondsba01"/>
    <s v="NL"/>
    <s v="SFN"/>
    <x v="1"/>
    <n v="7"/>
    <n v="403"/>
    <n v="149"/>
    <n v="31"/>
    <n v="2"/>
    <n v="46"/>
    <n v="117"/>
    <n v="110"/>
    <n v="47"/>
    <n v="198"/>
    <n v="68"/>
    <n v="9"/>
    <n v="2"/>
    <n v="0"/>
    <n v="0.36972704714640198"/>
    <n v="0.11662531017369727"/>
    <n v="0.68238213399503722"/>
    <n v="0.5816993464052288"/>
    <n v="0.79900744416873448"/>
    <n v="1.3807067905739632"/>
    <n v="0.4292803970223325"/>
    <n v="0.10872704714640197"/>
    <n v="0.25069934640522878"/>
    <n v="0.3820074441687345"/>
    <n v="0.63270679057396317"/>
    <n v="0.27328039702233253"/>
  </r>
  <r>
    <x v="0"/>
    <x v="9"/>
    <s v="ramirma02"/>
    <s v="AL"/>
    <s v="BOS"/>
    <x v="1"/>
    <n v="7"/>
    <n v="436"/>
    <n v="152"/>
    <n v="31"/>
    <n v="0"/>
    <n v="33"/>
    <n v="84"/>
    <n v="107"/>
    <n v="85"/>
    <n v="73"/>
    <n v="14"/>
    <n v="8"/>
    <n v="1"/>
    <n v="0"/>
    <n v="0.34862385321100919"/>
    <n v="0.19495412844036697"/>
    <n v="0.21788990825688073"/>
    <n v="0.4498069498069498"/>
    <n v="0.64678899082568808"/>
    <n v="1.0965959406326378"/>
    <n v="0.29816513761467889"/>
    <n v="8.7623853211009184E-2"/>
    <n v="0.11880694980694978"/>
    <n v="0.2297889908256881"/>
    <n v="0.34859594063263777"/>
    <n v="0.14216513761467889"/>
  </r>
  <r>
    <x v="0"/>
    <x v="9"/>
    <s v="heltoto01"/>
    <s v="NL"/>
    <s v="COL"/>
    <x v="0"/>
    <n v="3"/>
    <n v="553"/>
    <n v="182"/>
    <n v="39"/>
    <n v="4"/>
    <n v="30"/>
    <n v="107"/>
    <n v="109"/>
    <n v="91"/>
    <n v="99"/>
    <n v="21"/>
    <n v="5"/>
    <n v="10"/>
    <n v="0"/>
    <n v="0.32911392405063289"/>
    <n v="0.16455696202531644"/>
    <n v="0.22603978300180833"/>
    <n v="0.4287856071964018"/>
    <n v="0.57685352622061481"/>
    <n v="1.0056391334170165"/>
    <n v="0.24773960216998192"/>
    <n v="6.8113924050632879E-2"/>
    <n v="9.778560719640178E-2"/>
    <n v="0.15985352622061483"/>
    <n v="0.2576391334170165"/>
    <n v="9.1739602169981921E-2"/>
  </r>
  <r>
    <x v="0"/>
    <x v="9"/>
    <s v="guerrvl01"/>
    <s v="NL"/>
    <s v="MON"/>
    <x v="2"/>
    <n v="8"/>
    <n v="614"/>
    <n v="206"/>
    <n v="37"/>
    <n v="2"/>
    <n v="39"/>
    <n v="106"/>
    <n v="111"/>
    <n v="70"/>
    <n v="84"/>
    <n v="32"/>
    <n v="6"/>
    <n v="5"/>
    <n v="0"/>
    <n v="0.33550488599348532"/>
    <n v="0.11400651465798045"/>
    <n v="0.1986970684039088"/>
    <n v="0.41748942172073344"/>
    <n v="0.59283387622149841"/>
    <n v="1.0103232979422319"/>
    <n v="0.25732899022801309"/>
    <n v="7.4504885993485315E-2"/>
    <n v="8.6489421720733428E-2"/>
    <n v="0.17583387622149843"/>
    <n v="0.26232329794223186"/>
    <n v="0.10132899022801309"/>
  </r>
  <r>
    <x v="0"/>
    <x v="9"/>
    <s v="giambja01"/>
    <s v="AL"/>
    <s v="NYA"/>
    <x v="0"/>
    <n v="3"/>
    <n v="560"/>
    <n v="176"/>
    <n v="34"/>
    <n v="1"/>
    <n v="41"/>
    <n v="120"/>
    <n v="122"/>
    <n v="112"/>
    <n v="109"/>
    <n v="4"/>
    <n v="15"/>
    <n v="5"/>
    <n v="0"/>
    <n v="0.31428571428571428"/>
    <n v="0.2"/>
    <n v="0.22857142857142856"/>
    <n v="0.43541364296081275"/>
    <n v="0.5982142857142857"/>
    <n v="1.0336279286750985"/>
    <n v="0.28392857142857142"/>
    <n v="5.328571428571427E-2"/>
    <n v="0.10441364296081274"/>
    <n v="0.18121428571428572"/>
    <n v="0.28562792867509845"/>
    <n v="0.12792857142857142"/>
  </r>
  <r>
    <x v="0"/>
    <x v="9"/>
    <s v="sosasa01"/>
    <s v="NL"/>
    <s v="CHN"/>
    <x v="8"/>
    <n v="9"/>
    <n v="556"/>
    <n v="160"/>
    <n v="19"/>
    <n v="2"/>
    <n v="49"/>
    <n v="122"/>
    <n v="108"/>
    <n v="144"/>
    <n v="103"/>
    <n v="15"/>
    <n v="3"/>
    <n v="4"/>
    <n v="0"/>
    <n v="0.28776978417266186"/>
    <n v="0.25899280575539568"/>
    <n v="0.21762589928057555"/>
    <n v="0.39939939939939939"/>
    <n v="0.59352517985611508"/>
    <n v="0.99292457925551447"/>
    <n v="0.30575539568345322"/>
    <n v="2.6769784172661848E-2"/>
    <n v="6.8399399399399374E-2"/>
    <n v="0.1765251798561151"/>
    <n v="0.24492457925551447"/>
    <n v="0.14975539568345322"/>
  </r>
  <r>
    <x v="0"/>
    <x v="9"/>
    <s v="suzukic01"/>
    <s v="AL"/>
    <s v="SEA"/>
    <x v="8"/>
    <n v="9"/>
    <n v="647"/>
    <n v="208"/>
    <n v="27"/>
    <n v="8"/>
    <n v="8"/>
    <n v="111"/>
    <n v="51"/>
    <n v="62"/>
    <n v="68"/>
    <n v="27"/>
    <n v="5"/>
    <n v="5"/>
    <n v="3"/>
    <n v="0.321483771251932"/>
    <n v="9.5826893353941262E-2"/>
    <n v="0.15455950540958269"/>
    <n v="0.38758620689655171"/>
    <n v="0.42503863987635238"/>
    <n v="0.81262484677290403"/>
    <n v="0.10355486862442037"/>
    <n v="6.0483771251931995E-2"/>
    <n v="5.6586206896551694E-2"/>
    <n v="8.0386398763523936E-3"/>
    <n v="6.4624846772904032E-2"/>
    <n v="-5.2445131375579629E-2"/>
  </r>
  <r>
    <x v="0"/>
    <x v="9"/>
    <s v="rodrial01"/>
    <s v="AL"/>
    <s v="TEX"/>
    <x v="6"/>
    <n v="6"/>
    <n v="624"/>
    <n v="187"/>
    <n v="27"/>
    <n v="2"/>
    <n v="57"/>
    <n v="125"/>
    <n v="142"/>
    <n v="122"/>
    <n v="87"/>
    <n v="12"/>
    <n v="10"/>
    <n v="4"/>
    <n v="0"/>
    <n v="0.29967948717948717"/>
    <n v="0.19551282051282051"/>
    <n v="0.17467948717948717"/>
    <n v="0.3917241379310345"/>
    <n v="0.6233974358974359"/>
    <n v="1.0151215738284705"/>
    <n v="0.32371794871794873"/>
    <n v="3.867948717948716E-2"/>
    <n v="6.0724137931034483E-2"/>
    <n v="0.20639743589743592"/>
    <n v="0.26712157382847046"/>
    <n v="0.16771794871794873"/>
  </r>
  <r>
    <x v="0"/>
    <x v="9"/>
    <s v="posadjo01"/>
    <s v="AL"/>
    <s v="NYA"/>
    <x v="5"/>
    <n v="2"/>
    <n v="511"/>
    <n v="137"/>
    <n v="40"/>
    <n v="1"/>
    <n v="20"/>
    <n v="79"/>
    <n v="99"/>
    <n v="143"/>
    <n v="81"/>
    <n v="9"/>
    <n v="3"/>
    <n v="3"/>
    <n v="0"/>
    <n v="0.26810176125244617"/>
    <n v="0.27984344422700586"/>
    <n v="0.18199608610567514"/>
    <n v="0.36956521739130432"/>
    <n v="0.46771037181996084"/>
    <n v="0.8372755892112651"/>
    <n v="0.19960861056751467"/>
    <n v="7.1017612524461593E-3"/>
    <n v="3.8565217391304307E-2"/>
    <n v="5.0710371819960853E-2"/>
    <n v="8.9275589211265105E-2"/>
    <n v="4.3608610567514666E-2"/>
  </r>
  <r>
    <x v="0"/>
    <x v="9"/>
    <s v="vidrojo01"/>
    <s v="NL"/>
    <s v="MON"/>
    <x v="3"/>
    <n v="4"/>
    <n v="604"/>
    <n v="190"/>
    <n v="43"/>
    <n v="3"/>
    <n v="19"/>
    <n v="103"/>
    <n v="96"/>
    <n v="70"/>
    <n v="60"/>
    <n v="1"/>
    <n v="3"/>
    <n v="3"/>
    <n v="11"/>
    <n v="0.31456953642384106"/>
    <n v="0.11589403973509933"/>
    <n v="0.10596026490066225"/>
    <n v="0.37761194029850748"/>
    <n v="0.49006622516556292"/>
    <n v="0.86767816546407039"/>
    <n v="0.17549668874172186"/>
    <n v="5.3569536423841047E-2"/>
    <n v="4.6611940298507459E-2"/>
    <n v="7.3066225165562937E-2"/>
    <n v="0.1196781654640704"/>
    <n v="1.9496688741721863E-2"/>
  </r>
  <r>
    <x v="0"/>
    <x v="9"/>
    <s v="piazzmi01"/>
    <s v="NL"/>
    <s v="NYN"/>
    <x v="5"/>
    <n v="2"/>
    <n v="478"/>
    <n v="134"/>
    <n v="23"/>
    <n v="2"/>
    <n v="33"/>
    <n v="69"/>
    <n v="98"/>
    <n v="82"/>
    <n v="57"/>
    <n v="9"/>
    <n v="3"/>
    <n v="3"/>
    <n v="0"/>
    <n v="0.28033472803347281"/>
    <n v="0.17154811715481172"/>
    <n v="0.14435146443514643"/>
    <n v="0.35859519408502771"/>
    <n v="0.54393305439330542"/>
    <n v="0.90252824847833313"/>
    <n v="0.2635983263598326"/>
    <n v="1.9334728033472803E-2"/>
    <n v="2.7595194085027697E-2"/>
    <n v="0.12693305439330543"/>
    <n v="0.15452824847833313"/>
    <n v="0.1075983263598326"/>
  </r>
  <r>
    <x v="0"/>
    <x v="9"/>
    <s v="rolensc01"/>
    <s v="NL"/>
    <s v="PHI"/>
    <x v="7"/>
    <n v="5"/>
    <n v="375"/>
    <n v="97"/>
    <n v="21"/>
    <n v="4"/>
    <n v="17"/>
    <n v="52"/>
    <n v="66"/>
    <n v="68"/>
    <n v="52"/>
    <n v="2"/>
    <n v="8"/>
    <n v="3"/>
    <n v="0"/>
    <n v="0.25866666666666666"/>
    <n v="0.18133333333333335"/>
    <n v="0.16533333333333333"/>
    <n v="0.35844748858447489"/>
    <n v="0.47199999999999998"/>
    <n v="0.83044748858447481"/>
    <n v="0.21333333333333332"/>
    <n v="-2.3333333333333539E-3"/>
    <n v="2.7447488584474877E-2"/>
    <n v="5.4999999999999993E-2"/>
    <n v="8.2447488584474815E-2"/>
    <n v="5.7333333333333319E-2"/>
  </r>
  <r>
    <x v="0"/>
    <x v="9"/>
    <s v="rolensc01"/>
    <s v="NL"/>
    <s v="SLN"/>
    <x v="7"/>
    <n v="5"/>
    <n v="205"/>
    <n v="57"/>
    <n v="8"/>
    <n v="4"/>
    <n v="14"/>
    <n v="37"/>
    <n v="44"/>
    <n v="34"/>
    <n v="20"/>
    <n v="2"/>
    <n v="4"/>
    <n v="0"/>
    <n v="0"/>
    <n v="0.2780487804878049"/>
    <n v="0.16585365853658537"/>
    <n v="0.12682926829268293"/>
    <n v="0.35371179039301309"/>
    <n v="0.56097560975609762"/>
    <n v="0.91468740014911076"/>
    <n v="0.28292682926829271"/>
    <n v="1.7048780487804893E-2"/>
    <n v="2.2711790393013076E-2"/>
    <n v="0.14397560975609763"/>
    <n v="0.16668740014911076"/>
    <n v="0.12692682926829271"/>
  </r>
  <r>
    <x v="0"/>
    <x v="9"/>
    <s v="hunteto01"/>
    <s v="AL"/>
    <s v="MIN"/>
    <x v="2"/>
    <n v="8"/>
    <n v="561"/>
    <n v="162"/>
    <n v="37"/>
    <n v="4"/>
    <n v="29"/>
    <n v="89"/>
    <n v="94"/>
    <n v="118"/>
    <n v="35"/>
    <n v="3"/>
    <n v="5"/>
    <n v="3"/>
    <n v="0"/>
    <n v="0.28877005347593582"/>
    <n v="0.21033868092691621"/>
    <n v="7.6648841354723704E-2"/>
    <n v="0.33443708609271522"/>
    <n v="0.52406417112299464"/>
    <n v="0.8585012572157098"/>
    <n v="0.23529411764705882"/>
    <n v="2.7770053475935808E-2"/>
    <n v="3.4370860927152025E-3"/>
    <n v="0.10706417112299466"/>
    <n v="0.1105012572157098"/>
    <n v="7.929411764705882E-2"/>
  </r>
  <r>
    <x v="0"/>
    <x v="9"/>
    <s v="hillesh02"/>
    <s v="AL"/>
    <s v="BOS"/>
    <x v="7"/>
    <n v="5"/>
    <n v="634"/>
    <n v="186"/>
    <n v="43"/>
    <n v="4"/>
    <n v="18"/>
    <n v="94"/>
    <n v="83"/>
    <n v="95"/>
    <n v="25"/>
    <n v="4"/>
    <n v="12"/>
    <n v="5"/>
    <n v="0"/>
    <n v="0.29337539432176657"/>
    <n v="0.14984227129337541"/>
    <n v="6.4668769716088328E-2"/>
    <n v="0.32988165680473375"/>
    <n v="0.4589905362776025"/>
    <n v="0.78887219308233625"/>
    <n v="0.16561514195583593"/>
    <n v="3.237539432176656E-2"/>
    <n v="-1.1183431952662692E-3"/>
    <n v="4.1990536277602519E-2"/>
    <n v="4.087219308233625E-2"/>
    <n v="9.6151419558359319E-3"/>
  </r>
  <r>
    <x v="0"/>
    <x v="9"/>
    <s v="soriaal01"/>
    <s v="AL"/>
    <s v="NYA"/>
    <x v="3"/>
    <n v="4"/>
    <n v="696"/>
    <n v="209"/>
    <n v="51"/>
    <n v="2"/>
    <n v="39"/>
    <n v="128"/>
    <n v="102"/>
    <n v="157"/>
    <n v="23"/>
    <n v="1"/>
    <n v="14"/>
    <n v="7"/>
    <n v="1"/>
    <n v="0.30028735632183906"/>
    <n v="0.22557471264367815"/>
    <n v="5.459770114942529E-2"/>
    <n v="0.33243243243243242"/>
    <n v="0.54741379310344829"/>
    <n v="0.87984622553588077"/>
    <n v="0.24712643678160923"/>
    <n v="3.9287356321839051E-2"/>
    <n v="1.4324324324324067E-3"/>
    <n v="0.13041379310344831"/>
    <n v="0.13184622553588077"/>
    <n v="9.1126436781609227E-2"/>
  </r>
  <r>
    <x v="0"/>
    <x v="9"/>
    <s v="rolliji01"/>
    <s v="NL"/>
    <s v="PHI"/>
    <x v="6"/>
    <n v="6"/>
    <n v="637"/>
    <n v="156"/>
    <n v="33"/>
    <n v="10"/>
    <n v="11"/>
    <n v="82"/>
    <n v="60"/>
    <n v="103"/>
    <n v="54"/>
    <n v="3"/>
    <n v="4"/>
    <n v="4"/>
    <n v="6"/>
    <n v="0.24489795918367346"/>
    <n v="0.16169544740973313"/>
    <n v="9.5761381475667193E-2"/>
    <n v="0.3061516452074392"/>
    <n v="0.37990580847723704"/>
    <n v="0.68605745368467619"/>
    <n v="0.13500784929356358"/>
    <n v="-1.6102040816326546E-2"/>
    <n v="-2.4848354792560812E-2"/>
    <n v="-3.7094191522762943E-2"/>
    <n v="-6.194254631532381E-2"/>
    <n v="-2.0992150706436424E-2"/>
  </r>
  <r>
    <x v="1"/>
    <x v="10"/>
    <s v="bondsba01"/>
    <s v="NL"/>
    <s v="SFN"/>
    <x v="4"/>
    <n v="10"/>
    <n v="390"/>
    <n v="133"/>
    <n v="22"/>
    <n v="1"/>
    <n v="45"/>
    <n v="111"/>
    <n v="90"/>
    <n v="58"/>
    <n v="148"/>
    <n v="61"/>
    <n v="10"/>
    <n v="2"/>
    <n v="0"/>
    <n v="0.34102564102564104"/>
    <n v="0.14871794871794872"/>
    <n v="0.56153846153846154"/>
    <n v="0.52909090909090906"/>
    <n v="0.74871794871794872"/>
    <n v="1.2778088578088578"/>
    <n v="0.40769230769230769"/>
    <n v="7.7025641025641023E-2"/>
    <n v="0.19609090909090904"/>
    <n v="0.32671794871794874"/>
    <n v="0.52280885780885777"/>
    <n v="0.24969230769230769"/>
  </r>
  <r>
    <x v="1"/>
    <x v="10"/>
    <s v="heltoto01"/>
    <s v="NL"/>
    <s v="COL"/>
    <x v="0"/>
    <n v="3"/>
    <n v="583"/>
    <n v="209"/>
    <n v="49"/>
    <n v="5"/>
    <n v="33"/>
    <n v="135"/>
    <n v="117"/>
    <n v="72"/>
    <n v="111"/>
    <n v="21"/>
    <n v="2"/>
    <n v="7"/>
    <n v="0"/>
    <n v="0.35849056603773582"/>
    <n v="0.1234991423670669"/>
    <n v="0.22984562607204118"/>
    <n v="0.45803698435277385"/>
    <n v="0.6295025728987993"/>
    <n v="1.0875395572515731"/>
    <n v="0.27101200686106347"/>
    <n v="9.4490566037735813E-2"/>
    <n v="0.12503698435277383"/>
    <n v="0.20750257289879931"/>
    <n v="0.33253955725157314"/>
    <n v="0.11301200686106347"/>
  </r>
  <r>
    <x v="1"/>
    <x v="10"/>
    <s v="pujolal01"/>
    <s v="NL"/>
    <s v="SLN"/>
    <x v="1"/>
    <n v="7"/>
    <n v="591"/>
    <n v="212"/>
    <n v="51"/>
    <n v="1"/>
    <n v="43"/>
    <n v="137"/>
    <n v="124"/>
    <n v="65"/>
    <n v="79"/>
    <n v="12"/>
    <n v="10"/>
    <n v="5"/>
    <n v="0"/>
    <n v="0.35871404399323181"/>
    <n v="0.10998307952622674"/>
    <n v="0.17089678510998307"/>
    <n v="0.43941605839416059"/>
    <n v="0.66666666666666663"/>
    <n v="1.1060827250608272"/>
    <n v="0.30795262267343482"/>
    <n v="9.47140439932318E-2"/>
    <n v="0.10641605839416057"/>
    <n v="0.24466666666666664"/>
    <n v="0.35108272506082716"/>
    <n v="0.14995262267343482"/>
  </r>
  <r>
    <x v="1"/>
    <x v="10"/>
    <s v="delgaca01"/>
    <s v="AL"/>
    <s v="TOR"/>
    <x v="0"/>
    <n v="3"/>
    <n v="570"/>
    <n v="172"/>
    <n v="38"/>
    <n v="1"/>
    <n v="42"/>
    <n v="117"/>
    <n v="145"/>
    <n v="137"/>
    <n v="109"/>
    <n v="23"/>
    <n v="19"/>
    <n v="7"/>
    <n v="0"/>
    <n v="0.30175438596491228"/>
    <n v="0.24035087719298245"/>
    <n v="0.26491228070175438"/>
    <n v="0.42553191489361702"/>
    <n v="0.59298245614035083"/>
    <n v="1.0185143710339679"/>
    <n v="0.29122807017543856"/>
    <n v="3.7754385964912263E-2"/>
    <n v="9.2531914893617007E-2"/>
    <n v="0.17098245614035085"/>
    <n v="0.26351437103396791"/>
    <n v="0.13322807017543856"/>
  </r>
  <r>
    <x v="1"/>
    <x v="10"/>
    <s v="sheffga01"/>
    <s v="NL"/>
    <s v="ATL"/>
    <x v="8"/>
    <n v="9"/>
    <n v="576"/>
    <n v="190"/>
    <n v="37"/>
    <n v="2"/>
    <n v="39"/>
    <n v="126"/>
    <n v="132"/>
    <n v="55"/>
    <n v="86"/>
    <n v="6"/>
    <n v="8"/>
    <n v="8"/>
    <n v="0"/>
    <n v="0.3298611111111111"/>
    <n v="9.5486111111111105E-2"/>
    <n v="0.1736111111111111"/>
    <n v="0.41887905604719766"/>
    <n v="0.60416666666666663"/>
    <n v="1.0230457227138643"/>
    <n v="0.27430555555555552"/>
    <n v="6.5861111111111093E-2"/>
    <n v="8.5879056047197644E-2"/>
    <n v="0.18216666666666664"/>
    <n v="0.26804572271386429"/>
    <n v="0.11630555555555552"/>
  </r>
  <r>
    <x v="1"/>
    <x v="10"/>
    <s v="martied01"/>
    <s v="AL"/>
    <s v="SEA"/>
    <x v="4"/>
    <n v="10"/>
    <n v="497"/>
    <n v="146"/>
    <n v="25"/>
    <n v="0"/>
    <n v="24"/>
    <n v="72"/>
    <n v="98"/>
    <n v="95"/>
    <n v="92"/>
    <n v="7"/>
    <n v="7"/>
    <n v="7"/>
    <n v="0"/>
    <n v="0.29376257545271628"/>
    <n v="0.19114688128772636"/>
    <n v="0.21327967806841047"/>
    <n v="0.40630182421227196"/>
    <n v="0.48893360160965793"/>
    <n v="0.89523542582192994"/>
    <n v="0.19517102615694165"/>
    <n v="2.9762575452716267E-2"/>
    <n v="7.3301824212271938E-2"/>
    <n v="6.6933601609657944E-2"/>
    <n v="0.14023542582192994"/>
    <n v="3.717102615694165E-2"/>
  </r>
  <r>
    <x v="1"/>
    <x v="10"/>
    <s v="posadjo01"/>
    <s v="AL"/>
    <s v="NYA"/>
    <x v="5"/>
    <n v="2"/>
    <n v="481"/>
    <n v="135"/>
    <n v="24"/>
    <n v="0"/>
    <n v="30"/>
    <n v="83"/>
    <n v="101"/>
    <n v="110"/>
    <n v="93"/>
    <n v="6"/>
    <n v="10"/>
    <n v="4"/>
    <n v="0"/>
    <n v="0.28066528066528068"/>
    <n v="0.2286902286902287"/>
    <n v="0.22661122661122662"/>
    <n v="0.40476190476190477"/>
    <n v="0.51767151767151764"/>
    <n v="0.92243342243342241"/>
    <n v="0.23700623700623696"/>
    <n v="1.6665280665280668E-2"/>
    <n v="7.1761904761904749E-2"/>
    <n v="9.5671517671517659E-2"/>
    <n v="0.16743342243342241"/>
    <n v="7.9006237006236962E-2"/>
  </r>
  <r>
    <x v="1"/>
    <x v="10"/>
    <s v="renteed01"/>
    <s v="NL"/>
    <s v="SLN"/>
    <x v="6"/>
    <n v="6"/>
    <n v="587"/>
    <n v="194"/>
    <n v="47"/>
    <n v="1"/>
    <n v="13"/>
    <n v="96"/>
    <n v="100"/>
    <n v="54"/>
    <n v="65"/>
    <n v="12"/>
    <n v="1"/>
    <n v="7"/>
    <n v="3"/>
    <n v="0.33049403747870526"/>
    <n v="9.1993185689948895E-2"/>
    <n v="0.13287904599659284"/>
    <n v="0.39393939393939392"/>
    <n v="0.48040885860306642"/>
    <n v="0.8743482525424604"/>
    <n v="0.14991482112436116"/>
    <n v="6.6494037478705248E-2"/>
    <n v="6.0939393939393904E-2"/>
    <n v="5.8408858603066438E-2"/>
    <n v="0.1193482525424604"/>
    <n v="-8.0851788756388376E-3"/>
  </r>
  <r>
    <x v="1"/>
    <x v="10"/>
    <s v="rodrial01"/>
    <s v="AL"/>
    <s v="TEX"/>
    <x v="6"/>
    <n v="6"/>
    <n v="607"/>
    <n v="181"/>
    <n v="30"/>
    <n v="6"/>
    <n v="47"/>
    <n v="124"/>
    <n v="118"/>
    <n v="126"/>
    <n v="87"/>
    <n v="10"/>
    <n v="15"/>
    <n v="6"/>
    <n v="0"/>
    <n v="0.29818780889621088"/>
    <n v="0.20757825370675453"/>
    <n v="0.18451400329489293"/>
    <n v="0.39580419580419579"/>
    <n v="0.59967051070840194"/>
    <n v="0.99547470651259773"/>
    <n v="0.30148270181219106"/>
    <n v="3.4187808896210869E-2"/>
    <n v="6.2804195804195773E-2"/>
    <n v="0.17767051070840195"/>
    <n v="0.24047470651259772"/>
    <n v="0.14348270181219105"/>
  </r>
  <r>
    <x v="1"/>
    <x v="10"/>
    <s v="vidrojo01"/>
    <s v="NL"/>
    <s v="MON"/>
    <x v="3"/>
    <n v="4"/>
    <n v="509"/>
    <n v="158"/>
    <n v="36"/>
    <n v="0"/>
    <n v="15"/>
    <n v="77"/>
    <n v="65"/>
    <n v="50"/>
    <n v="69"/>
    <n v="6"/>
    <n v="7"/>
    <n v="5"/>
    <n v="2"/>
    <n v="0.31041257367387032"/>
    <n v="9.8231827111984277E-2"/>
    <n v="0.16110019646365423"/>
    <n v="0.39661016949152544"/>
    <n v="0.46954813359528486"/>
    <n v="0.8661583030868103"/>
    <n v="0.15913555992141454"/>
    <n v="4.6412573673870305E-2"/>
    <n v="6.3610169491525426E-2"/>
    <n v="4.7548133595284869E-2"/>
    <n v="0.1111583030868103"/>
    <n v="1.1355599214145362E-3"/>
  </r>
  <r>
    <x v="1"/>
    <x v="10"/>
    <s v="edmonji01"/>
    <s v="NL"/>
    <s v="SLN"/>
    <x v="2"/>
    <n v="8"/>
    <n v="447"/>
    <n v="123"/>
    <n v="32"/>
    <n v="2"/>
    <n v="39"/>
    <n v="89"/>
    <n v="89"/>
    <n v="127"/>
    <n v="77"/>
    <n v="6"/>
    <n v="4"/>
    <n v="2"/>
    <n v="1"/>
    <n v="0.27516778523489932"/>
    <n v="0.28411633109619688"/>
    <n v="0.19463087248322147"/>
    <n v="0.38490566037735852"/>
    <n v="0.6174496644295302"/>
    <n v="1.0023553248068886"/>
    <n v="0.34228187919463088"/>
    <n v="1.1167785234899308E-2"/>
    <n v="5.1905660377358498E-2"/>
    <n v="0.19544966442953021"/>
    <n v="0.2473553248068886"/>
    <n v="0.18428187919463088"/>
  </r>
  <r>
    <x v="1"/>
    <x v="10"/>
    <s v="rolensc01"/>
    <s v="NL"/>
    <s v="SLN"/>
    <x v="7"/>
    <n v="5"/>
    <n v="559"/>
    <n v="160"/>
    <n v="49"/>
    <n v="1"/>
    <n v="28"/>
    <n v="98"/>
    <n v="104"/>
    <n v="104"/>
    <n v="82"/>
    <n v="5"/>
    <n v="9"/>
    <n v="7"/>
    <n v="0"/>
    <n v="0.28622540250447226"/>
    <n v="0.18604651162790697"/>
    <n v="0.17173524150268335"/>
    <n v="0.38203957382039572"/>
    <n v="0.52772808586762077"/>
    <n v="0.90976765968801643"/>
    <n v="0.24150268336314851"/>
    <n v="2.2225402504472247E-2"/>
    <n v="4.9039573820395699E-2"/>
    <n v="0.10572808586762078"/>
    <n v="0.15476765968801642"/>
    <n v="8.3502683363148505E-2"/>
  </r>
  <r>
    <x v="1"/>
    <x v="10"/>
    <s v="lopezja01"/>
    <s v="NL"/>
    <s v="ATL"/>
    <x v="5"/>
    <n v="2"/>
    <n v="457"/>
    <n v="150"/>
    <n v="29"/>
    <n v="3"/>
    <n v="43"/>
    <n v="89"/>
    <n v="109"/>
    <n v="90"/>
    <n v="33"/>
    <n v="5"/>
    <n v="4"/>
    <n v="1"/>
    <n v="0"/>
    <n v="0.32822757111597373"/>
    <n v="0.19693654266958424"/>
    <n v="9.1903719912472648E-2"/>
    <n v="0.37777777777777777"/>
    <n v="0.68708971553610498"/>
    <n v="1.0648674933138826"/>
    <n v="0.35886214442013126"/>
    <n v="6.4227571115973714E-2"/>
    <n v="4.477777777777775E-2"/>
    <n v="0.265089715536105"/>
    <n v="0.30986749331388264"/>
    <n v="0.20086214442013126"/>
  </r>
  <r>
    <x v="1"/>
    <x v="10"/>
    <s v="suzukic01"/>
    <s v="AL"/>
    <s v="SEA"/>
    <x v="8"/>
    <n v="9"/>
    <n v="679"/>
    <n v="212"/>
    <n v="29"/>
    <n v="8"/>
    <n v="13"/>
    <n v="111"/>
    <n v="62"/>
    <n v="69"/>
    <n v="36"/>
    <n v="7"/>
    <n v="6"/>
    <n v="1"/>
    <n v="3"/>
    <n v="0.31222385861561119"/>
    <n v="0.101620029455081"/>
    <n v="7.2164948453608241E-2"/>
    <n v="0.35180055401662053"/>
    <n v="0.43593519882179677"/>
    <n v="0.78773575283841724"/>
    <n v="0.12371134020618557"/>
    <n v="4.8223858615611181E-2"/>
    <n v="1.8800554016620508E-2"/>
    <n v="1.3935198821796779E-2"/>
    <n v="3.2735752838417231E-2"/>
    <n v="-3.428865979381443E-2"/>
  </r>
  <r>
    <x v="1"/>
    <x v="10"/>
    <s v="matsuhi01"/>
    <s v="AL"/>
    <s v="NYA"/>
    <x v="2"/>
    <n v="8"/>
    <n v="623"/>
    <n v="179"/>
    <n v="42"/>
    <n v="1"/>
    <n v="16"/>
    <n v="82"/>
    <n v="106"/>
    <n v="86"/>
    <n v="63"/>
    <n v="5"/>
    <n v="3"/>
    <n v="6"/>
    <n v="0"/>
    <n v="0.28731942215088285"/>
    <n v="0.13804173354735153"/>
    <n v="0.11396468699839486"/>
    <n v="0.35251798561151076"/>
    <n v="0.434991974317817"/>
    <n v="0.78750995992932782"/>
    <n v="0.14767255216693415"/>
    <n v="2.331942215088284E-2"/>
    <n v="1.9517985611510746E-2"/>
    <n v="1.2991974317817012E-2"/>
    <n v="3.2509959929327814E-2"/>
    <n v="-1.0327447833065856E-2"/>
  </r>
  <r>
    <x v="1"/>
    <x v="10"/>
    <s v="anderga01"/>
    <s v="AL"/>
    <s v="ANA"/>
    <x v="1"/>
    <n v="7"/>
    <n v="638"/>
    <n v="201"/>
    <n v="49"/>
    <n v="4"/>
    <n v="29"/>
    <n v="80"/>
    <n v="116"/>
    <n v="83"/>
    <n v="31"/>
    <n v="10"/>
    <n v="0"/>
    <n v="4"/>
    <n v="0"/>
    <n v="0.31504702194357365"/>
    <n v="0.13009404388714735"/>
    <n v="6.4263322884012541E-2"/>
    <n v="0.34472511144130757"/>
    <n v="0.54075235109717867"/>
    <n v="0.88547746253848625"/>
    <n v="0.22570532915360503"/>
    <n v="5.1047021943573634E-2"/>
    <n v="1.1725111441307556E-2"/>
    <n v="0.11875235109717869"/>
    <n v="0.13047746253848624"/>
    <n v="6.7705329153605026E-2"/>
  </r>
  <r>
    <x v="1"/>
    <x v="10"/>
    <s v="glaustr01"/>
    <s v="AL"/>
    <s v="ANA"/>
    <x v="7"/>
    <n v="5"/>
    <n v="319"/>
    <n v="79"/>
    <n v="17"/>
    <n v="2"/>
    <n v="16"/>
    <n v="53"/>
    <n v="50"/>
    <n v="73"/>
    <n v="46"/>
    <n v="4"/>
    <n v="1"/>
    <n v="1"/>
    <n v="0"/>
    <n v="0.2476489028213166"/>
    <n v="0.22884012539184953"/>
    <n v="0.15987460815047022"/>
    <n v="0.34332425068119893"/>
    <n v="0.46394984326018807"/>
    <n v="0.80727409394138694"/>
    <n v="0.21630094043887146"/>
    <n v="-1.635109717868341E-2"/>
    <n v="1.032425068119891E-2"/>
    <n v="4.194984326018808E-2"/>
    <n v="5.2274093941386934E-2"/>
    <n v="5.8300940438871462E-2"/>
  </r>
  <r>
    <x v="1"/>
    <x v="10"/>
    <s v="soriaal01"/>
    <s v="AL"/>
    <s v="NYA"/>
    <x v="3"/>
    <n v="4"/>
    <n v="682"/>
    <n v="198"/>
    <n v="36"/>
    <n v="5"/>
    <n v="38"/>
    <n v="114"/>
    <n v="91"/>
    <n v="130"/>
    <n v="38"/>
    <n v="7"/>
    <n v="12"/>
    <n v="2"/>
    <n v="0"/>
    <n v="0.29032258064516131"/>
    <n v="0.1906158357771261"/>
    <n v="8.357771260997067E-2"/>
    <n v="0.33787465940054495"/>
    <n v="0.52492668621700878"/>
    <n v="0.86280134561755373"/>
    <n v="0.23460410557184747"/>
    <n v="2.6322580645161298E-2"/>
    <n v="4.874659400544934E-3"/>
    <n v="0.10292668621700879"/>
    <n v="0.10780134561755372"/>
    <n v="7.6604105571847464E-2"/>
  </r>
  <r>
    <x v="1"/>
    <x v="11"/>
    <s v="bondsba01"/>
    <s v="NL"/>
    <s v="SFN"/>
    <x v="1"/>
    <n v="7"/>
    <n v="373"/>
    <n v="135"/>
    <n v="27"/>
    <n v="3"/>
    <n v="45"/>
    <n v="129"/>
    <n v="101"/>
    <n v="41"/>
    <n v="232"/>
    <n v="120"/>
    <n v="9"/>
    <n v="3"/>
    <n v="0"/>
    <n v="0.36193029490616624"/>
    <n v="0.10991957104557641"/>
    <n v="0.96782841823056298"/>
    <n v="0.60940032414910861"/>
    <n v="0.81233243967828417"/>
    <n v="1.4217327638273929"/>
    <n v="0.45040214477211793"/>
    <n v="9.5930294906166225E-2"/>
    <n v="0.27440032414910859"/>
    <n v="0.38433243967828418"/>
    <n v="0.65873276382739288"/>
    <n v="0.2884021447721179"/>
  </r>
  <r>
    <x v="1"/>
    <x v="11"/>
    <s v="berkmla01"/>
    <s v="NL"/>
    <s v="HOU"/>
    <x v="2"/>
    <n v="8"/>
    <n v="544"/>
    <n v="172"/>
    <n v="40"/>
    <n v="3"/>
    <n v="30"/>
    <n v="104"/>
    <n v="106"/>
    <n v="101"/>
    <n v="127"/>
    <n v="14"/>
    <n v="10"/>
    <n v="6"/>
    <n v="0"/>
    <n v="0.31617647058823528"/>
    <n v="0.18566176470588236"/>
    <n v="0.27757352941176472"/>
    <n v="0.44978165938864628"/>
    <n v="0.56617647058823528"/>
    <n v="1.0159581299768816"/>
    <n v="0.25"/>
    <n v="5.0176470588235267E-2"/>
    <n v="0.11478165938864626"/>
    <n v="0.13817647058823529"/>
    <n v="0.25295812997688161"/>
    <n v="8.7999999999999995E-2"/>
  </r>
  <r>
    <x v="1"/>
    <x v="11"/>
    <s v="suzukic01"/>
    <s v="AL"/>
    <s v="SEA"/>
    <x v="2"/>
    <n v="8"/>
    <n v="704"/>
    <n v="262"/>
    <n v="24"/>
    <n v="5"/>
    <n v="8"/>
    <n v="101"/>
    <n v="60"/>
    <n v="63"/>
    <n v="49"/>
    <n v="19"/>
    <n v="4"/>
    <n v="3"/>
    <n v="2"/>
    <n v="0.37215909090909088"/>
    <n v="8.9488636363636367E-2"/>
    <n v="0.10227272727272728"/>
    <n v="0.41447368421052633"/>
    <n v="0.45454545454545453"/>
    <n v="0.86901913875598091"/>
    <n v="8.2386363636363646E-2"/>
    <n v="0.10615909090909087"/>
    <n v="7.9473684210526307E-2"/>
    <n v="2.6545454545454539E-2"/>
    <n v="0.1060191387559809"/>
    <n v="-7.9613636363636359E-2"/>
  </r>
  <r>
    <x v="1"/>
    <x v="11"/>
    <s v="pujolal01"/>
    <s v="NL"/>
    <s v="SLN"/>
    <x v="0"/>
    <n v="3"/>
    <n v="592"/>
    <n v="196"/>
    <n v="51"/>
    <n v="2"/>
    <n v="46"/>
    <n v="133"/>
    <n v="123"/>
    <n v="52"/>
    <n v="84"/>
    <n v="12"/>
    <n v="7"/>
    <n v="9"/>
    <n v="0"/>
    <n v="0.33108108108108109"/>
    <n v="8.7837837837837843E-2"/>
    <n v="0.17398648648648649"/>
    <n v="0.41473988439306358"/>
    <n v="0.65709459459459463"/>
    <n v="1.0718344789876582"/>
    <n v="0.32601351351351354"/>
    <n v="6.5081081081081071E-2"/>
    <n v="7.9739884393063565E-2"/>
    <n v="0.22909459459459464"/>
    <n v="0.30883447898765815"/>
    <n v="0.16401351351351354"/>
  </r>
  <r>
    <x v="1"/>
    <x v="11"/>
    <s v="rolensc01"/>
    <s v="NL"/>
    <s v="SLN"/>
    <x v="7"/>
    <n v="5"/>
    <n v="500"/>
    <n v="157"/>
    <n v="32"/>
    <n v="4"/>
    <n v="34"/>
    <n v="109"/>
    <n v="124"/>
    <n v="92"/>
    <n v="72"/>
    <n v="5"/>
    <n v="13"/>
    <n v="7"/>
    <n v="1"/>
    <n v="0.314"/>
    <n v="0.184"/>
    <n v="0.18"/>
    <n v="0.40878378378378377"/>
    <n v="0.59799999999999998"/>
    <n v="1.0067837837837836"/>
    <n v="0.28399999999999997"/>
    <n v="4.7999999999999987E-2"/>
    <n v="7.3783783783783752E-2"/>
    <n v="0.16999999999999998"/>
    <n v="0.24378378378378363"/>
    <n v="0.12199999999999997"/>
  </r>
  <r>
    <x v="1"/>
    <x v="11"/>
    <s v="ramirma02"/>
    <s v="AL"/>
    <s v="BOS"/>
    <x v="1"/>
    <n v="7"/>
    <n v="568"/>
    <n v="175"/>
    <n v="44"/>
    <n v="0"/>
    <n v="43"/>
    <n v="108"/>
    <n v="130"/>
    <n v="124"/>
    <n v="82"/>
    <n v="15"/>
    <n v="6"/>
    <n v="7"/>
    <n v="0"/>
    <n v="0.30809859154929575"/>
    <n v="0.21830985915492956"/>
    <n v="0.18133802816901409"/>
    <n v="0.39668174962292607"/>
    <n v="0.61267605633802813"/>
    <n v="1.0093578059609543"/>
    <n v="0.30457746478873238"/>
    <n v="4.2098591549295739E-2"/>
    <n v="6.1681749622926052E-2"/>
    <n v="0.18467605633802814"/>
    <n v="0.24635780596095425"/>
    <n v="0.14257746478873237"/>
  </r>
  <r>
    <x v="1"/>
    <x v="11"/>
    <s v="guerrvl01"/>
    <s v="AL"/>
    <s v="ANA"/>
    <x v="8"/>
    <n v="9"/>
    <n v="612"/>
    <n v="206"/>
    <n v="39"/>
    <n v="2"/>
    <n v="39"/>
    <n v="124"/>
    <n v="126"/>
    <n v="74"/>
    <n v="52"/>
    <n v="14"/>
    <n v="8"/>
    <n v="8"/>
    <n v="0"/>
    <n v="0.33660130718954251"/>
    <n v="0.12091503267973856"/>
    <n v="0.12091503267973856"/>
    <n v="0.39117647058823529"/>
    <n v="0.59803921568627449"/>
    <n v="0.98921568627450984"/>
    <n v="0.26143790849673199"/>
    <n v="7.0601307189542495E-2"/>
    <n v="5.6176470588235272E-2"/>
    <n v="0.1700392156862745"/>
    <n v="0.22621568627450983"/>
    <n v="9.943790849673198E-2"/>
  </r>
  <r>
    <x v="1"/>
    <x v="11"/>
    <s v="rodriiv01"/>
    <s v="AL"/>
    <s v="DET"/>
    <x v="5"/>
    <n v="2"/>
    <n v="527"/>
    <n v="176"/>
    <n v="32"/>
    <n v="2"/>
    <n v="19"/>
    <n v="72"/>
    <n v="86"/>
    <n v="91"/>
    <n v="41"/>
    <n v="6"/>
    <n v="3"/>
    <n v="4"/>
    <n v="0"/>
    <n v="0.33396584440227706"/>
    <n v="0.17267552182163187"/>
    <n v="9.4876660341555979E-2"/>
    <n v="0.38260869565217392"/>
    <n v="0.5104364326375711"/>
    <n v="0.89304512828974503"/>
    <n v="0.17647058823529405"/>
    <n v="6.7965844402277042E-2"/>
    <n v="4.7608695652173905E-2"/>
    <n v="8.2436432637571111E-2"/>
    <n v="0.13004512828974502"/>
    <n v="1.4470588235294041E-2"/>
  </r>
  <r>
    <x v="1"/>
    <x v="11"/>
    <s v="rodrial01"/>
    <s v="AL"/>
    <s v="NYA"/>
    <x v="7"/>
    <n v="5"/>
    <n v="601"/>
    <n v="172"/>
    <n v="24"/>
    <n v="2"/>
    <n v="36"/>
    <n v="112"/>
    <n v="106"/>
    <n v="131"/>
    <n v="80"/>
    <n v="6"/>
    <n v="10"/>
    <n v="7"/>
    <n v="0"/>
    <n v="0.28618968386023297"/>
    <n v="0.21797004991680533"/>
    <n v="0.15973377703826955"/>
    <n v="0.37535816618911177"/>
    <n v="0.5124792013311148"/>
    <n v="0.88783736752022657"/>
    <n v="0.22628951747088183"/>
    <n v="2.0189683860232954E-2"/>
    <n v="4.0358166189111755E-2"/>
    <n v="8.4479201331114806E-2"/>
    <n v="0.12483736752022656"/>
    <n v="6.4289517470881824E-2"/>
  </r>
  <r>
    <x v="1"/>
    <x v="11"/>
    <s v="piazzmi01"/>
    <s v="NL"/>
    <s v="NYN"/>
    <x v="5"/>
    <n v="2"/>
    <n v="455"/>
    <n v="121"/>
    <n v="21"/>
    <n v="0"/>
    <n v="20"/>
    <n v="47"/>
    <n v="54"/>
    <n v="78"/>
    <n v="68"/>
    <n v="14"/>
    <n v="2"/>
    <n v="3"/>
    <n v="0"/>
    <n v="0.26593406593406593"/>
    <n v="0.17142857142857143"/>
    <n v="0.18461538461538463"/>
    <n v="0.36174242424242425"/>
    <n v="0.44395604395604393"/>
    <n v="0.80569846819846824"/>
    <n v="0.178021978021978"/>
    <n v="-6.5934065934081243E-5"/>
    <n v="2.6742424242424234E-2"/>
    <n v="1.5956043956043942E-2"/>
    <n v="4.2698468198468231E-2"/>
    <n v="1.6021978021977995E-2"/>
  </r>
  <r>
    <x v="1"/>
    <x v="11"/>
    <s v="jeterde01"/>
    <s v="AL"/>
    <s v="NYA"/>
    <x v="6"/>
    <n v="6"/>
    <n v="643"/>
    <n v="188"/>
    <n v="44"/>
    <n v="1"/>
    <n v="23"/>
    <n v="111"/>
    <n v="78"/>
    <n v="99"/>
    <n v="46"/>
    <n v="1"/>
    <n v="14"/>
    <n v="2"/>
    <n v="16"/>
    <n v="0.29237947122861585"/>
    <n v="0.15396578538102643"/>
    <n v="9.4867807153965783E-2"/>
    <n v="0.35177304964539008"/>
    <n v="0.47122861586314152"/>
    <n v="0.8230016655085316"/>
    <n v="0.17884914463452567"/>
    <n v="2.6379471228615836E-2"/>
    <n v="1.6773049645390059E-2"/>
    <n v="4.3228615863141528E-2"/>
    <n v="6.0001665508531588E-2"/>
    <n v="1.6849144634525665E-2"/>
  </r>
  <r>
    <x v="1"/>
    <x v="11"/>
    <s v="kentje01"/>
    <s v="NL"/>
    <s v="HOU"/>
    <x v="3"/>
    <n v="4"/>
    <n v="540"/>
    <n v="156"/>
    <n v="34"/>
    <n v="8"/>
    <n v="27"/>
    <n v="96"/>
    <n v="107"/>
    <n v="96"/>
    <n v="49"/>
    <n v="3"/>
    <n v="6"/>
    <n v="11"/>
    <n v="0"/>
    <n v="0.28888888888888886"/>
    <n v="0.17777777777777778"/>
    <n v="0.10740740740740741"/>
    <n v="0.34818481848184818"/>
    <n v="0.53148148148148144"/>
    <n v="0.87966629996332957"/>
    <n v="0.24259259259259258"/>
    <n v="2.2888888888888848E-2"/>
    <n v="1.318481848184816E-2"/>
    <n v="0.10348148148148145"/>
    <n v="0.11666629996332956"/>
    <n v="8.0592592592592577E-2"/>
  </r>
  <r>
    <x v="1"/>
    <x v="11"/>
    <s v="giambja01"/>
    <s v="AL"/>
    <s v="NYA"/>
    <x v="0"/>
    <n v="3"/>
    <n v="264"/>
    <n v="55"/>
    <n v="9"/>
    <n v="0"/>
    <n v="12"/>
    <n v="33"/>
    <n v="40"/>
    <n v="62"/>
    <n v="47"/>
    <n v="1"/>
    <n v="8"/>
    <n v="3"/>
    <n v="0"/>
    <n v="0.20833333333333334"/>
    <n v="0.23484848484848486"/>
    <n v="0.21212121212121213"/>
    <n v="0.34161490683229812"/>
    <n v="0.37878787878787878"/>
    <n v="0.7204027856201769"/>
    <n v="0.17045454545454544"/>
    <n v="-5.7666666666666672E-2"/>
    <n v="6.6149068322980953E-3"/>
    <n v="-4.9212121212121207E-2"/>
    <n v="-4.2597214379823112E-2"/>
    <n v="8.4545454545454368E-3"/>
  </r>
  <r>
    <x v="1"/>
    <x v="11"/>
    <s v="sosasa01"/>
    <s v="NL"/>
    <s v="CHN"/>
    <x v="8"/>
    <n v="9"/>
    <n v="478"/>
    <n v="121"/>
    <n v="21"/>
    <n v="0"/>
    <n v="35"/>
    <n v="69"/>
    <n v="80"/>
    <n v="133"/>
    <n v="56"/>
    <n v="4"/>
    <n v="2"/>
    <n v="3"/>
    <n v="0"/>
    <n v="0.25313807531380755"/>
    <n v="0.27824267782426776"/>
    <n v="0.1297071129707113"/>
    <n v="0.33209647495361783"/>
    <n v="0.51673640167364021"/>
    <n v="0.84883287662725804"/>
    <n v="0.26359832635983266"/>
    <n v="-1.2861924686192461E-2"/>
    <n v="-2.9035250463821938E-3"/>
    <n v="8.8736401673640219E-2"/>
    <n v="8.5832876627258026E-2"/>
    <n v="0.10159832635983265"/>
  </r>
  <r>
    <x v="1"/>
    <x v="11"/>
    <s v="renteed01"/>
    <s v="NL"/>
    <s v="SLN"/>
    <x v="6"/>
    <n v="6"/>
    <n v="586"/>
    <n v="168"/>
    <n v="37"/>
    <n v="0"/>
    <n v="10"/>
    <n v="84"/>
    <n v="72"/>
    <n v="78"/>
    <n v="39"/>
    <n v="5"/>
    <n v="1"/>
    <n v="10"/>
    <n v="6"/>
    <n v="0.28668941979522183"/>
    <n v="0.13310580204778158"/>
    <n v="7.6791808873720141E-2"/>
    <n v="0.32704402515723269"/>
    <n v="0.40102389078498296"/>
    <n v="0.72806791594221565"/>
    <n v="0.11433447098976113"/>
    <n v="2.068941979522182E-2"/>
    <n v="-7.9559748427673327E-3"/>
    <n v="-2.697610921501703E-2"/>
    <n v="-3.4932084057784363E-2"/>
    <n v="-4.7665529010238877E-2"/>
  </r>
  <r>
    <x v="1"/>
    <x v="11"/>
    <s v="soriaal01"/>
    <s v="AL"/>
    <s v="TEX"/>
    <x v="3"/>
    <n v="4"/>
    <n v="608"/>
    <n v="170"/>
    <n v="32"/>
    <n v="4"/>
    <n v="28"/>
    <n v="77"/>
    <n v="91"/>
    <n v="121"/>
    <n v="33"/>
    <n v="4"/>
    <n v="10"/>
    <n v="7"/>
    <n v="0"/>
    <n v="0.27960526315789475"/>
    <n v="0.19901315789473684"/>
    <n v="7.7302631578947373E-2"/>
    <n v="0.32370820668693007"/>
    <n v="0.48355263157894735"/>
    <n v="0.80726083826587747"/>
    <n v="0.2039473684210526"/>
    <n v="1.3605263157894731E-2"/>
    <n v="-1.1291793313069953E-2"/>
    <n v="5.5552631578947353E-2"/>
    <n v="4.4260838265877456E-2"/>
    <n v="4.1947368421052594E-2"/>
  </r>
  <r>
    <x v="1"/>
    <x v="12"/>
    <s v="pujolal01"/>
    <s v="NL"/>
    <s v="SLN"/>
    <x v="4"/>
    <n v="10"/>
    <n v="591"/>
    <n v="195"/>
    <n v="38"/>
    <n v="2"/>
    <n v="41"/>
    <n v="129"/>
    <n v="117"/>
    <n v="65"/>
    <n v="97"/>
    <n v="27"/>
    <n v="9"/>
    <n v="3"/>
    <n v="0"/>
    <n v="0.32994923857868019"/>
    <n v="0.10998307952622674"/>
    <n v="0.22504230118443316"/>
    <n v="0.43"/>
    <n v="0.6091370558375635"/>
    <n v="1.0391370558375634"/>
    <n v="0.27918781725888331"/>
    <n v="6.594923857868018E-2"/>
    <n v="9.9999999999999978E-2"/>
    <n v="0.19013705583756352"/>
    <n v="0.29013705583756344"/>
    <n v="0.12418781725888331"/>
  </r>
  <r>
    <x v="1"/>
    <x v="12"/>
    <s v="leede02"/>
    <s v="NL"/>
    <s v="CHN"/>
    <x v="0"/>
    <n v="3"/>
    <n v="594"/>
    <n v="199"/>
    <n v="50"/>
    <n v="3"/>
    <n v="46"/>
    <n v="120"/>
    <n v="107"/>
    <n v="109"/>
    <n v="85"/>
    <n v="23"/>
    <n v="5"/>
    <n v="7"/>
    <n v="0"/>
    <n v="0.33501683501683499"/>
    <n v="0.1835016835016835"/>
    <n v="0.19023569023569023"/>
    <n v="0.41823444283646888"/>
    <n v="0.66161616161616166"/>
    <n v="1.0798506044526306"/>
    <n v="0.32659932659932667"/>
    <n v="7.1016835016834978E-2"/>
    <n v="8.8234442836468863E-2"/>
    <n v="0.24261616161616167"/>
    <n v="0.33085060445263059"/>
    <n v="0.17159932659932667"/>
  </r>
  <r>
    <x v="1"/>
    <x v="12"/>
    <s v="rodrial01"/>
    <s v="AL"/>
    <s v="NYA"/>
    <x v="7"/>
    <n v="5"/>
    <n v="605"/>
    <n v="194"/>
    <n v="29"/>
    <n v="1"/>
    <n v="48"/>
    <n v="124"/>
    <n v="130"/>
    <n v="139"/>
    <n v="91"/>
    <n v="8"/>
    <n v="16"/>
    <n v="3"/>
    <n v="0"/>
    <n v="0.32066115702479336"/>
    <n v="0.22975206611570248"/>
    <n v="0.19008264462809918"/>
    <n v="0.42097902097902096"/>
    <n v="0.60991735537190084"/>
    <n v="1.0308963763509218"/>
    <n v="0.28925619834710747"/>
    <n v="5.6661157024793352E-2"/>
    <n v="9.0979020979020941E-2"/>
    <n v="0.19091735537190085"/>
    <n v="0.2818963763509218"/>
    <n v="0.13425619834710747"/>
  </r>
  <r>
    <x v="1"/>
    <x v="12"/>
    <s v="guerrvl01"/>
    <s v="AL"/>
    <s v="LAA"/>
    <x v="8"/>
    <n v="9"/>
    <n v="520"/>
    <n v="165"/>
    <n v="29"/>
    <n v="2"/>
    <n v="32"/>
    <n v="95"/>
    <n v="108"/>
    <n v="48"/>
    <n v="61"/>
    <n v="26"/>
    <n v="8"/>
    <n v="5"/>
    <n v="0"/>
    <n v="0.31730769230769229"/>
    <n v="9.2307692307692313E-2"/>
    <n v="0.18269230769230768"/>
    <n v="0.39393939393939392"/>
    <n v="0.56538461538461537"/>
    <n v="0.9593240093240093"/>
    <n v="0.24807692307692308"/>
    <n v="5.3307692307692278E-2"/>
    <n v="6.3939393939393907E-2"/>
    <n v="0.14638461538461539"/>
    <n v="0.2103240093240093"/>
    <n v="9.3076923076923085E-2"/>
  </r>
  <r>
    <x v="1"/>
    <x v="12"/>
    <s v="abreubo01"/>
    <s v="NL"/>
    <s v="PHI"/>
    <x v="8"/>
    <n v="9"/>
    <n v="588"/>
    <n v="168"/>
    <n v="37"/>
    <n v="1"/>
    <n v="24"/>
    <n v="104"/>
    <n v="102"/>
    <n v="134"/>
    <n v="117"/>
    <n v="15"/>
    <n v="6"/>
    <n v="8"/>
    <n v="0"/>
    <n v="0.2857142857142857"/>
    <n v="0.22789115646258504"/>
    <n v="0.23469387755102042"/>
    <n v="0.4047287899860918"/>
    <n v="0.47448979591836737"/>
    <n v="0.87921858590445923"/>
    <n v="0.18877551020408168"/>
    <n v="2.1714285714285686E-2"/>
    <n v="7.4728789986091781E-2"/>
    <n v="5.5489795918367391E-2"/>
    <n v="0.13021858590445923"/>
    <n v="3.3775510204081677E-2"/>
  </r>
  <r>
    <x v="1"/>
    <x v="12"/>
    <s v="ortizda01"/>
    <s v="AL"/>
    <s v="BOS"/>
    <x v="4"/>
    <n v="10"/>
    <n v="601"/>
    <n v="180"/>
    <n v="40"/>
    <n v="1"/>
    <n v="47"/>
    <n v="119"/>
    <n v="148"/>
    <n v="124"/>
    <n v="102"/>
    <n v="9"/>
    <n v="1"/>
    <n v="9"/>
    <n v="0"/>
    <n v="0.29950083194675542"/>
    <n v="0.20632279534109818"/>
    <n v="0.18635607321131448"/>
    <n v="0.39691444600280507"/>
    <n v="0.60399334442595676"/>
    <n v="1.0009077904287618"/>
    <n v="0.30449251247920134"/>
    <n v="3.5500831946755407E-2"/>
    <n v="6.691444600280505E-2"/>
    <n v="0.18499334442595677"/>
    <n v="0.25190779042876177"/>
    <n v="0.14949251247920134"/>
  </r>
  <r>
    <x v="1"/>
    <x v="12"/>
    <s v="ramirma02"/>
    <s v="AL"/>
    <s v="BOS"/>
    <x v="1"/>
    <n v="7"/>
    <n v="554"/>
    <n v="162"/>
    <n v="30"/>
    <n v="1"/>
    <n v="45"/>
    <n v="112"/>
    <n v="144"/>
    <n v="119"/>
    <n v="80"/>
    <n v="9"/>
    <n v="10"/>
    <n v="6"/>
    <n v="0"/>
    <n v="0.29241877256317689"/>
    <n v="0.2148014440433213"/>
    <n v="0.17870036101083034"/>
    <n v="0.38769230769230767"/>
    <n v="0.59386281588447654"/>
    <n v="0.98155512357678421"/>
    <n v="0.30144404332129965"/>
    <n v="2.8418772563176875E-2"/>
    <n v="5.7692307692307654E-2"/>
    <n v="0.17486281588447655"/>
    <n v="0.23255512357678421"/>
    <n v="0.14644404332129965"/>
  </r>
  <r>
    <x v="1"/>
    <x v="12"/>
    <s v="edmonji01"/>
    <s v="NL"/>
    <s v="SLN"/>
    <x v="2"/>
    <n v="8"/>
    <n v="467"/>
    <n v="123"/>
    <n v="37"/>
    <n v="1"/>
    <n v="29"/>
    <n v="88"/>
    <n v="89"/>
    <n v="139"/>
    <n v="91"/>
    <n v="10"/>
    <n v="4"/>
    <n v="4"/>
    <n v="1"/>
    <n v="0.2633832976445396"/>
    <n v="0.29764453961456105"/>
    <n v="0.22483940042826553"/>
    <n v="0.38515901060070673"/>
    <n v="0.53319057815845827"/>
    <n v="0.91834958875916506"/>
    <n v="0.26980728051391867"/>
    <n v="-6.1670235546040786E-4"/>
    <n v="5.5159010600706715E-2"/>
    <n v="0.11419057815845829"/>
    <n v="0.16934958875916506"/>
    <n v="0.11480728051391867"/>
  </r>
  <r>
    <x v="1"/>
    <x v="12"/>
    <s v="roberbr01"/>
    <s v="AL"/>
    <s v="BAL"/>
    <x v="3"/>
    <n v="4"/>
    <n v="561"/>
    <n v="176"/>
    <n v="45"/>
    <n v="7"/>
    <n v="18"/>
    <n v="92"/>
    <n v="73"/>
    <n v="83"/>
    <n v="67"/>
    <n v="5"/>
    <n v="3"/>
    <n v="4"/>
    <n v="5"/>
    <n v="0.31372549019607843"/>
    <n v="0.14795008912655971"/>
    <n v="0.13368983957219252"/>
    <n v="0.38740157480314963"/>
    <n v="0.51515151515151514"/>
    <n v="0.90255308995466477"/>
    <n v="0.20142602495543671"/>
    <n v="4.9725490196078415E-2"/>
    <n v="5.7401574803149613E-2"/>
    <n v="9.6151515151515154E-2"/>
    <n v="0.15355308995466477"/>
    <n v="4.6426024955436712E-2"/>
  </r>
  <r>
    <x v="1"/>
    <x v="12"/>
    <s v="kentje01"/>
    <s v="NL"/>
    <s v="LAN"/>
    <x v="3"/>
    <n v="4"/>
    <n v="553"/>
    <n v="160"/>
    <n v="36"/>
    <n v="0"/>
    <n v="29"/>
    <n v="100"/>
    <n v="105"/>
    <n v="85"/>
    <n v="72"/>
    <n v="8"/>
    <n v="8"/>
    <n v="4"/>
    <n v="0"/>
    <n v="0.28933092224231466"/>
    <n v="0.15370705244122965"/>
    <n v="0.15913200723327306"/>
    <n v="0.37676609105180536"/>
    <n v="0.51175406871609408"/>
    <n v="0.88852015976789944"/>
    <n v="0.22242314647377942"/>
    <n v="2.5330922242314646E-2"/>
    <n v="4.6766091051805347E-2"/>
    <n v="9.2754068716094096E-2"/>
    <n v="0.13952015976789944"/>
    <n v="6.7423146473779422E-2"/>
  </r>
  <r>
    <x v="1"/>
    <x v="12"/>
    <s v="teixema01"/>
    <s v="AL"/>
    <s v="TEX"/>
    <x v="0"/>
    <n v="3"/>
    <n v="644"/>
    <n v="194"/>
    <n v="41"/>
    <n v="3"/>
    <n v="43"/>
    <n v="112"/>
    <n v="144"/>
    <n v="124"/>
    <n v="72"/>
    <n v="5"/>
    <n v="11"/>
    <n v="3"/>
    <n v="0"/>
    <n v="0.30124223602484473"/>
    <n v="0.19254658385093168"/>
    <n v="0.13664596273291926"/>
    <n v="0.37945205479452054"/>
    <n v="0.57453416149068326"/>
    <n v="0.95398621628520375"/>
    <n v="0.27329192546583853"/>
    <n v="3.7242236024844722E-2"/>
    <n v="4.9452054794520528E-2"/>
    <n v="0.15553416149068328"/>
    <n v="0.20498621628520375"/>
    <n v="0.11829192546583853"/>
  </r>
  <r>
    <x v="1"/>
    <x v="12"/>
    <s v="varitja01"/>
    <s v="AL"/>
    <s v="BOS"/>
    <x v="5"/>
    <n v="2"/>
    <n v="470"/>
    <n v="132"/>
    <n v="30"/>
    <n v="1"/>
    <n v="22"/>
    <n v="70"/>
    <n v="70"/>
    <n v="117"/>
    <n v="62"/>
    <n v="3"/>
    <n v="3"/>
    <n v="3"/>
    <n v="1"/>
    <n v="0.28085106382978725"/>
    <n v="0.24893617021276596"/>
    <n v="0.14468085106382977"/>
    <n v="0.36617100371747213"/>
    <n v="0.48936170212765956"/>
    <n v="0.85553270584513164"/>
    <n v="0.20851063829787231"/>
    <n v="1.6851063829787238E-2"/>
    <n v="3.6171003717472117E-2"/>
    <n v="7.0361702127659576E-2"/>
    <n v="0.10653270584513164"/>
    <n v="5.3510638297872309E-2"/>
  </r>
  <r>
    <x v="1"/>
    <x v="12"/>
    <s v="damonjo01"/>
    <s v="AL"/>
    <s v="BOS"/>
    <x v="2"/>
    <n v="8"/>
    <n v="624"/>
    <n v="197"/>
    <n v="35"/>
    <n v="6"/>
    <n v="10"/>
    <n v="117"/>
    <n v="75"/>
    <n v="69"/>
    <n v="53"/>
    <n v="3"/>
    <n v="2"/>
    <n v="9"/>
    <n v="0"/>
    <n v="0.31570512820512819"/>
    <n v="0.11057692307692307"/>
    <n v="9.2948717948717952E-2"/>
    <n v="0.36627906976744184"/>
    <n v="0.4391025641025641"/>
    <n v="0.80538163387000594"/>
    <n v="0.1233974358974359"/>
    <n v="5.1705128205128181E-2"/>
    <n v="3.6279069767441829E-2"/>
    <n v="2.0102564102564113E-2"/>
    <n v="5.6381633870005943E-2"/>
    <n v="-3.1602564102564096E-2"/>
  </r>
  <r>
    <x v="1"/>
    <x v="12"/>
    <s v="eckstda01"/>
    <s v="NL"/>
    <s v="SLN"/>
    <x v="6"/>
    <n v="6"/>
    <n v="630"/>
    <n v="185"/>
    <n v="26"/>
    <n v="7"/>
    <n v="8"/>
    <n v="90"/>
    <n v="61"/>
    <n v="44"/>
    <n v="58"/>
    <n v="0"/>
    <n v="13"/>
    <n v="4"/>
    <n v="8"/>
    <n v="0.29365079365079366"/>
    <n v="6.9841269841269843E-2"/>
    <n v="0.1126984126984127"/>
    <n v="0.36312056737588655"/>
    <n v="0.39523809523809522"/>
    <n v="0.75835866261398177"/>
    <n v="0.10158730158730156"/>
    <n v="2.965079365079365E-2"/>
    <n v="3.3120567375886534E-2"/>
    <n v="-2.3761904761904762E-2"/>
    <n v="9.3586626139817719E-3"/>
    <n v="-5.3412698412698439E-2"/>
  </r>
  <r>
    <x v="1"/>
    <x v="12"/>
    <s v="ramirar01"/>
    <s v="NL"/>
    <s v="CHN"/>
    <x v="7"/>
    <n v="5"/>
    <n v="463"/>
    <n v="140"/>
    <n v="30"/>
    <n v="0"/>
    <n v="31"/>
    <n v="72"/>
    <n v="92"/>
    <n v="60"/>
    <n v="35"/>
    <n v="4"/>
    <n v="6"/>
    <n v="2"/>
    <n v="0"/>
    <n v="0.30237580993520519"/>
    <n v="0.12958963282937366"/>
    <n v="9.719222462203024E-2"/>
    <n v="0.35770750988142291"/>
    <n v="0.56803455723542118"/>
    <n v="0.92574206711684415"/>
    <n v="0.26565874730021599"/>
    <n v="3.8375809935205174E-2"/>
    <n v="2.7707509881422898E-2"/>
    <n v="0.14903455723542119"/>
    <n v="0.17674206711684415"/>
    <n v="0.11065874730021599"/>
  </r>
  <r>
    <x v="1"/>
    <x v="12"/>
    <s v="tejadmi01"/>
    <s v="AL"/>
    <s v="BAL"/>
    <x v="6"/>
    <n v="6"/>
    <n v="654"/>
    <n v="199"/>
    <n v="50"/>
    <n v="5"/>
    <n v="26"/>
    <n v="89"/>
    <n v="98"/>
    <n v="83"/>
    <n v="40"/>
    <n v="9"/>
    <n v="7"/>
    <n v="3"/>
    <n v="0"/>
    <n v="0.30428134556574926"/>
    <n v="0.12691131498470948"/>
    <n v="8.5626911314984705E-2"/>
    <n v="0.34943181818181818"/>
    <n v="0.51529051987767582"/>
    <n v="0.86472233805949394"/>
    <n v="0.21100917431192656"/>
    <n v="4.0281345565749249E-2"/>
    <n v="1.9431818181818161E-2"/>
    <n v="9.629051987767584E-2"/>
    <n v="0.11572233805949395"/>
    <n v="5.6009174311926563E-2"/>
  </r>
  <r>
    <x v="1"/>
    <x v="12"/>
    <s v="beltrca01"/>
    <s v="NL"/>
    <s v="NYN"/>
    <x v="1"/>
    <n v="7"/>
    <n v="582"/>
    <n v="155"/>
    <n v="34"/>
    <n v="2"/>
    <n v="16"/>
    <n v="83"/>
    <n v="78"/>
    <n v="96"/>
    <n v="56"/>
    <n v="5"/>
    <n v="2"/>
    <n v="6"/>
    <n v="4"/>
    <n v="0.26632302405498282"/>
    <n v="0.16494845360824742"/>
    <n v="0.10824742268041238"/>
    <n v="0.32972136222910214"/>
    <n v="0.41408934707903783"/>
    <n v="0.74381070930813997"/>
    <n v="0.14776632302405501"/>
    <n v="2.323024054982803E-3"/>
    <n v="-2.7863777089787156E-4"/>
    <n v="-4.9106529209621552E-3"/>
    <n v="-5.1892906918600268E-3"/>
    <n v="-7.2336769759449859E-3"/>
  </r>
  <r>
    <x v="1"/>
    <x v="12"/>
    <s v="piazzmi01"/>
    <s v="NL"/>
    <s v="NYN"/>
    <x v="5"/>
    <n v="2"/>
    <n v="398"/>
    <n v="100"/>
    <n v="23"/>
    <n v="0"/>
    <n v="19"/>
    <n v="41"/>
    <n v="62"/>
    <n v="67"/>
    <n v="41"/>
    <n v="6"/>
    <n v="3"/>
    <n v="0"/>
    <n v="0"/>
    <n v="0.25125628140703515"/>
    <n v="0.16834170854271358"/>
    <n v="0.12562814070351758"/>
    <n v="0.32579185520361992"/>
    <n v="0.45226130653266333"/>
    <n v="0.77805316173628325"/>
    <n v="0.20100502512562818"/>
    <n v="-1.2743718592964859E-2"/>
    <n v="-4.2081447963800978E-3"/>
    <n v="3.3261306532663348E-2"/>
    <n v="2.9053161736283251E-2"/>
    <n v="4.6005025125628179E-2"/>
  </r>
  <r>
    <x v="1"/>
    <x v="13"/>
    <s v="pujolal01"/>
    <s v="NL"/>
    <s v="SLN"/>
    <x v="0"/>
    <n v="3"/>
    <n v="535"/>
    <n v="177"/>
    <n v="33"/>
    <n v="1"/>
    <n v="49"/>
    <n v="119"/>
    <n v="137"/>
    <n v="50"/>
    <n v="92"/>
    <n v="28"/>
    <n v="4"/>
    <n v="3"/>
    <n v="0"/>
    <n v="0.33084112149532713"/>
    <n v="9.3457943925233641E-2"/>
    <n v="0.23177570093457944"/>
    <n v="0.43059936908517349"/>
    <n v="0.67102803738317762"/>
    <n v="1.1016274064683511"/>
    <n v="0.34018691588785049"/>
    <n v="6.1841121495327112E-2"/>
    <n v="9.4599369085173468E-2"/>
    <n v="0.23902803738317763"/>
    <n v="0.3336274064683511"/>
    <n v="0.17718691588785049"/>
  </r>
  <r>
    <x v="1"/>
    <x v="13"/>
    <s v="ortizda01"/>
    <s v="AL"/>
    <s v="BOS"/>
    <x v="0"/>
    <n v="3"/>
    <n v="558"/>
    <n v="160"/>
    <n v="29"/>
    <n v="2"/>
    <n v="54"/>
    <n v="115"/>
    <n v="137"/>
    <n v="117"/>
    <n v="119"/>
    <n v="23"/>
    <n v="4"/>
    <n v="5"/>
    <n v="0"/>
    <n v="0.28673835125448027"/>
    <n v="0.20967741935483872"/>
    <n v="0.26164874551971329"/>
    <n v="0.41253644314868804"/>
    <n v="0.63620071684587809"/>
    <n v="1.0487371599945661"/>
    <n v="0.34946236559139782"/>
    <n v="1.7738351254480256E-2"/>
    <n v="7.6536443148688016E-2"/>
    <n v="0.20420071684587809"/>
    <n v="0.28073715999456605"/>
    <n v="0.18646236559139781"/>
  </r>
  <r>
    <x v="1"/>
    <x v="13"/>
    <s v="jeterde01"/>
    <s v="AL"/>
    <s v="NYA"/>
    <x v="6"/>
    <n v="6"/>
    <n v="623"/>
    <n v="214"/>
    <n v="39"/>
    <n v="3"/>
    <n v="14"/>
    <n v="118"/>
    <n v="97"/>
    <n v="102"/>
    <n v="69"/>
    <n v="4"/>
    <n v="12"/>
    <n v="4"/>
    <n v="7"/>
    <n v="0.3434991974317817"/>
    <n v="0.1637239165329053"/>
    <n v="0.13643659711075443"/>
    <n v="0.41666666666666669"/>
    <n v="0.48314606741573035"/>
    <n v="0.89981273408239704"/>
    <n v="0.13964686998394865"/>
    <n v="7.4499197431781683E-2"/>
    <n v="8.0666666666666664E-2"/>
    <n v="5.1146067415730356E-2"/>
    <n v="0.13181273408239702"/>
    <n v="-2.3353130016051354E-2"/>
  </r>
  <r>
    <x v="1"/>
    <x v="13"/>
    <s v="guerrvl01"/>
    <s v="AL"/>
    <s v="LAA"/>
    <x v="1"/>
    <n v="7"/>
    <n v="607"/>
    <n v="200"/>
    <n v="34"/>
    <n v="1"/>
    <n v="33"/>
    <n v="92"/>
    <n v="116"/>
    <n v="68"/>
    <n v="50"/>
    <n v="25"/>
    <n v="4"/>
    <n v="4"/>
    <n v="0"/>
    <n v="0.32948929159802304"/>
    <n v="0.11202635914332784"/>
    <n v="0.13014827018121911"/>
    <n v="0.3819548872180451"/>
    <n v="0.55189456342668863"/>
    <n v="0.93384945064473368"/>
    <n v="0.2224052718286656"/>
    <n v="6.0489291598023021E-2"/>
    <n v="4.5954887218045082E-2"/>
    <n v="0.11989456342668864"/>
    <n v="0.16584945064473366"/>
    <n v="5.940527182866559E-2"/>
  </r>
  <r>
    <x v="1"/>
    <x v="13"/>
    <s v="bayja01"/>
    <s v="NL"/>
    <s v="PIT"/>
    <x v="8"/>
    <n v="9"/>
    <n v="570"/>
    <n v="163"/>
    <n v="29"/>
    <n v="3"/>
    <n v="35"/>
    <n v="101"/>
    <n v="109"/>
    <n v="156"/>
    <n v="102"/>
    <n v="9"/>
    <n v="8"/>
    <n v="9"/>
    <n v="0"/>
    <n v="0.28596491228070176"/>
    <n v="0.27368421052631581"/>
    <n v="0.20877192982456141"/>
    <n v="0.39622641509433965"/>
    <n v="0.53157894736842104"/>
    <n v="0.92780536246276069"/>
    <n v="0.24561403508771928"/>
    <n v="1.6964912280701738E-2"/>
    <n v="6.0226415094339625E-2"/>
    <n v="9.9578947368421045E-2"/>
    <n v="0.15980536246276067"/>
    <n v="8.2614035087719279E-2"/>
  </r>
  <r>
    <x v="1"/>
    <x v="13"/>
    <s v="rodrial01"/>
    <s v="AL"/>
    <s v="NYA"/>
    <x v="7"/>
    <n v="5"/>
    <n v="572"/>
    <n v="166"/>
    <n v="26"/>
    <n v="1"/>
    <n v="35"/>
    <n v="113"/>
    <n v="121"/>
    <n v="139"/>
    <n v="90"/>
    <n v="8"/>
    <n v="8"/>
    <n v="4"/>
    <n v="0"/>
    <n v="0.29020979020979021"/>
    <n v="0.24300699300699299"/>
    <n v="0.18531468531468531"/>
    <n v="0.39169139465875369"/>
    <n v="0.52272727272727271"/>
    <n v="0.9144186673860264"/>
    <n v="0.2325174825174825"/>
    <n v="2.1209790209790191E-2"/>
    <n v="5.5691394658753668E-2"/>
    <n v="9.0727272727272712E-2"/>
    <n v="0.14641866738602638"/>
    <n v="6.9517482517482493E-2"/>
  </r>
  <r>
    <x v="1"/>
    <x v="13"/>
    <s v="beltrca01"/>
    <s v="NL"/>
    <s v="NYN"/>
    <x v="2"/>
    <n v="8"/>
    <n v="510"/>
    <n v="140"/>
    <n v="38"/>
    <n v="1"/>
    <n v="41"/>
    <n v="127"/>
    <n v="116"/>
    <n v="99"/>
    <n v="95"/>
    <n v="6"/>
    <n v="4"/>
    <n v="7"/>
    <n v="1"/>
    <n v="0.27450980392156865"/>
    <n v="0.19411764705882353"/>
    <n v="0.20588235294117646"/>
    <n v="0.38798701298701299"/>
    <n v="0.59411764705882353"/>
    <n v="0.98210466004583652"/>
    <n v="0.31960784313725488"/>
    <n v="5.5098039215686345E-3"/>
    <n v="5.198701298701297E-2"/>
    <n v="0.16211764705882353"/>
    <n v="0.2141046600458365"/>
    <n v="0.15660784313725487"/>
  </r>
  <r>
    <x v="1"/>
    <x v="13"/>
    <s v="wrighda03"/>
    <s v="NL"/>
    <s v="NYN"/>
    <x v="7"/>
    <n v="5"/>
    <n v="582"/>
    <n v="181"/>
    <n v="40"/>
    <n v="5"/>
    <n v="26"/>
    <n v="96"/>
    <n v="116"/>
    <n v="113"/>
    <n v="66"/>
    <n v="13"/>
    <n v="5"/>
    <n v="8"/>
    <n v="0"/>
    <n v="0.31099656357388317"/>
    <n v="0.19415807560137457"/>
    <n v="0.14432989690721648"/>
    <n v="0.38124054462934948"/>
    <n v="0.53092783505154639"/>
    <n v="0.91216837968089592"/>
    <n v="0.21993127147766323"/>
    <n v="4.199656357388315E-2"/>
    <n v="4.5240544629349455E-2"/>
    <n v="9.8927835051546398E-2"/>
    <n v="0.14416837968089591"/>
    <n v="5.693127147766322E-2"/>
  </r>
  <r>
    <x v="1"/>
    <x v="13"/>
    <s v="suzukic01"/>
    <s v="AL"/>
    <s v="SEA"/>
    <x v="8"/>
    <n v="9"/>
    <n v="695"/>
    <n v="224"/>
    <n v="20"/>
    <n v="9"/>
    <n v="9"/>
    <n v="110"/>
    <n v="49"/>
    <n v="71"/>
    <n v="49"/>
    <n v="16"/>
    <n v="5"/>
    <n v="2"/>
    <n v="1"/>
    <n v="0.32230215827338127"/>
    <n v="0.10215827338129496"/>
    <n v="0.10071942446043165"/>
    <n v="0.37017310252996005"/>
    <n v="0.4158273381294964"/>
    <n v="0.78600044065945651"/>
    <n v="9.3525179856115137E-2"/>
    <n v="5.330215827338125E-2"/>
    <n v="3.4173102529960031E-2"/>
    <n v="-1.6172661870503591E-2"/>
    <n v="1.8000440659456496E-2"/>
    <n v="-6.9474820143884869E-2"/>
  </r>
  <r>
    <x v="1"/>
    <x v="13"/>
    <s v="utleych01"/>
    <s v="NL"/>
    <s v="PHI"/>
    <x v="3"/>
    <n v="4"/>
    <n v="658"/>
    <n v="203"/>
    <n v="40"/>
    <n v="4"/>
    <n v="32"/>
    <n v="131"/>
    <n v="102"/>
    <n v="132"/>
    <n v="63"/>
    <n v="1"/>
    <n v="14"/>
    <n v="4"/>
    <n v="0"/>
    <n v="0.30851063829787234"/>
    <n v="0.20060790273556231"/>
    <n v="0.11854103343465046"/>
    <n v="0.37889039242219213"/>
    <n v="0.52735562310030393"/>
    <n v="0.90624601552249606"/>
    <n v="0.21884498480243159"/>
    <n v="3.9510638297872325E-2"/>
    <n v="4.2890392422192114E-2"/>
    <n v="9.5355623100303932E-2"/>
    <n v="0.13824601552249605"/>
    <n v="5.584498480243158E-2"/>
  </r>
  <r>
    <x v="1"/>
    <x v="13"/>
    <s v="soriaal01"/>
    <s v="NL"/>
    <s v="WAS"/>
    <x v="1"/>
    <n v="7"/>
    <n v="647"/>
    <n v="179"/>
    <n v="41"/>
    <n v="2"/>
    <n v="46"/>
    <n v="119"/>
    <n v="95"/>
    <n v="160"/>
    <n v="67"/>
    <n v="16"/>
    <n v="9"/>
    <n v="3"/>
    <n v="2"/>
    <n v="0.27666151468315303"/>
    <n v="0.2472952086553323"/>
    <n v="0.14219474497681608"/>
    <n v="0.3512396694214876"/>
    <n v="0.55950540958268935"/>
    <n v="0.91074507900417689"/>
    <n v="0.28284389489953632"/>
    <n v="7.6615146831530145E-3"/>
    <n v="1.5239669421487578E-2"/>
    <n v="0.12750540958268936"/>
    <n v="0.14274507900417688"/>
    <n v="0.11984389489953631"/>
  </r>
  <r>
    <x v="1"/>
    <x v="13"/>
    <s v="renteed01"/>
    <s v="NL"/>
    <s v="ATL"/>
    <x v="6"/>
    <n v="6"/>
    <n v="598"/>
    <n v="175"/>
    <n v="40"/>
    <n v="2"/>
    <n v="14"/>
    <n v="100"/>
    <n v="70"/>
    <n v="89"/>
    <n v="62"/>
    <n v="0"/>
    <n v="3"/>
    <n v="2"/>
    <n v="8"/>
    <n v="0.29264214046822745"/>
    <n v="0.1488294314381271"/>
    <n v="0.10869565217391304"/>
    <n v="0.36090225563909772"/>
    <n v="0.43645484949832775"/>
    <n v="0.79735710513742553"/>
    <n v="0.14381270903010029"/>
    <n v="2.3642140468227435E-2"/>
    <n v="2.4902255639097703E-2"/>
    <n v="4.4548494983277509E-3"/>
    <n v="2.935710513742551E-2"/>
    <n v="-1.9187290969899712E-2"/>
  </r>
  <r>
    <x v="1"/>
    <x v="13"/>
    <s v="wellsve01"/>
    <s v="AL"/>
    <s v="TOR"/>
    <x v="2"/>
    <n v="8"/>
    <n v="611"/>
    <n v="185"/>
    <n v="40"/>
    <n v="5"/>
    <n v="32"/>
    <n v="91"/>
    <n v="106"/>
    <n v="90"/>
    <n v="54"/>
    <n v="0"/>
    <n v="3"/>
    <n v="9"/>
    <n v="0"/>
    <n v="0.30278232405891981"/>
    <n v="0.14729950900163666"/>
    <n v="9.3289689034369891E-2"/>
    <n v="0.35745937961595275"/>
    <n v="0.54173486088379708"/>
    <n v="0.89919424049974983"/>
    <n v="0.23895253682487727"/>
    <n v="3.3782324058919788E-2"/>
    <n v="2.1459379615952734E-2"/>
    <n v="0.10973486088379708"/>
    <n v="0.13119424049974981"/>
    <n v="7.5952536824877265E-2"/>
  </r>
  <r>
    <x v="1"/>
    <x v="13"/>
    <s v="loducpa01"/>
    <s v="NL"/>
    <s v="NYN"/>
    <x v="5"/>
    <n v="2"/>
    <n v="512"/>
    <n v="163"/>
    <n v="39"/>
    <n v="1"/>
    <n v="5"/>
    <n v="80"/>
    <n v="49"/>
    <n v="38"/>
    <n v="24"/>
    <n v="0"/>
    <n v="6"/>
    <n v="2"/>
    <n v="7"/>
    <n v="0.318359375"/>
    <n v="7.421875E-2"/>
    <n v="5.859375E-2"/>
    <n v="0.3547794117647059"/>
    <n v="0.427734375"/>
    <n v="0.78251378676470584"/>
    <n v="0.109375"/>
    <n v="4.9359374999999983E-2"/>
    <n v="1.8779411764705878E-2"/>
    <n v="-4.2656249999999951E-3"/>
    <n v="1.4513786764705827E-2"/>
    <n v="-5.3625000000000006E-2"/>
  </r>
  <r>
    <x v="1"/>
    <x v="13"/>
    <s v="loretma01"/>
    <s v="AL"/>
    <s v="BOS"/>
    <x v="3"/>
    <n v="4"/>
    <n v="635"/>
    <n v="181"/>
    <n v="33"/>
    <n v="0"/>
    <n v="5"/>
    <n v="75"/>
    <n v="59"/>
    <n v="63"/>
    <n v="49"/>
    <n v="1"/>
    <n v="12"/>
    <n v="5"/>
    <n v="2"/>
    <n v="0.28503937007874014"/>
    <n v="9.9212598425196849E-2"/>
    <n v="9.763779527559055E-2"/>
    <n v="0.34522111269614836"/>
    <n v="0.3606299212598425"/>
    <n v="0.70585103395599091"/>
    <n v="7.5590551181102361E-2"/>
    <n v="1.6039370078740123E-2"/>
    <n v="9.221112696148337E-3"/>
    <n v="-7.1370078740157494E-2"/>
    <n v="-6.2148966044009102E-2"/>
    <n v="-8.7409448818897645E-2"/>
  </r>
  <r>
    <x v="1"/>
    <x v="13"/>
    <s v="rodriiv01"/>
    <s v="AL"/>
    <s v="DET"/>
    <x v="5"/>
    <n v="2"/>
    <n v="547"/>
    <n v="164"/>
    <n v="28"/>
    <n v="4"/>
    <n v="13"/>
    <n v="74"/>
    <n v="69"/>
    <n v="86"/>
    <n v="26"/>
    <n v="4"/>
    <n v="1"/>
    <n v="2"/>
    <n v="4"/>
    <n v="0.29981718464351004"/>
    <n v="0.15722120658135283"/>
    <n v="5.6672760511882997E-2"/>
    <n v="0.33159722222222221"/>
    <n v="0.43692870201096889"/>
    <n v="0.7685259242331911"/>
    <n v="0.13711151736745886"/>
    <n v="3.0817184643510021E-2"/>
    <n v="-4.402777777777811E-3"/>
    <n v="4.9287020109688995E-3"/>
    <n v="5.259242331910885E-4"/>
    <n v="-2.5888482632541149E-2"/>
  </r>
  <r>
    <x v="1"/>
    <x v="14"/>
    <s v="bondsba01"/>
    <s v="NL"/>
    <s v="SFN"/>
    <x v="1"/>
    <n v="7"/>
    <n v="340"/>
    <n v="94"/>
    <n v="14"/>
    <n v="0"/>
    <n v="28"/>
    <n v="75"/>
    <n v="66"/>
    <n v="54"/>
    <n v="132"/>
    <n v="43"/>
    <n v="3"/>
    <n v="2"/>
    <n v="0"/>
    <n v="0.27647058823529413"/>
    <n v="0.1588235294117647"/>
    <n v="0.52352941176470591"/>
    <n v="0.48008385744234799"/>
    <n v="0.56470588235294117"/>
    <n v="1.0447897397952892"/>
    <n v="0.28823529411764703"/>
    <n v="8.4705882352941186E-3"/>
    <n v="0.14408385744234797"/>
    <n v="0.14170588235294118"/>
    <n v="0.28678973979528921"/>
    <n v="0.13323529411764704"/>
  </r>
  <r>
    <x v="1"/>
    <x v="14"/>
    <s v="ortizda01"/>
    <s v="AL"/>
    <s v="BOS"/>
    <x v="0"/>
    <n v="3"/>
    <n v="549"/>
    <n v="182"/>
    <n v="52"/>
    <n v="1"/>
    <n v="35"/>
    <n v="116"/>
    <n v="117"/>
    <n v="103"/>
    <n v="111"/>
    <n v="12"/>
    <n v="4"/>
    <n v="3"/>
    <n v="0"/>
    <n v="0.33151183970856102"/>
    <n v="0.18761384335154827"/>
    <n v="0.23132969034608378"/>
    <n v="0.44527736131934031"/>
    <n v="0.62112932604735882"/>
    <n v="1.0664066873666991"/>
    <n v="0.2896174863387978"/>
    <n v="6.3511839708561002E-2"/>
    <n v="0.10927736131934029"/>
    <n v="0.19812932604735883"/>
    <n v="0.30840668736669907"/>
    <n v="0.1346174863387978"/>
  </r>
  <r>
    <x v="1"/>
    <x v="14"/>
    <s v="ordonma01"/>
    <s v="AL"/>
    <s v="DET"/>
    <x v="1"/>
    <n v="7"/>
    <n v="595"/>
    <n v="216"/>
    <n v="54"/>
    <n v="0"/>
    <n v="28"/>
    <n v="117"/>
    <n v="139"/>
    <n v="79"/>
    <n v="76"/>
    <n v="8"/>
    <n v="2"/>
    <n v="5"/>
    <n v="0"/>
    <n v="0.3630252100840336"/>
    <n v="0.13277310924369748"/>
    <n v="0.14453781512605043"/>
    <n v="0.4336283185840708"/>
    <n v="0.59495798319327731"/>
    <n v="1.0285863017773482"/>
    <n v="0.23193277310924371"/>
    <n v="9.5025210084033584E-2"/>
    <n v="9.7628318584070783E-2"/>
    <n v="0.17195798319327732"/>
    <n v="0.27058630177734821"/>
    <n v="7.6932773109243707E-2"/>
  </r>
  <r>
    <x v="1"/>
    <x v="14"/>
    <s v="rodrial01"/>
    <s v="AL"/>
    <s v="NYA"/>
    <x v="7"/>
    <n v="5"/>
    <n v="583"/>
    <n v="183"/>
    <n v="31"/>
    <n v="0"/>
    <n v="54"/>
    <n v="143"/>
    <n v="156"/>
    <n v="120"/>
    <n v="95"/>
    <n v="11"/>
    <n v="21"/>
    <n v="9"/>
    <n v="0"/>
    <n v="0.313893653516295"/>
    <n v="0.2058319039451115"/>
    <n v="0.21783876500857632"/>
    <n v="0.42231638418079098"/>
    <n v="0.6449399656946827"/>
    <n v="1.0672563498754737"/>
    <n v="0.3310463121783877"/>
    <n v="4.5893653516294985E-2"/>
    <n v="8.6316384180790962E-2"/>
    <n v="0.22193996569468272"/>
    <n v="0.30925634987547368"/>
    <n v="0.1760463121783877"/>
  </r>
  <r>
    <x v="1"/>
    <x v="14"/>
    <s v="guerrvl01"/>
    <s v="AL"/>
    <s v="LAA"/>
    <x v="8"/>
    <n v="9"/>
    <n v="574"/>
    <n v="186"/>
    <n v="45"/>
    <n v="1"/>
    <n v="27"/>
    <n v="89"/>
    <n v="125"/>
    <n v="62"/>
    <n v="71"/>
    <n v="28"/>
    <n v="9"/>
    <n v="6"/>
    <n v="0"/>
    <n v="0.3240418118466899"/>
    <n v="0.10801393728222997"/>
    <n v="0.18815331010452963"/>
    <n v="0.40303030303030302"/>
    <n v="0.54703832752613235"/>
    <n v="0.95006863055643542"/>
    <n v="0.22299651567944245"/>
    <n v="5.6041811846689882E-2"/>
    <n v="6.7030303030302996E-2"/>
    <n v="0.12403832752613236"/>
    <n v="0.19206863055643542"/>
    <n v="6.7996515679442454E-2"/>
  </r>
  <r>
    <x v="1"/>
    <x v="14"/>
    <s v="wrighda03"/>
    <s v="NL"/>
    <s v="NYN"/>
    <x v="7"/>
    <n v="5"/>
    <n v="604"/>
    <n v="196"/>
    <n v="42"/>
    <n v="1"/>
    <n v="30"/>
    <n v="113"/>
    <n v="107"/>
    <n v="115"/>
    <n v="94"/>
    <n v="6"/>
    <n v="6"/>
    <n v="7"/>
    <n v="0"/>
    <n v="0.32450331125827814"/>
    <n v="0.19039735099337748"/>
    <n v="0.17549668874172186"/>
    <n v="0.41631504922644164"/>
    <n v="0.54635761589403975"/>
    <n v="0.96267266512048133"/>
    <n v="0.22185430463576161"/>
    <n v="5.6503311258278122E-2"/>
    <n v="8.0315049226441615E-2"/>
    <n v="0.12335761589403976"/>
    <n v="0.20467266512048132"/>
    <n v="6.6854304635761613E-2"/>
  </r>
  <r>
    <x v="1"/>
    <x v="14"/>
    <s v="fieldpr01"/>
    <s v="NL"/>
    <s v="MIL"/>
    <x v="0"/>
    <n v="3"/>
    <n v="573"/>
    <n v="165"/>
    <n v="35"/>
    <n v="2"/>
    <n v="50"/>
    <n v="109"/>
    <n v="119"/>
    <n v="121"/>
    <n v="90"/>
    <n v="21"/>
    <n v="14"/>
    <n v="4"/>
    <n v="0"/>
    <n v="0.2879581151832461"/>
    <n v="0.2111692844677138"/>
    <n v="0.2181500872600349"/>
    <n v="0.39500734214390604"/>
    <n v="0.61780104712041883"/>
    <n v="1.0128083892643249"/>
    <n v="0.32984293193717273"/>
    <n v="1.9958115183246083E-2"/>
    <n v="5.9007342143906016E-2"/>
    <n v="0.19480104712041885"/>
    <n v="0.25480838926432492"/>
    <n v="0.17484293193717274"/>
  </r>
  <r>
    <x v="1"/>
    <x v="14"/>
    <s v="utleych01"/>
    <s v="NL"/>
    <s v="PHI"/>
    <x v="3"/>
    <n v="4"/>
    <n v="530"/>
    <n v="176"/>
    <n v="48"/>
    <n v="5"/>
    <n v="22"/>
    <n v="104"/>
    <n v="103"/>
    <n v="89"/>
    <n v="50"/>
    <n v="1"/>
    <n v="25"/>
    <n v="7"/>
    <n v="1"/>
    <n v="0.33207547169811319"/>
    <n v="0.16792452830188678"/>
    <n v="0.14339622641509434"/>
    <n v="0.41013071895424835"/>
    <n v="0.56603773584905659"/>
    <n v="0.97616845480330494"/>
    <n v="0.2339622641509434"/>
    <n v="6.4075471698113173E-2"/>
    <n v="7.4130718954248331E-2"/>
    <n v="0.1430377358490566"/>
    <n v="0.21816845480330493"/>
    <n v="7.8962264150943401E-2"/>
  </r>
  <r>
    <x v="1"/>
    <x v="14"/>
    <s v="suzukic01"/>
    <s v="AL"/>
    <s v="SEA"/>
    <x v="2"/>
    <n v="8"/>
    <n v="678"/>
    <n v="238"/>
    <n v="22"/>
    <n v="7"/>
    <n v="6"/>
    <n v="111"/>
    <n v="68"/>
    <n v="77"/>
    <n v="49"/>
    <n v="13"/>
    <n v="3"/>
    <n v="2"/>
    <n v="4"/>
    <n v="0.35103244837758113"/>
    <n v="0.11356932153392331"/>
    <n v="9.5870206489675522E-2"/>
    <n v="0.39617486338797814"/>
    <n v="0.43067846607669619"/>
    <n v="0.82685332946467427"/>
    <n v="7.9646017699115057E-2"/>
    <n v="8.3032448377581114E-2"/>
    <n v="6.0174863387978117E-2"/>
    <n v="7.6784660766961998E-3"/>
    <n v="6.8853329464674262E-2"/>
    <n v="-7.5353982300884942E-2"/>
  </r>
  <r>
    <x v="1"/>
    <x v="14"/>
    <s v="polanpl01"/>
    <s v="AL"/>
    <s v="DET"/>
    <x v="3"/>
    <n v="4"/>
    <n v="587"/>
    <n v="200"/>
    <n v="36"/>
    <n v="3"/>
    <n v="9"/>
    <n v="105"/>
    <n v="67"/>
    <n v="30"/>
    <n v="37"/>
    <n v="3"/>
    <n v="11"/>
    <n v="4"/>
    <n v="2"/>
    <n v="0.34071550255536626"/>
    <n v="5.1107325383304938E-2"/>
    <n v="8.6882453151618397E-2"/>
    <n v="0.38810641627543035"/>
    <n v="0.45826235093696766"/>
    <n v="0.84636876721239807"/>
    <n v="0.1175468483816014"/>
    <n v="7.271550255536624E-2"/>
    <n v="5.2106416275430334E-2"/>
    <n v="3.5262350936967668E-2"/>
    <n v="8.8368767212398058E-2"/>
    <n v="-3.74531516183986E-2"/>
  </r>
  <r>
    <x v="1"/>
    <x v="14"/>
    <s v="jeterde01"/>
    <s v="AL"/>
    <s v="NYA"/>
    <x v="6"/>
    <n v="6"/>
    <n v="639"/>
    <n v="206"/>
    <n v="39"/>
    <n v="4"/>
    <n v="12"/>
    <n v="102"/>
    <n v="73"/>
    <n v="100"/>
    <n v="56"/>
    <n v="3"/>
    <n v="14"/>
    <n v="2"/>
    <n v="3"/>
    <n v="0.32237871674491392"/>
    <n v="0.1564945226917058"/>
    <n v="0.11424100156494522"/>
    <n v="0.3881856540084388"/>
    <n v="0.45226917057902971"/>
    <n v="0.84045482458746856"/>
    <n v="0.12989045383411579"/>
    <n v="5.4378716744913902E-2"/>
    <n v="5.2185654008438775E-2"/>
    <n v="2.9269170579029724E-2"/>
    <n v="8.2454824587468556E-2"/>
    <n v="-2.5109546165884206E-2"/>
  </r>
  <r>
    <x v="1"/>
    <x v="14"/>
    <s v="griffke02"/>
    <s v="NL"/>
    <s v="CIN"/>
    <x v="8"/>
    <n v="9"/>
    <n v="528"/>
    <n v="146"/>
    <n v="24"/>
    <n v="1"/>
    <n v="30"/>
    <n v="78"/>
    <n v="93"/>
    <n v="99"/>
    <n v="85"/>
    <n v="14"/>
    <n v="1"/>
    <n v="9"/>
    <n v="0"/>
    <n v="0.27651515151515149"/>
    <n v="0.1875"/>
    <n v="0.18939393939393939"/>
    <n v="0.3723916532905297"/>
    <n v="0.49621212121212122"/>
    <n v="0.86860377450265092"/>
    <n v="0.21969696969696972"/>
    <n v="8.5151515151514756E-3"/>
    <n v="3.639165329052968E-2"/>
    <n v="7.3212121212121228E-2"/>
    <n v="0.11060377450265091"/>
    <n v="6.4696969696969725E-2"/>
  </r>
  <r>
    <x v="1"/>
    <x v="14"/>
    <s v="martiru01"/>
    <s v="NL"/>
    <s v="LAN"/>
    <x v="5"/>
    <n v="2"/>
    <n v="540"/>
    <n v="158"/>
    <n v="32"/>
    <n v="3"/>
    <n v="19"/>
    <n v="87"/>
    <n v="87"/>
    <n v="89"/>
    <n v="67"/>
    <n v="1"/>
    <n v="7"/>
    <n v="6"/>
    <n v="0"/>
    <n v="0.29259259259259257"/>
    <n v="0.1648148148148148"/>
    <n v="0.1388888888888889"/>
    <n v="0.37419354838709679"/>
    <n v="0.4685185185185185"/>
    <n v="0.84271206690561529"/>
    <n v="0.17592592592592593"/>
    <n v="2.4592592592592555E-2"/>
    <n v="3.8193548387096765E-2"/>
    <n v="4.5518518518518514E-2"/>
    <n v="8.471206690561528E-2"/>
    <n v="2.0925925925925931E-2"/>
  </r>
  <r>
    <x v="1"/>
    <x v="14"/>
    <s v="reyesjo01"/>
    <s v="NL"/>
    <s v="NYN"/>
    <x v="6"/>
    <n v="6"/>
    <n v="681"/>
    <n v="191"/>
    <n v="36"/>
    <n v="12"/>
    <n v="12"/>
    <n v="119"/>
    <n v="57"/>
    <n v="78"/>
    <n v="77"/>
    <n v="13"/>
    <n v="1"/>
    <n v="1"/>
    <n v="5"/>
    <n v="0.28046989720998533"/>
    <n v="0.11453744493392071"/>
    <n v="0.13362701908957417"/>
    <n v="0.35394736842105262"/>
    <n v="0.42143906020558003"/>
    <n v="0.77538642862663265"/>
    <n v="0.1409691629955947"/>
    <n v="1.2469897209985314E-2"/>
    <n v="1.7947368421052601E-2"/>
    <n v="-1.5609397944199577E-3"/>
    <n v="1.7386428626632644E-2"/>
    <n v="-1.40308370044053E-2"/>
  </r>
  <r>
    <x v="1"/>
    <x v="14"/>
    <s v="beltrca01"/>
    <s v="NL"/>
    <s v="NYN"/>
    <x v="2"/>
    <n v="8"/>
    <n v="554"/>
    <n v="153"/>
    <n v="33"/>
    <n v="3"/>
    <n v="33"/>
    <n v="93"/>
    <n v="112"/>
    <n v="111"/>
    <n v="69"/>
    <n v="10"/>
    <n v="2"/>
    <n v="10"/>
    <n v="1"/>
    <n v="0.27617328519855594"/>
    <n v="0.2003610108303249"/>
    <n v="0.14620938628158844"/>
    <n v="0.35275590551181102"/>
    <n v="0.52527075812274371"/>
    <n v="0.87802666363455473"/>
    <n v="0.24909747292418777"/>
    <n v="8.1732851985559241E-3"/>
    <n v="1.6755905511810998E-2"/>
    <n v="0.10227075812274372"/>
    <n v="0.12002666363455472"/>
    <n v="9.4097472924187769E-2"/>
  </r>
  <r>
    <x v="1"/>
    <x v="14"/>
    <s v="rodriiv01"/>
    <s v="AL"/>
    <s v="DET"/>
    <x v="5"/>
    <n v="2"/>
    <n v="502"/>
    <n v="141"/>
    <n v="31"/>
    <n v="3"/>
    <n v="11"/>
    <n v="50"/>
    <n v="63"/>
    <n v="96"/>
    <n v="9"/>
    <n v="1"/>
    <n v="1"/>
    <n v="2"/>
    <n v="1"/>
    <n v="0.28087649402390436"/>
    <n v="0.19123505976095617"/>
    <n v="2.1912350597609563E-2"/>
    <n v="0.29377431906614787"/>
    <n v="0.42031872509960161"/>
    <n v="0.71409304416574948"/>
    <n v="0.13944223107569725"/>
    <n v="1.2876494023904339E-2"/>
    <n v="-4.222568093385215E-2"/>
    <n v="-2.6812749003983782E-3"/>
    <n v="-4.3906955834250527E-2"/>
    <n v="-1.5557768924302745E-2"/>
  </r>
  <r>
    <x v="1"/>
    <x v="15"/>
    <s v="ramirma02"/>
    <s v="NL"/>
    <s v="LAN"/>
    <x v="1"/>
    <n v="7"/>
    <n v="187"/>
    <n v="74"/>
    <n v="14"/>
    <n v="0"/>
    <n v="17"/>
    <n v="36"/>
    <n v="53"/>
    <n v="38"/>
    <n v="35"/>
    <n v="16"/>
    <n v="3"/>
    <n v="4"/>
    <n v="0"/>
    <n v="0.39572192513368987"/>
    <n v="0.20320855614973263"/>
    <n v="0.28877005347593582"/>
    <n v="0.48908296943231439"/>
    <n v="0.74331550802139035"/>
    <n v="1.2323984774537047"/>
    <n v="0.34759358288770048"/>
    <n v="0.13172192513368985"/>
    <n v="0.15608296943231437"/>
    <n v="0.32731550802139037"/>
    <n v="0.48339847745370468"/>
    <n v="0.19559358288770048"/>
  </r>
  <r>
    <x v="1"/>
    <x v="15"/>
    <s v="pujolal01"/>
    <s v="NL"/>
    <s v="SLN"/>
    <x v="4"/>
    <n v="10"/>
    <n v="524"/>
    <n v="187"/>
    <n v="44"/>
    <n v="0"/>
    <n v="37"/>
    <n v="100"/>
    <n v="116"/>
    <n v="54"/>
    <n v="104"/>
    <n v="34"/>
    <n v="5"/>
    <n v="8"/>
    <n v="0"/>
    <n v="0.3568702290076336"/>
    <n v="0.10305343511450382"/>
    <n v="0.27290076335877861"/>
    <n v="0.46177847113884557"/>
    <n v="0.65267175572519087"/>
    <n v="1.1144502268640364"/>
    <n v="0.29580152671755727"/>
    <n v="9.2870229007633587E-2"/>
    <n v="0.12877847113884555"/>
    <n v="0.23667175572519089"/>
    <n v="0.36545022686403639"/>
    <n v="0.14380152671755728"/>
  </r>
  <r>
    <x v="1"/>
    <x v="15"/>
    <s v="jonesch06"/>
    <s v="NL"/>
    <s v="ATL"/>
    <x v="7"/>
    <n v="5"/>
    <n v="439"/>
    <n v="160"/>
    <n v="24"/>
    <n v="1"/>
    <n v="22"/>
    <n v="82"/>
    <n v="75"/>
    <n v="61"/>
    <n v="90"/>
    <n v="16"/>
    <n v="1"/>
    <n v="4"/>
    <n v="0"/>
    <n v="0.36446469248291574"/>
    <n v="0.13895216400911162"/>
    <n v="0.24373576309794989"/>
    <n v="0.47003745318352058"/>
    <n v="0.57403189066059224"/>
    <n v="1.0440693438441129"/>
    <n v="0.20956719817767649"/>
    <n v="0.10046469248291573"/>
    <n v="0.13703745318352056"/>
    <n v="0.15803189066059226"/>
    <n v="0.29506934384411287"/>
    <n v="5.7567198177676498E-2"/>
  </r>
  <r>
    <x v="1"/>
    <x v="15"/>
    <s v="bradlmi01"/>
    <s v="AL"/>
    <s v="TEX"/>
    <x v="4"/>
    <n v="10"/>
    <n v="414"/>
    <n v="133"/>
    <n v="32"/>
    <n v="1"/>
    <n v="22"/>
    <n v="78"/>
    <n v="77"/>
    <n v="112"/>
    <n v="80"/>
    <n v="13"/>
    <n v="9"/>
    <n v="6"/>
    <n v="0"/>
    <n v="0.32125603864734298"/>
    <n v="0.27053140096618356"/>
    <n v="0.24637681159420291"/>
    <n v="0.43614931237721022"/>
    <n v="0.5628019323671497"/>
    <n v="0.99895124474435992"/>
    <n v="0.24154589371980673"/>
    <n v="5.7256038647342966E-2"/>
    <n v="0.1031493123772102"/>
    <n v="0.14680193236714972"/>
    <n v="0.24995124474435992"/>
    <n v="8.954589371980673E-2"/>
  </r>
  <r>
    <x v="1"/>
    <x v="15"/>
    <s v="berkmla01"/>
    <s v="NL"/>
    <s v="HOU"/>
    <x v="0"/>
    <n v="3"/>
    <n v="554"/>
    <n v="173"/>
    <n v="46"/>
    <n v="4"/>
    <n v="29"/>
    <n v="114"/>
    <n v="106"/>
    <n v="108"/>
    <n v="99"/>
    <n v="18"/>
    <n v="7"/>
    <n v="5"/>
    <n v="0"/>
    <n v="0.31227436823104693"/>
    <n v="0.19494584837545126"/>
    <n v="0.22382671480144403"/>
    <n v="0.41954887218045112"/>
    <n v="0.56678700361010825"/>
    <n v="0.98633587579055937"/>
    <n v="0.25451263537906132"/>
    <n v="4.8274368231046916E-2"/>
    <n v="8.6548872180451097E-2"/>
    <n v="0.15078700361010827"/>
    <n v="0.23733587579055937"/>
    <n v="0.10251263537906133"/>
  </r>
  <r>
    <x v="1"/>
    <x v="15"/>
    <s v="mauerjo01"/>
    <s v="AL"/>
    <s v="MIN"/>
    <x v="5"/>
    <n v="2"/>
    <n v="536"/>
    <n v="176"/>
    <n v="31"/>
    <n v="4"/>
    <n v="9"/>
    <n v="98"/>
    <n v="85"/>
    <n v="50"/>
    <n v="84"/>
    <n v="8"/>
    <n v="1"/>
    <n v="11"/>
    <n v="1"/>
    <n v="0.32835820895522388"/>
    <n v="9.3283582089552244E-2"/>
    <n v="0.17350746268656717"/>
    <n v="0.41297468354430378"/>
    <n v="0.45149253731343286"/>
    <n v="0.86446722085773664"/>
    <n v="0.12313432835820898"/>
    <n v="6.4358208955223872E-2"/>
    <n v="7.997468354430376E-2"/>
    <n v="3.5492537313432881E-2"/>
    <n v="0.11546722085773664"/>
    <n v="-2.8865671641791019E-2"/>
  </r>
  <r>
    <x v="1"/>
    <x v="15"/>
    <s v="hollima01"/>
    <s v="NL"/>
    <s v="COL"/>
    <x v="8"/>
    <n v="9"/>
    <n v="539"/>
    <n v="173"/>
    <n v="38"/>
    <n v="2"/>
    <n v="25"/>
    <n v="107"/>
    <n v="88"/>
    <n v="104"/>
    <n v="74"/>
    <n v="6"/>
    <n v="8"/>
    <n v="2"/>
    <n v="0"/>
    <n v="0.3209647495361781"/>
    <n v="0.19294990723562153"/>
    <n v="0.16326530612244897"/>
    <n v="0.40930979133226325"/>
    <n v="0.53803339517625237"/>
    <n v="0.94734318650851557"/>
    <n v="0.21706864564007428"/>
    <n v="5.6964749536178083E-2"/>
    <n v="7.6309791332263233E-2"/>
    <n v="0.12203339517625239"/>
    <n v="0.19834318650851557"/>
    <n v="6.506864564007428E-2"/>
  </r>
  <r>
    <x v="1"/>
    <x v="15"/>
    <s v="ramirma02"/>
    <s v="AL"/>
    <s v="BOS"/>
    <x v="1"/>
    <n v="7"/>
    <n v="365"/>
    <n v="109"/>
    <n v="22"/>
    <n v="1"/>
    <n v="20"/>
    <n v="66"/>
    <n v="68"/>
    <n v="86"/>
    <n v="52"/>
    <n v="8"/>
    <n v="8"/>
    <n v="0"/>
    <n v="0"/>
    <n v="0.29863013698630136"/>
    <n v="0.23561643835616439"/>
    <n v="0.18630136986301371"/>
    <n v="0.39764705882352941"/>
    <n v="0.52876712328767128"/>
    <n v="0.92641418211120063"/>
    <n v="0.23013698630136992"/>
    <n v="3.4630136986301352E-2"/>
    <n v="6.4647058823529391E-2"/>
    <n v="0.1127671232876713"/>
    <n v="0.17741418211120064"/>
    <n v="7.8136986301369921E-2"/>
  </r>
  <r>
    <x v="1"/>
    <x v="15"/>
    <s v="ramirha01"/>
    <s v="NL"/>
    <s v="FLO"/>
    <x v="6"/>
    <n v="6"/>
    <n v="589"/>
    <n v="177"/>
    <n v="34"/>
    <n v="4"/>
    <n v="33"/>
    <n v="125"/>
    <n v="67"/>
    <n v="122"/>
    <n v="92"/>
    <n v="9"/>
    <n v="8"/>
    <n v="4"/>
    <n v="0"/>
    <n v="0.30050933786078099"/>
    <n v="0.2071307300509338"/>
    <n v="0.18505942275042445"/>
    <n v="0.39971139971139968"/>
    <n v="0.53989813242784379"/>
    <n v="0.93960953213924348"/>
    <n v="0.2393887945670628"/>
    <n v="3.6509337860780977E-2"/>
    <n v="6.6711399711399666E-2"/>
    <n v="0.12389813242784381"/>
    <n v="0.19060953213924348"/>
    <n v="8.7388794567062805E-2"/>
  </r>
  <r>
    <x v="1"/>
    <x v="15"/>
    <s v="rodrial01"/>
    <s v="AL"/>
    <s v="NYA"/>
    <x v="7"/>
    <n v="5"/>
    <n v="510"/>
    <n v="154"/>
    <n v="33"/>
    <n v="0"/>
    <n v="35"/>
    <n v="104"/>
    <n v="103"/>
    <n v="117"/>
    <n v="65"/>
    <n v="9"/>
    <n v="14"/>
    <n v="5"/>
    <n v="0"/>
    <n v="0.30196078431372547"/>
    <n v="0.22941176470588234"/>
    <n v="0.17254901960784313"/>
    <n v="0.39225589225589225"/>
    <n v="0.5725490196078431"/>
    <n v="0.9648049118637354"/>
    <n v="0.27058823529411763"/>
    <n v="3.796078431372546E-2"/>
    <n v="5.9255892255892229E-2"/>
    <n v="0.15654901960784312"/>
    <n v="0.2158049118637354"/>
    <n v="0.11858823529411763"/>
  </r>
  <r>
    <x v="1"/>
    <x v="15"/>
    <s v="youklke01"/>
    <s v="AL"/>
    <s v="BOS"/>
    <x v="0"/>
    <n v="3"/>
    <n v="538"/>
    <n v="168"/>
    <n v="43"/>
    <n v="4"/>
    <n v="29"/>
    <n v="91"/>
    <n v="115"/>
    <n v="108"/>
    <n v="62"/>
    <n v="7"/>
    <n v="12"/>
    <n v="9"/>
    <n v="0"/>
    <n v="0.31226765799256506"/>
    <n v="0.20074349442379183"/>
    <n v="0.15055762081784388"/>
    <n v="0.38969404186795492"/>
    <n v="0.56877323420074355"/>
    <n v="0.95846727606869853"/>
    <n v="0.25650557620817849"/>
    <n v="4.826765799256505E-2"/>
    <n v="5.6694041867954903E-2"/>
    <n v="0.15277323420074357"/>
    <n v="0.20946727606869853"/>
    <n v="0.10450557620817849"/>
  </r>
  <r>
    <x v="1"/>
    <x v="15"/>
    <s v="utleych01"/>
    <s v="NL"/>
    <s v="PHI"/>
    <x v="3"/>
    <n v="4"/>
    <n v="607"/>
    <n v="177"/>
    <n v="41"/>
    <n v="4"/>
    <n v="33"/>
    <n v="113"/>
    <n v="104"/>
    <n v="104"/>
    <n v="64"/>
    <n v="14"/>
    <n v="27"/>
    <n v="8"/>
    <n v="1"/>
    <n v="0.29159802306425042"/>
    <n v="0.17133443163097201"/>
    <n v="0.17298187808896212"/>
    <n v="0.37960339943342775"/>
    <n v="0.53542009884678743"/>
    <n v="0.91502349828021523"/>
    <n v="0.24382207578253701"/>
    <n v="2.759802306425041E-2"/>
    <n v="4.6603399433427728E-2"/>
    <n v="0.11942009884678745"/>
    <n v="0.16602349828021523"/>
    <n v="9.182207578253701E-2"/>
  </r>
  <r>
    <x v="1"/>
    <x v="15"/>
    <s v="hamiljo03"/>
    <s v="AL"/>
    <s v="TEX"/>
    <x v="2"/>
    <n v="8"/>
    <n v="624"/>
    <n v="190"/>
    <n v="35"/>
    <n v="5"/>
    <n v="32"/>
    <n v="98"/>
    <n v="130"/>
    <n v="126"/>
    <n v="64"/>
    <n v="9"/>
    <n v="7"/>
    <n v="9"/>
    <n v="0"/>
    <n v="0.30448717948717946"/>
    <n v="0.20192307692307693"/>
    <n v="0.12820512820512819"/>
    <n v="0.37073863636363635"/>
    <n v="0.53044871794871795"/>
    <n v="0.90118735431235431"/>
    <n v="0.22596153846153849"/>
    <n v="4.0487179487179448E-2"/>
    <n v="3.7738636363636335E-2"/>
    <n v="0.11444871794871797"/>
    <n v="0.15218735431235431"/>
    <n v="7.3961538461538495E-2"/>
  </r>
  <r>
    <x v="1"/>
    <x v="15"/>
    <s v="pedrodu01"/>
    <s v="AL"/>
    <s v="BOS"/>
    <x v="3"/>
    <n v="4"/>
    <n v="653"/>
    <n v="213"/>
    <n v="54"/>
    <n v="2"/>
    <n v="17"/>
    <n v="118"/>
    <n v="83"/>
    <n v="52"/>
    <n v="50"/>
    <n v="1"/>
    <n v="7"/>
    <n v="9"/>
    <n v="7"/>
    <n v="0.32618683001531396"/>
    <n v="7.9632465543644712E-2"/>
    <n v="8.8820826952526799E-2"/>
    <n v="0.37552155771905427"/>
    <n v="0.49310872894333846"/>
    <n v="0.86863028666239273"/>
    <n v="0.1669218989280245"/>
    <n v="6.2186830015313943E-2"/>
    <n v="4.2521557719054248E-2"/>
    <n v="7.7108728943338478E-2"/>
    <n v="0.11963028666239273"/>
    <n v="1.4921898928024507E-2"/>
  </r>
  <r>
    <x v="1"/>
    <x v="15"/>
    <s v="sotoge01"/>
    <s v="NL"/>
    <s v="CHN"/>
    <x v="5"/>
    <n v="2"/>
    <n v="494"/>
    <n v="141"/>
    <n v="35"/>
    <n v="2"/>
    <n v="23"/>
    <n v="66"/>
    <n v="86"/>
    <n v="121"/>
    <n v="62"/>
    <n v="6"/>
    <n v="2"/>
    <n v="5"/>
    <n v="0"/>
    <n v="0.28542510121457487"/>
    <n v="0.24493927125506074"/>
    <n v="0.1417004048582996"/>
    <n v="0.36412078152753108"/>
    <n v="0.50404858299595146"/>
    <n v="0.86816936452348248"/>
    <n v="0.21862348178137658"/>
    <n v="2.142510121457486E-2"/>
    <n v="3.1120781527531061E-2"/>
    <n v="8.8048582995951474E-2"/>
    <n v="0.11916936452348248"/>
    <n v="6.6623481781376587E-2"/>
  </r>
  <r>
    <x v="1"/>
    <x v="15"/>
    <s v="suzukic01"/>
    <s v="AL"/>
    <s v="SEA"/>
    <x v="8"/>
    <n v="9"/>
    <n v="686"/>
    <n v="213"/>
    <n v="20"/>
    <n v="7"/>
    <n v="6"/>
    <n v="103"/>
    <n v="42"/>
    <n v="65"/>
    <n v="51"/>
    <n v="12"/>
    <n v="5"/>
    <n v="4"/>
    <n v="3"/>
    <n v="0.31049562682215742"/>
    <n v="9.4752186588921289E-2"/>
    <n v="9.9125364431486881E-2"/>
    <n v="0.3605898123324397"/>
    <n v="0.38629737609329445"/>
    <n v="0.74688718842573421"/>
    <n v="7.5801749271137031E-2"/>
    <n v="4.649562682215741E-2"/>
    <n v="2.7589812332439678E-2"/>
    <n v="-2.9702623906705528E-2"/>
    <n v="-2.1128115742657938E-3"/>
    <n v="-7.6198250728862965E-2"/>
  </r>
  <r>
    <x v="1"/>
    <x v="15"/>
    <s v="fukudko01"/>
    <s v="NL"/>
    <s v="CHN"/>
    <x v="2"/>
    <n v="8"/>
    <n v="501"/>
    <n v="129"/>
    <n v="25"/>
    <n v="3"/>
    <n v="10"/>
    <n v="79"/>
    <n v="58"/>
    <n v="104"/>
    <n v="81"/>
    <n v="9"/>
    <n v="1"/>
    <n v="5"/>
    <n v="2"/>
    <n v="0.25748502994011974"/>
    <n v="0.20758483033932135"/>
    <n v="0.18163672654690619"/>
    <n v="0.358843537414966"/>
    <n v="0.37924151696606784"/>
    <n v="0.73808505438103378"/>
    <n v="0.1217564870259481"/>
    <n v="-6.5149700598802762E-3"/>
    <n v="2.5843537414965978E-2"/>
    <n v="-3.6758483033932143E-2"/>
    <n v="-1.0914945618966221E-2"/>
    <n v="-3.0243512974051895E-2"/>
  </r>
  <r>
    <x v="1"/>
    <x v="15"/>
    <s v="jeterde01"/>
    <s v="AL"/>
    <s v="NYA"/>
    <x v="6"/>
    <n v="6"/>
    <n v="596"/>
    <n v="179"/>
    <n v="25"/>
    <n v="3"/>
    <n v="11"/>
    <n v="88"/>
    <n v="69"/>
    <n v="85"/>
    <n v="52"/>
    <n v="0"/>
    <n v="9"/>
    <n v="4"/>
    <n v="7"/>
    <n v="0.30033557046979864"/>
    <n v="0.14261744966442952"/>
    <n v="0.10234899328859061"/>
    <n v="0.36308623298033282"/>
    <n v="0.40771812080536912"/>
    <n v="0.77080435378570189"/>
    <n v="0.10738255033557048"/>
    <n v="3.6335570469798628E-2"/>
    <n v="3.0086232980332805E-2"/>
    <n v="-8.281879194630859E-3"/>
    <n v="2.1804353785701891E-2"/>
    <n v="-4.4617449664429515E-2"/>
  </r>
  <r>
    <x v="1"/>
    <x v="15"/>
    <s v="braunry02"/>
    <s v="NL"/>
    <s v="MIL"/>
    <x v="1"/>
    <n v="7"/>
    <n v="611"/>
    <n v="174"/>
    <n v="39"/>
    <n v="7"/>
    <n v="37"/>
    <n v="92"/>
    <n v="106"/>
    <n v="129"/>
    <n v="42"/>
    <n v="4"/>
    <n v="6"/>
    <n v="4"/>
    <n v="0"/>
    <n v="0.28477905073649756"/>
    <n v="0.21112929623567922"/>
    <n v="8.5106382978723402E-2"/>
    <n v="0.33484162895927599"/>
    <n v="0.55319148936170215"/>
    <n v="0.8880331183209782"/>
    <n v="0.26841243862520459"/>
    <n v="2.0779050736497551E-2"/>
    <n v="1.841628959275976E-3"/>
    <n v="0.13719148936170217"/>
    <n v="0.1390331183209782"/>
    <n v="0.11641243862520459"/>
  </r>
  <r>
    <x v="1"/>
    <x v="16"/>
    <s v="pujolal01"/>
    <s v="NL"/>
    <s v="SLN"/>
    <x v="0"/>
    <n v="3"/>
    <n v="568"/>
    <n v="186"/>
    <n v="45"/>
    <n v="1"/>
    <n v="47"/>
    <n v="124"/>
    <n v="135"/>
    <n v="64"/>
    <n v="115"/>
    <n v="44"/>
    <n v="9"/>
    <n v="8"/>
    <n v="0"/>
    <n v="0.32746478873239437"/>
    <n v="0.11267605633802817"/>
    <n v="0.29577464788732394"/>
    <n v="0.44285714285714284"/>
    <n v="0.65845070422535212"/>
    <n v="1.1013078470824951"/>
    <n v="0.33098591549295775"/>
    <n v="6.5464788732394363E-2"/>
    <n v="0.10985714285714282"/>
    <n v="0.24045070422535214"/>
    <n v="0.35030784708249507"/>
    <n v="0.17498591549295775"/>
  </r>
  <r>
    <x v="1"/>
    <x v="16"/>
    <s v="mauerjo01"/>
    <s v="AL"/>
    <s v="MIN"/>
    <x v="5"/>
    <n v="2"/>
    <n v="523"/>
    <n v="191"/>
    <n v="30"/>
    <n v="1"/>
    <n v="28"/>
    <n v="94"/>
    <n v="96"/>
    <n v="63"/>
    <n v="76"/>
    <n v="14"/>
    <n v="2"/>
    <n v="5"/>
    <n v="0"/>
    <n v="0.36520076481835562"/>
    <n v="0.12045889101338432"/>
    <n v="0.17590822179732313"/>
    <n v="0.44389438943894388"/>
    <n v="0.5869980879541109"/>
    <n v="1.0308924773930548"/>
    <n v="0.22179732313575529"/>
    <n v="0.10320076481835561"/>
    <n v="0.11089438943894386"/>
    <n v="0.16899808795411092"/>
    <n v="0.27989247739305478"/>
    <n v="6.5797323135755287E-2"/>
  </r>
  <r>
    <x v="1"/>
    <x v="16"/>
    <s v="ramirha01"/>
    <s v="NL"/>
    <s v="FLO"/>
    <x v="6"/>
    <n v="6"/>
    <n v="576"/>
    <n v="197"/>
    <n v="42"/>
    <n v="1"/>
    <n v="24"/>
    <n v="101"/>
    <n v="106"/>
    <n v="101"/>
    <n v="61"/>
    <n v="14"/>
    <n v="9"/>
    <n v="5"/>
    <n v="1"/>
    <n v="0.3420138888888889"/>
    <n v="0.17534722222222221"/>
    <n v="0.14583333333333334"/>
    <n v="0.41013824884792627"/>
    <n v="0.54340277777777779"/>
    <n v="0.95354102662570406"/>
    <n v="0.2013888888888889"/>
    <n v="8.0013888888888884E-2"/>
    <n v="7.713824884792625E-2"/>
    <n v="0.12540277777777781"/>
    <n v="0.20254102662570406"/>
    <n v="4.5388888888888895E-2"/>
  </r>
  <r>
    <x v="1"/>
    <x v="16"/>
    <s v="jeterde01"/>
    <s v="AL"/>
    <s v="NYA"/>
    <x v="6"/>
    <n v="6"/>
    <n v="634"/>
    <n v="212"/>
    <n v="27"/>
    <n v="1"/>
    <n v="18"/>
    <n v="107"/>
    <n v="66"/>
    <n v="90"/>
    <n v="72"/>
    <n v="4"/>
    <n v="5"/>
    <n v="1"/>
    <n v="4"/>
    <n v="0.33438485804416401"/>
    <n v="0.14195583596214512"/>
    <n v="0.12776025236593061"/>
    <n v="0.4058988764044944"/>
    <n v="0.46529968454258674"/>
    <n v="0.87119856094708115"/>
    <n v="0.13091482649842273"/>
    <n v="7.2384858044164002E-2"/>
    <n v="7.2898876404494384E-2"/>
    <n v="4.7299684542586762E-2"/>
    <n v="0.12019856094708115"/>
    <n v="-2.5085173501577268E-2"/>
  </r>
  <r>
    <x v="1"/>
    <x v="16"/>
    <s v="utleych01"/>
    <s v="NL"/>
    <s v="PHI"/>
    <x v="3"/>
    <n v="4"/>
    <n v="571"/>
    <n v="161"/>
    <n v="28"/>
    <n v="4"/>
    <n v="31"/>
    <n v="112"/>
    <n v="93"/>
    <n v="110"/>
    <n v="88"/>
    <n v="3"/>
    <n v="24"/>
    <n v="4"/>
    <n v="0"/>
    <n v="0.28196147110332748"/>
    <n v="0.19264448336252188"/>
    <n v="0.20140105078809106"/>
    <n v="0.39737991266375544"/>
    <n v="0.50788091068301222"/>
    <n v="0.90526082334676761"/>
    <n v="0.22591943957968474"/>
    <n v="1.9961471103327466E-2"/>
    <n v="6.4379912663755423E-2"/>
    <n v="8.9880910683012238E-2"/>
    <n v="0.15426082334676761"/>
    <n v="6.9919439579684745E-2"/>
  </r>
  <r>
    <x v="1"/>
    <x v="16"/>
    <s v="suzukic01"/>
    <s v="AL"/>
    <s v="SEA"/>
    <x v="8"/>
    <n v="9"/>
    <n v="639"/>
    <n v="225"/>
    <n v="31"/>
    <n v="4"/>
    <n v="11"/>
    <n v="88"/>
    <n v="46"/>
    <n v="71"/>
    <n v="32"/>
    <n v="15"/>
    <n v="4"/>
    <n v="1"/>
    <n v="2"/>
    <n v="0.352112676056338"/>
    <n v="0.1111111111111111"/>
    <n v="7.9812206572769953E-2"/>
    <n v="0.38609467455621299"/>
    <n v="0.46478873239436619"/>
    <n v="0.85088340695057918"/>
    <n v="0.11267605633802819"/>
    <n v="9.0112676056337992E-2"/>
    <n v="5.3094674556212973E-2"/>
    <n v="4.6788732394366206E-2"/>
    <n v="9.9883406950579179E-2"/>
    <n v="-4.3323943661971814E-2"/>
  </r>
  <r>
    <x v="1"/>
    <x v="16"/>
    <s v="wrighda03"/>
    <s v="NL"/>
    <s v="NYN"/>
    <x v="7"/>
    <n v="5"/>
    <n v="535"/>
    <n v="164"/>
    <n v="39"/>
    <n v="3"/>
    <n v="10"/>
    <n v="88"/>
    <n v="72"/>
    <n v="140"/>
    <n v="74"/>
    <n v="8"/>
    <n v="3"/>
    <n v="6"/>
    <n v="0"/>
    <n v="0.30654205607476637"/>
    <n v="0.26168224299065418"/>
    <n v="0.15887850467289719"/>
    <n v="0.38996763754045305"/>
    <n v="0.44672897196261685"/>
    <n v="0.8366966095030699"/>
    <n v="0.14018691588785048"/>
    <n v="4.4542056074766356E-2"/>
    <n v="5.6967637540453031E-2"/>
    <n v="2.8728971962616867E-2"/>
    <n v="8.5696609503069898E-2"/>
    <n v="-1.5813084112149517E-2"/>
  </r>
  <r>
    <x v="1"/>
    <x v="16"/>
    <s v="teixema01"/>
    <s v="AL"/>
    <s v="NYA"/>
    <x v="0"/>
    <n v="3"/>
    <n v="609"/>
    <n v="178"/>
    <n v="43"/>
    <n v="3"/>
    <n v="39"/>
    <n v="103"/>
    <n v="122"/>
    <n v="114"/>
    <n v="81"/>
    <n v="9"/>
    <n v="12"/>
    <n v="5"/>
    <n v="0"/>
    <n v="0.29228243021346467"/>
    <n v="0.18719211822660098"/>
    <n v="0.16748768472906403"/>
    <n v="0.38330975954738333"/>
    <n v="0.56486042692939242"/>
    <n v="0.94817018647677576"/>
    <n v="0.27257799671592775"/>
    <n v="3.0282430213464662E-2"/>
    <n v="5.0309759547383315E-2"/>
    <n v="0.14686042692939244"/>
    <n v="0.19717018647677576"/>
    <n v="0.11657799671592775"/>
  </r>
  <r>
    <x v="1"/>
    <x v="16"/>
    <s v="bayja01"/>
    <s v="AL"/>
    <s v="BOS"/>
    <x v="1"/>
    <n v="7"/>
    <n v="531"/>
    <n v="142"/>
    <n v="29"/>
    <n v="3"/>
    <n v="36"/>
    <n v="103"/>
    <n v="119"/>
    <n v="162"/>
    <n v="94"/>
    <n v="4"/>
    <n v="9"/>
    <n v="4"/>
    <n v="0"/>
    <n v="0.26741996233521659"/>
    <n v="0.30508474576271188"/>
    <n v="0.20150659133709981"/>
    <n v="0.38401253918495298"/>
    <n v="0.53672316384180796"/>
    <n v="0.92073570302676089"/>
    <n v="0.26930320150659137"/>
    <n v="5.4199623352165771E-3"/>
    <n v="5.1012539184952965E-2"/>
    <n v="0.11872316384180798"/>
    <n v="0.16973570302676089"/>
    <n v="0.11330320150659137"/>
  </r>
  <r>
    <x v="1"/>
    <x v="16"/>
    <s v="braunry02"/>
    <s v="NL"/>
    <s v="MIL"/>
    <x v="8"/>
    <n v="9"/>
    <n v="635"/>
    <n v="203"/>
    <n v="39"/>
    <n v="6"/>
    <n v="32"/>
    <n v="113"/>
    <n v="114"/>
    <n v="121"/>
    <n v="57"/>
    <n v="1"/>
    <n v="13"/>
    <n v="3"/>
    <n v="0"/>
    <n v="0.31968503937007875"/>
    <n v="0.19055118110236222"/>
    <n v="0.11181102362204724"/>
    <n v="0.38559322033898308"/>
    <n v="0.55118110236220474"/>
    <n v="0.93677432270118777"/>
    <n v="0.23149606299212599"/>
    <n v="5.7685039370078739E-2"/>
    <n v="5.259322033898306E-2"/>
    <n v="0.13318110236220476"/>
    <n v="0.18577432270118777"/>
    <n v="7.5496062992125995E-2"/>
  </r>
  <r>
    <x v="1"/>
    <x v="16"/>
    <s v="youngmi02"/>
    <s v="AL"/>
    <s v="TEX"/>
    <x v="7"/>
    <n v="5"/>
    <n v="541"/>
    <n v="174"/>
    <n v="36"/>
    <n v="2"/>
    <n v="22"/>
    <n v="76"/>
    <n v="68"/>
    <n v="90"/>
    <n v="47"/>
    <n v="2"/>
    <n v="1"/>
    <n v="4"/>
    <n v="0"/>
    <n v="0.32162661737523107"/>
    <n v="0.16635859519408502"/>
    <n v="9.2421441774491686E-2"/>
    <n v="0.37436762225969644"/>
    <n v="0.51756007393715342"/>
    <n v="0.89192769619684986"/>
    <n v="0.19593345656192235"/>
    <n v="5.9626617375231061E-2"/>
    <n v="4.1367622259696424E-2"/>
    <n v="9.9560073937153437E-2"/>
    <n v="0.14092769619684986"/>
    <n v="3.9933456561922348E-2"/>
  </r>
  <r>
    <x v="1"/>
    <x v="16"/>
    <s v="molinya01"/>
    <s v="NL"/>
    <s v="SLN"/>
    <x v="5"/>
    <n v="2"/>
    <n v="481"/>
    <n v="141"/>
    <n v="23"/>
    <n v="1"/>
    <n v="6"/>
    <n v="45"/>
    <n v="54"/>
    <n v="39"/>
    <n v="50"/>
    <n v="2"/>
    <n v="6"/>
    <n v="1"/>
    <n v="6"/>
    <n v="0.29313929313929316"/>
    <n v="8.1081081081081086E-2"/>
    <n v="0.12058212058212059"/>
    <n v="0.36617100371747213"/>
    <n v="0.38253638253638256"/>
    <n v="0.74870738625385469"/>
    <n v="8.9397089397089402E-2"/>
    <n v="3.1139293139293145E-2"/>
    <n v="3.3171003717472114E-2"/>
    <n v="-3.5463617463617425E-2"/>
    <n v="-2.2926137461453111E-3"/>
    <n v="-6.6602910602910598E-2"/>
  </r>
  <r>
    <x v="1"/>
    <x v="16"/>
    <s v="victosh01"/>
    <s v="NL"/>
    <s v="PHI"/>
    <x v="2"/>
    <n v="8"/>
    <n v="620"/>
    <n v="181"/>
    <n v="39"/>
    <n v="13"/>
    <n v="10"/>
    <n v="102"/>
    <n v="62"/>
    <n v="71"/>
    <n v="60"/>
    <n v="1"/>
    <n v="6"/>
    <n v="4"/>
    <n v="4"/>
    <n v="0.29193548387096774"/>
    <n v="0.11451612903225807"/>
    <n v="0.10806451612903226"/>
    <n v="0.35797101449275365"/>
    <n v="0.44516129032258067"/>
    <n v="0.80313230481533426"/>
    <n v="0.15322580645161293"/>
    <n v="2.9935483870967727E-2"/>
    <n v="2.4971014492753629E-2"/>
    <n v="2.7161290322580689E-2"/>
    <n v="5.2132304815334263E-2"/>
    <n v="-2.7741935483870661E-3"/>
  </r>
  <r>
    <x v="1"/>
    <x v="16"/>
    <s v="ibanera01"/>
    <s v="NL"/>
    <s v="PHI"/>
    <x v="1"/>
    <n v="7"/>
    <n v="500"/>
    <n v="136"/>
    <n v="32"/>
    <n v="3"/>
    <n v="34"/>
    <n v="93"/>
    <n v="93"/>
    <n v="119"/>
    <n v="56"/>
    <n v="8"/>
    <n v="4"/>
    <n v="5"/>
    <n v="0"/>
    <n v="0.27200000000000002"/>
    <n v="0.23799999999999999"/>
    <n v="0.13600000000000001"/>
    <n v="0.34690265486725663"/>
    <n v="0.55200000000000005"/>
    <n v="0.89890265486725673"/>
    <n v="0.28000000000000003"/>
    <n v="1.0000000000000009E-2"/>
    <n v="1.3902654867256614E-2"/>
    <n v="0.13400000000000006"/>
    <n v="0.14790265486725673"/>
    <n v="0.12400000000000003"/>
  </r>
  <r>
    <x v="1"/>
    <x v="16"/>
    <s v="hillaa01"/>
    <s v="AL"/>
    <s v="TOR"/>
    <x v="3"/>
    <n v="4"/>
    <n v="682"/>
    <n v="195"/>
    <n v="37"/>
    <n v="0"/>
    <n v="36"/>
    <n v="103"/>
    <n v="108"/>
    <n v="98"/>
    <n v="42"/>
    <n v="1"/>
    <n v="5"/>
    <n v="4"/>
    <n v="1"/>
    <n v="0.28592375366568917"/>
    <n v="0.14369501466275661"/>
    <n v="7.0381231671554259E-2"/>
    <n v="0.330150068212824"/>
    <n v="0.49853372434017595"/>
    <n v="0.82868379255299995"/>
    <n v="0.21260997067448678"/>
    <n v="2.3923753665689163E-2"/>
    <n v="-2.8499317871760188E-3"/>
    <n v="8.0533724340175972E-2"/>
    <n v="7.7683792552999953E-2"/>
    <n v="5.6609970674486781E-2"/>
  </r>
  <r>
    <x v="1"/>
    <x v="16"/>
    <s v="hamiljo03"/>
    <s v="AL"/>
    <s v="TEX"/>
    <x v="2"/>
    <n v="8"/>
    <n v="336"/>
    <n v="90"/>
    <n v="19"/>
    <n v="2"/>
    <n v="10"/>
    <n v="43"/>
    <n v="54"/>
    <n v="79"/>
    <n v="24"/>
    <n v="2"/>
    <n v="1"/>
    <n v="4"/>
    <n v="0"/>
    <n v="0.26785714285714285"/>
    <n v="0.23511904761904762"/>
    <n v="8.0357142857142863E-2"/>
    <n v="0.31506849315068491"/>
    <n v="0.42559523809523808"/>
    <n v="0.740663731245923"/>
    <n v="0.15773809523809523"/>
    <n v="5.8571428571428386E-3"/>
    <n v="-1.7931506849315104E-2"/>
    <n v="7.5952380952380993E-3"/>
    <n v="-1.0336268754077005E-2"/>
    <n v="1.738095238095233E-3"/>
  </r>
  <r>
    <x v="1"/>
    <x v="17"/>
    <s v="cabremi01"/>
    <s v="AL"/>
    <s v="DET"/>
    <x v="0"/>
    <n v="3"/>
    <n v="548"/>
    <n v="180"/>
    <n v="45"/>
    <n v="1"/>
    <n v="38"/>
    <n v="111"/>
    <n v="126"/>
    <n v="95"/>
    <n v="89"/>
    <n v="32"/>
    <n v="3"/>
    <n v="8"/>
    <n v="0"/>
    <n v="0.32846715328467152"/>
    <n v="0.17335766423357665"/>
    <n v="0.22627737226277372"/>
    <n v="0.41975308641975306"/>
    <n v="0.62226277372262773"/>
    <n v="1.0420158601423808"/>
    <n v="0.29379562043795621"/>
    <n v="7.1467153284671514E-2"/>
    <n v="9.4753086419753052E-2"/>
    <n v="0.2192627737226277"/>
    <n v="0.31401586014238081"/>
    <n v="0.14779562043795622"/>
  </r>
  <r>
    <x v="1"/>
    <x v="17"/>
    <s v="pujolal01"/>
    <s v="NL"/>
    <s v="SLN"/>
    <x v="0"/>
    <n v="3"/>
    <n v="587"/>
    <n v="183"/>
    <n v="39"/>
    <n v="1"/>
    <n v="42"/>
    <n v="115"/>
    <n v="118"/>
    <n v="76"/>
    <n v="103"/>
    <n v="38"/>
    <n v="4"/>
    <n v="6"/>
    <n v="0"/>
    <n v="0.31175468483816016"/>
    <n v="0.12947189097103917"/>
    <n v="0.24701873935264054"/>
    <n v="0.41428571428571431"/>
    <n v="0.59625212947189099"/>
    <n v="1.0105378437576054"/>
    <n v="0.28449744463373083"/>
    <n v="5.475468483816015E-2"/>
    <n v="8.9285714285714302E-2"/>
    <n v="0.19325212947189097"/>
    <n v="0.28253784375760538"/>
    <n v="0.13849744463373084"/>
  </r>
  <r>
    <x v="1"/>
    <x v="17"/>
    <s v="mauerjo01"/>
    <s v="AL"/>
    <s v="MIN"/>
    <x v="5"/>
    <n v="2"/>
    <n v="510"/>
    <n v="167"/>
    <n v="43"/>
    <n v="1"/>
    <n v="9"/>
    <n v="88"/>
    <n v="75"/>
    <n v="53"/>
    <n v="65"/>
    <n v="14"/>
    <n v="3"/>
    <n v="6"/>
    <n v="0"/>
    <n v="0.32745098039215687"/>
    <n v="0.10392156862745099"/>
    <n v="0.16078431372549021"/>
    <n v="0.4023972602739726"/>
    <n v="0.46862745098039216"/>
    <n v="0.87102471125436476"/>
    <n v="0.14117647058823529"/>
    <n v="7.0450980392156859E-2"/>
    <n v="7.739726027397259E-2"/>
    <n v="6.5627450980392132E-2"/>
    <n v="0.14302471125436478"/>
    <n v="-4.8235294117646987E-3"/>
  </r>
  <r>
    <x v="1"/>
    <x v="17"/>
    <s v="hamiljo03"/>
    <s v="AL"/>
    <s v="TEX"/>
    <x v="2"/>
    <n v="8"/>
    <n v="518"/>
    <n v="186"/>
    <n v="40"/>
    <n v="3"/>
    <n v="32"/>
    <n v="95"/>
    <n v="100"/>
    <n v="95"/>
    <n v="43"/>
    <n v="5"/>
    <n v="5"/>
    <n v="4"/>
    <n v="1"/>
    <n v="0.35907335907335908"/>
    <n v="0.18339768339768339"/>
    <n v="0.10231660231660232"/>
    <n v="0.41052631578947368"/>
    <n v="0.63320463320463316"/>
    <n v="1.0437309489941069"/>
    <n v="0.27413127413127408"/>
    <n v="0.10207335907335907"/>
    <n v="8.5526315789473673E-2"/>
    <n v="0.23020463320463314"/>
    <n v="0.31573094899410692"/>
    <n v="0.12813127413127409"/>
  </r>
  <r>
    <x v="1"/>
    <x v="17"/>
    <s v="canoro01"/>
    <s v="AL"/>
    <s v="NYA"/>
    <x v="3"/>
    <n v="4"/>
    <n v="626"/>
    <n v="200"/>
    <n v="41"/>
    <n v="3"/>
    <n v="29"/>
    <n v="103"/>
    <n v="109"/>
    <n v="77"/>
    <n v="57"/>
    <n v="14"/>
    <n v="8"/>
    <n v="5"/>
    <n v="0"/>
    <n v="0.31948881789137379"/>
    <n v="0.12300319488817892"/>
    <n v="0.12619808306709265"/>
    <n v="0.3807471264367816"/>
    <n v="0.5335463258785943"/>
    <n v="0.91429345231537584"/>
    <n v="0.21405750798722051"/>
    <n v="6.2488817891373782E-2"/>
    <n v="5.5747126436781591E-2"/>
    <n v="0.13054632587859427"/>
    <n v="0.18629345231537586"/>
    <n v="6.8057507987220517E-2"/>
  </r>
  <r>
    <x v="1"/>
    <x v="17"/>
    <s v="ramirha01"/>
    <s v="NL"/>
    <s v="FLO"/>
    <x v="6"/>
    <n v="6"/>
    <n v="543"/>
    <n v="163"/>
    <n v="28"/>
    <n v="2"/>
    <n v="21"/>
    <n v="92"/>
    <n v="76"/>
    <n v="93"/>
    <n v="64"/>
    <n v="12"/>
    <n v="7"/>
    <n v="5"/>
    <n v="0"/>
    <n v="0.30018416206261511"/>
    <n v="0.17127071823204421"/>
    <n v="0.15285451197053407"/>
    <n v="0.37802907915993539"/>
    <n v="0.47513812154696133"/>
    <n v="0.85316720070689667"/>
    <n v="0.17495395948434622"/>
    <n v="4.3184162062615106E-2"/>
    <n v="5.3029079159935377E-2"/>
    <n v="7.2138121546961309E-2"/>
    <n v="0.12516720070689669"/>
    <n v="2.8953959484346231E-2"/>
  </r>
  <r>
    <x v="1"/>
    <x v="17"/>
    <s v="longoev01"/>
    <s v="AL"/>
    <s v="TBA"/>
    <x v="7"/>
    <n v="5"/>
    <n v="574"/>
    <n v="169"/>
    <n v="46"/>
    <n v="5"/>
    <n v="22"/>
    <n v="96"/>
    <n v="104"/>
    <n v="124"/>
    <n v="72"/>
    <n v="12"/>
    <n v="5"/>
    <n v="10"/>
    <n v="0"/>
    <n v="0.29442508710801396"/>
    <n v="0.21602787456445993"/>
    <n v="0.15505226480836237"/>
    <n v="0.37216338880484112"/>
    <n v="0.50696864111498263"/>
    <n v="0.87913202991982375"/>
    <n v="0.21254355400696867"/>
    <n v="3.7425087108013955E-2"/>
    <n v="4.7163388804841111E-2"/>
    <n v="0.10396864111498261"/>
    <n v="0.15113202991982377"/>
    <n v="6.654355400696868E-2"/>
  </r>
  <r>
    <x v="1"/>
    <x v="17"/>
    <s v="ethiean01"/>
    <s v="NL"/>
    <s v="LAN"/>
    <x v="2"/>
    <n v="8"/>
    <n v="517"/>
    <n v="151"/>
    <n v="33"/>
    <n v="1"/>
    <n v="23"/>
    <n v="71"/>
    <n v="82"/>
    <n v="102"/>
    <n v="59"/>
    <n v="11"/>
    <n v="3"/>
    <n v="6"/>
    <n v="0"/>
    <n v="0.29206963249516443"/>
    <n v="0.19729206963249515"/>
    <n v="0.14119922630560927"/>
    <n v="0.36410256410256409"/>
    <n v="0.49323017408123793"/>
    <n v="0.85733273818380207"/>
    <n v="0.20116054158607349"/>
    <n v="3.5069632495164427E-2"/>
    <n v="3.9102564102564075E-2"/>
    <n v="9.0230174081237902E-2"/>
    <n v="0.12933273818380209"/>
    <n v="5.5160541586073503E-2"/>
  </r>
  <r>
    <x v="1"/>
    <x v="17"/>
    <s v="suzukic01"/>
    <s v="AL"/>
    <s v="SEA"/>
    <x v="8"/>
    <n v="9"/>
    <n v="680"/>
    <n v="214"/>
    <n v="30"/>
    <n v="3"/>
    <n v="6"/>
    <n v="74"/>
    <n v="43"/>
    <n v="86"/>
    <n v="45"/>
    <n v="13"/>
    <n v="3"/>
    <n v="1"/>
    <n v="3"/>
    <n v="0.31470588235294117"/>
    <n v="0.12647058823529411"/>
    <n v="8.9705882352941177E-2"/>
    <n v="0.35939643347050754"/>
    <n v="0.39411764705882352"/>
    <n v="0.753514080529331"/>
    <n v="7.9411764705882348E-2"/>
    <n v="5.7705882352941162E-2"/>
    <n v="3.4396433470507526E-2"/>
    <n v="-8.8823529411765079E-3"/>
    <n v="2.5514080529331018E-2"/>
    <n v="-6.6588235294117643E-2"/>
  </r>
  <r>
    <x v="1"/>
    <x v="17"/>
    <s v="braunry02"/>
    <s v="NL"/>
    <s v="MIL"/>
    <x v="1"/>
    <n v="7"/>
    <n v="619"/>
    <n v="188"/>
    <n v="45"/>
    <n v="1"/>
    <n v="25"/>
    <n v="101"/>
    <n v="103"/>
    <n v="105"/>
    <n v="56"/>
    <n v="1"/>
    <n v="6"/>
    <n v="3"/>
    <n v="0"/>
    <n v="0.30371567043618741"/>
    <n v="0.16962843295638125"/>
    <n v="0.10177705977382875"/>
    <n v="0.36549707602339182"/>
    <n v="0.50080775444264947"/>
    <n v="0.86630483046604123"/>
    <n v="0.19709208400646205"/>
    <n v="4.6715670436187406E-2"/>
    <n v="4.0497076023391809E-2"/>
    <n v="9.7807754442649442E-2"/>
    <n v="0.13830483046604125"/>
    <n v="5.1092084006462063E-2"/>
  </r>
  <r>
    <x v="1"/>
    <x v="17"/>
    <s v="howarry01"/>
    <s v="NL"/>
    <s v="PHI"/>
    <x v="4"/>
    <n v="10"/>
    <n v="550"/>
    <n v="152"/>
    <n v="23"/>
    <n v="5"/>
    <n v="31"/>
    <n v="87"/>
    <n v="108"/>
    <n v="157"/>
    <n v="59"/>
    <n v="11"/>
    <n v="8"/>
    <n v="3"/>
    <n v="0"/>
    <n v="0.27636363636363637"/>
    <n v="0.28545454545454546"/>
    <n v="0.14181818181818182"/>
    <n v="0.35322580645161289"/>
    <n v="0.50545454545454549"/>
    <n v="0.85868035190615832"/>
    <n v="0.22909090909090912"/>
    <n v="1.9363636363636361E-2"/>
    <n v="2.8225806451612878E-2"/>
    <n v="0.10245454545454546"/>
    <n v="0.13068035190615834"/>
    <n v="8.3090909090909132E-2"/>
  </r>
  <r>
    <x v="1"/>
    <x v="17"/>
    <s v="wrighda03"/>
    <s v="NL"/>
    <s v="NYN"/>
    <x v="7"/>
    <n v="5"/>
    <n v="587"/>
    <n v="166"/>
    <n v="36"/>
    <n v="3"/>
    <n v="29"/>
    <n v="87"/>
    <n v="103"/>
    <n v="161"/>
    <n v="69"/>
    <n v="9"/>
    <n v="2"/>
    <n v="12"/>
    <n v="0"/>
    <n v="0.282793867120954"/>
    <n v="0.27427597955706984"/>
    <n v="0.1362862010221465"/>
    <n v="0.35373134328358208"/>
    <n v="0.50255536626916519"/>
    <n v="0.85628670955274733"/>
    <n v="0.21976149914821119"/>
    <n v="2.5793867120953995E-2"/>
    <n v="2.8731343283582067E-2"/>
    <n v="9.9555366269165169E-2"/>
    <n v="0.12828670955274735"/>
    <n v="7.3761499148211201E-2"/>
  </r>
  <r>
    <x v="1"/>
    <x v="17"/>
    <s v="crawfca02"/>
    <s v="AL"/>
    <s v="TBA"/>
    <x v="1"/>
    <n v="7"/>
    <n v="600"/>
    <n v="184"/>
    <n v="30"/>
    <n v="13"/>
    <n v="19"/>
    <n v="110"/>
    <n v="90"/>
    <n v="104"/>
    <n v="46"/>
    <n v="3"/>
    <n v="3"/>
    <n v="5"/>
    <n v="3"/>
    <n v="0.30666666666666664"/>
    <n v="0.17333333333333334"/>
    <n v="8.666666666666667E-2"/>
    <n v="0.35626911314984711"/>
    <n v="0.495"/>
    <n v="0.8512691131498471"/>
    <n v="0.18833333333333335"/>
    <n v="4.9666666666666637E-2"/>
    <n v="3.1269113149847094E-2"/>
    <n v="9.1999999999999971E-2"/>
    <n v="0.12326911314984712"/>
    <n v="4.2333333333333362E-2"/>
  </r>
  <r>
    <x v="1"/>
    <x v="17"/>
    <s v="pradoma01"/>
    <s v="NL"/>
    <s v="ATL"/>
    <x v="3"/>
    <n v="4"/>
    <n v="599"/>
    <n v="184"/>
    <n v="40"/>
    <n v="3"/>
    <n v="15"/>
    <n v="100"/>
    <n v="66"/>
    <n v="86"/>
    <n v="40"/>
    <n v="2"/>
    <n v="3"/>
    <n v="6"/>
    <n v="3"/>
    <n v="0.30717863105175292"/>
    <n v="0.14357262103505844"/>
    <n v="7.512520868113523E-2"/>
    <n v="0.35030864197530864"/>
    <n v="0.45909849749582637"/>
    <n v="0.80940713947113507"/>
    <n v="0.15191986644407346"/>
    <n v="5.0178631051752909E-2"/>
    <n v="2.5308641975308632E-2"/>
    <n v="5.6098497495826349E-2"/>
    <n v="8.1407139471135093E-2"/>
    <n v="5.9198664440734683E-3"/>
  </r>
  <r>
    <x v="1"/>
    <x v="17"/>
    <s v="guerrvl01"/>
    <s v="AL"/>
    <s v="TEX"/>
    <x v="4"/>
    <n v="10"/>
    <n v="593"/>
    <n v="178"/>
    <n v="27"/>
    <n v="1"/>
    <n v="29"/>
    <n v="83"/>
    <n v="115"/>
    <n v="60"/>
    <n v="35"/>
    <n v="5"/>
    <n v="9"/>
    <n v="6"/>
    <n v="0"/>
    <n v="0.30016863406408095"/>
    <n v="0.10118043844856661"/>
    <n v="8.2630691399662726E-2"/>
    <n v="0.3452566096423017"/>
    <n v="0.49578414839797641"/>
    <n v="0.84104075804027811"/>
    <n v="0.19561551433389546"/>
    <n v="4.3168634064080946E-2"/>
    <n v="2.0256609642301693E-2"/>
    <n v="9.2784148397976385E-2"/>
    <n v="0.11304075804027813"/>
    <n v="4.9615514333895466E-2"/>
  </r>
  <r>
    <x v="1"/>
    <x v="17"/>
    <s v="jeterde01"/>
    <s v="AL"/>
    <s v="NYA"/>
    <x v="6"/>
    <n v="6"/>
    <n v="663"/>
    <n v="179"/>
    <n v="30"/>
    <n v="3"/>
    <n v="10"/>
    <n v="111"/>
    <n v="67"/>
    <n v="106"/>
    <n v="63"/>
    <n v="4"/>
    <n v="9"/>
    <n v="3"/>
    <n v="1"/>
    <n v="0.26998491704374056"/>
    <n v="0.15987933634992457"/>
    <n v="0.11463046757164404"/>
    <n v="0.34010840108401086"/>
    <n v="0.36953242835595779"/>
    <n v="0.70964082943996865"/>
    <n v="9.9547511312217229E-2"/>
    <n v="1.2984917043740551E-2"/>
    <n v="1.5108401084010847E-2"/>
    <n v="-3.3467571644042238E-2"/>
    <n v="-1.8359170560031335E-2"/>
    <n v="-4.6452488687782761E-2"/>
  </r>
  <r>
    <x v="1"/>
    <x v="17"/>
    <s v="hartco01"/>
    <s v="NL"/>
    <s v="MIL"/>
    <x v="8"/>
    <n v="9"/>
    <n v="558"/>
    <n v="158"/>
    <n v="34"/>
    <n v="4"/>
    <n v="31"/>
    <n v="91"/>
    <n v="102"/>
    <n v="140"/>
    <n v="45"/>
    <n v="2"/>
    <n v="6"/>
    <n v="5"/>
    <n v="0"/>
    <n v="0.28315412186379929"/>
    <n v="0.25089605734767023"/>
    <n v="9.4982078853046589E-2"/>
    <n v="0.34039087947882735"/>
    <n v="0.52508960573476704"/>
    <n v="0.86548048521359444"/>
    <n v="0.24193548387096775"/>
    <n v="2.6154121863799284E-2"/>
    <n v="1.5390879478827335E-2"/>
    <n v="0.12208960573476701"/>
    <n v="0.13748048521359446"/>
    <n v="9.5935483870967758E-2"/>
  </r>
  <r>
    <x v="1"/>
    <x v="17"/>
    <s v="molinya01"/>
    <s v="NL"/>
    <s v="SLN"/>
    <x v="5"/>
    <n v="2"/>
    <n v="465"/>
    <n v="122"/>
    <n v="19"/>
    <n v="0"/>
    <n v="6"/>
    <n v="34"/>
    <n v="62"/>
    <n v="51"/>
    <n v="42"/>
    <n v="6"/>
    <n v="7"/>
    <n v="5"/>
    <n v="2"/>
    <n v="0.26236559139784948"/>
    <n v="0.10967741935483871"/>
    <n v="0.11827956989247312"/>
    <n v="0.32947976878612717"/>
    <n v="0.34193548387096773"/>
    <n v="0.6714152526570949"/>
    <n v="7.9569892473118242E-2"/>
    <n v="5.3655913978494785E-3"/>
    <n v="4.4797687861271585E-3"/>
    <n v="-6.1064516129032298E-2"/>
    <n v="-5.6584747342905084E-2"/>
    <n v="-6.6430107526881749E-2"/>
  </r>
  <r>
    <x v="1"/>
    <x v="18"/>
    <s v="bautijo02"/>
    <s v="AL"/>
    <s v="TOR"/>
    <x v="8"/>
    <n v="9"/>
    <n v="513"/>
    <n v="155"/>
    <n v="24"/>
    <n v="2"/>
    <n v="43"/>
    <n v="105"/>
    <n v="103"/>
    <n v="111"/>
    <n v="132"/>
    <n v="24"/>
    <n v="6"/>
    <n v="4"/>
    <n v="0"/>
    <n v="0.30214424951267055"/>
    <n v="0.21637426900584794"/>
    <n v="0.31578947368421051"/>
    <n v="0.44732824427480916"/>
    <n v="0.60818713450292394"/>
    <n v="1.0555153787777332"/>
    <n v="0.30604288499025339"/>
    <n v="4.7144249512670544E-2"/>
    <n v="0.12632824427480915"/>
    <n v="0.20918713450292392"/>
    <n v="0.33551537877773319"/>
    <n v="0.16204288499025341"/>
  </r>
  <r>
    <x v="1"/>
    <x v="18"/>
    <s v="fieldpr01"/>
    <s v="NL"/>
    <s v="MIL"/>
    <x v="0"/>
    <n v="3"/>
    <n v="569"/>
    <n v="170"/>
    <n v="36"/>
    <n v="1"/>
    <n v="38"/>
    <n v="95"/>
    <n v="120"/>
    <n v="106"/>
    <n v="107"/>
    <n v="32"/>
    <n v="10"/>
    <n v="6"/>
    <n v="0"/>
    <n v="0.29876977152899825"/>
    <n v="0.18629173989455183"/>
    <n v="0.26186291739894552"/>
    <n v="0.41473988439306358"/>
    <n v="0.56590509666080846"/>
    <n v="0.98064498105387199"/>
    <n v="0.26713532513181021"/>
    <n v="4.3769771528998247E-2"/>
    <n v="9.3739884393063577E-2"/>
    <n v="0.16690509666080844"/>
    <n v="0.26064498105387202"/>
    <n v="0.12313532513181022"/>
  </r>
  <r>
    <x v="1"/>
    <x v="18"/>
    <s v="berkmla01"/>
    <s v="NL"/>
    <s v="SLN"/>
    <x v="8"/>
    <n v="9"/>
    <n v="488"/>
    <n v="147"/>
    <n v="23"/>
    <n v="2"/>
    <n v="31"/>
    <n v="90"/>
    <n v="94"/>
    <n v="93"/>
    <n v="92"/>
    <n v="17"/>
    <n v="3"/>
    <n v="4"/>
    <n v="0"/>
    <n v="0.30122950819672129"/>
    <n v="0.19057377049180327"/>
    <n v="0.22950819672131148"/>
    <n v="0.41226575809199317"/>
    <n v="0.54713114754098358"/>
    <n v="0.95939690563297675"/>
    <n v="0.24590163934426229"/>
    <n v="4.6229508196721281E-2"/>
    <n v="9.1265758091993165E-2"/>
    <n v="0.14813114754098355"/>
    <n v="0.23939690563297678"/>
    <n v="0.1019016393442623"/>
  </r>
  <r>
    <x v="1"/>
    <x v="18"/>
    <s v="gonzaad01"/>
    <s v="AL"/>
    <s v="BOS"/>
    <x v="0"/>
    <n v="3"/>
    <n v="630"/>
    <n v="213"/>
    <n v="45"/>
    <n v="3"/>
    <n v="27"/>
    <n v="108"/>
    <n v="117"/>
    <n v="119"/>
    <n v="74"/>
    <n v="20"/>
    <n v="6"/>
    <n v="5"/>
    <n v="0"/>
    <n v="0.33809523809523812"/>
    <n v="0.18888888888888888"/>
    <n v="0.15873015873015872"/>
    <n v="0.4097902097902098"/>
    <n v="0.54761904761904767"/>
    <n v="0.95740925740925742"/>
    <n v="0.20952380952380956"/>
    <n v="8.3095238095238111E-2"/>
    <n v="8.8790209790209795E-2"/>
    <n v="0.14861904761904765"/>
    <n v="0.23740925740925745"/>
    <n v="6.5523809523809567E-2"/>
  </r>
  <r>
    <x v="1"/>
    <x v="18"/>
    <s v="kempma01"/>
    <s v="NL"/>
    <s v="LAN"/>
    <x v="2"/>
    <n v="8"/>
    <n v="602"/>
    <n v="195"/>
    <n v="33"/>
    <n v="4"/>
    <n v="39"/>
    <n v="115"/>
    <n v="126"/>
    <n v="159"/>
    <n v="74"/>
    <n v="24"/>
    <n v="6"/>
    <n v="7"/>
    <n v="0"/>
    <n v="0.32392026578073091"/>
    <n v="0.26411960132890366"/>
    <n v="0.17275747508305647"/>
    <n v="0.39912917271407838"/>
    <n v="0.58637873754152825"/>
    <n v="0.98550791025560658"/>
    <n v="0.26245847176079734"/>
    <n v="6.8920265780730905E-2"/>
    <n v="7.8129172714078376E-2"/>
    <n v="0.18737873754152823"/>
    <n v="0.26550791025560661"/>
    <n v="0.11845847176079735"/>
  </r>
  <r>
    <x v="1"/>
    <x v="18"/>
    <s v="ortizda01"/>
    <s v="AL"/>
    <s v="BOS"/>
    <x v="4"/>
    <n v="10"/>
    <n v="525"/>
    <n v="162"/>
    <n v="40"/>
    <n v="1"/>
    <n v="29"/>
    <n v="84"/>
    <n v="96"/>
    <n v="83"/>
    <n v="78"/>
    <n v="12"/>
    <n v="1"/>
    <n v="1"/>
    <n v="0"/>
    <n v="0.30857142857142855"/>
    <n v="0.15809523809523809"/>
    <n v="0.17333333333333334"/>
    <n v="0.39834710743801655"/>
    <n v="0.55428571428571427"/>
    <n v="0.95263282172373076"/>
    <n v="0.24571428571428572"/>
    <n v="5.3571428571428548E-2"/>
    <n v="7.7347107438016538E-2"/>
    <n v="0.15528571428571425"/>
    <n v="0.23263282172373079"/>
    <n v="0.10171428571428573"/>
  </r>
  <r>
    <x v="1"/>
    <x v="18"/>
    <s v="beltrca01"/>
    <s v="NL"/>
    <s v="NYN"/>
    <x v="4"/>
    <n v="10"/>
    <n v="353"/>
    <n v="102"/>
    <n v="30"/>
    <n v="2"/>
    <n v="15"/>
    <n v="61"/>
    <n v="66"/>
    <n v="61"/>
    <n v="60"/>
    <n v="6"/>
    <n v="2"/>
    <n v="4"/>
    <n v="0"/>
    <n v="0.28895184135977336"/>
    <n v="0.17280453257790368"/>
    <n v="0.19263456090651557"/>
    <n v="0.39140811455847258"/>
    <n v="0.5127478753541076"/>
    <n v="0.90415598991258017"/>
    <n v="0.22379603399433423"/>
    <n v="3.395184135977336E-2"/>
    <n v="7.0408114558472568E-2"/>
    <n v="0.11374787535410757"/>
    <n v="0.1841559899125802"/>
    <n v="7.9796033994334242E-2"/>
  </r>
  <r>
    <x v="1"/>
    <x v="18"/>
    <s v="avilaal01"/>
    <s v="AL"/>
    <s v="DET"/>
    <x v="5"/>
    <n v="2"/>
    <n v="464"/>
    <n v="137"/>
    <n v="33"/>
    <n v="4"/>
    <n v="19"/>
    <n v="63"/>
    <n v="82"/>
    <n v="131"/>
    <n v="73"/>
    <n v="9"/>
    <n v="3"/>
    <n v="8"/>
    <n v="3"/>
    <n v="0.29525862068965519"/>
    <n v="0.28232758620689657"/>
    <n v="0.18318965517241378"/>
    <n v="0.38868613138686131"/>
    <n v="0.50646551724137934"/>
    <n v="0.8951516486282407"/>
    <n v="0.21120689655172414"/>
    <n v="4.0258620689655189E-2"/>
    <n v="6.7686131386861303E-2"/>
    <n v="0.10746551724137932"/>
    <n v="0.17515164862824073"/>
    <n v="6.7206896551724155E-2"/>
  </r>
  <r>
    <x v="1"/>
    <x v="18"/>
    <s v="hollima01"/>
    <s v="NL"/>
    <s v="SLN"/>
    <x v="1"/>
    <n v="7"/>
    <n v="446"/>
    <n v="132"/>
    <n v="36"/>
    <n v="0"/>
    <n v="22"/>
    <n v="83"/>
    <n v="75"/>
    <n v="93"/>
    <n v="60"/>
    <n v="4"/>
    <n v="8"/>
    <n v="2"/>
    <n v="0"/>
    <n v="0.29596412556053814"/>
    <n v="0.2085201793721973"/>
    <n v="0.16143497757847533"/>
    <n v="0.38759689922480622"/>
    <n v="0.5246636771300448"/>
    <n v="0.91226057635485103"/>
    <n v="0.22869955156950666"/>
    <n v="4.0964125560538134E-2"/>
    <n v="6.6596899224806216E-2"/>
    <n v="0.12566367713004478"/>
    <n v="0.19226057635485105"/>
    <n v="8.4699551569506676E-2"/>
  </r>
  <r>
    <x v="1"/>
    <x v="18"/>
    <s v="tulowtr01"/>
    <s v="NL"/>
    <s v="COL"/>
    <x v="6"/>
    <n v="6"/>
    <n v="537"/>
    <n v="162"/>
    <n v="36"/>
    <n v="2"/>
    <n v="30"/>
    <n v="81"/>
    <n v="105"/>
    <n v="79"/>
    <n v="59"/>
    <n v="12"/>
    <n v="4"/>
    <n v="5"/>
    <n v="1"/>
    <n v="0.3016759776536313"/>
    <n v="0.14711359404096835"/>
    <n v="0.13966480446927373"/>
    <n v="0.37190082644628097"/>
    <n v="0.54376163873370575"/>
    <n v="0.91566246517998673"/>
    <n v="0.24208566108007445"/>
    <n v="4.6675977653631295E-2"/>
    <n v="5.0900826446280967E-2"/>
    <n v="0.14476163873370573"/>
    <n v="0.19566246517998676"/>
    <n v="9.8085661080074465E-2"/>
  </r>
  <r>
    <x v="1"/>
    <x v="18"/>
    <s v="beltrca01"/>
    <s v="NL"/>
    <s v="SFN"/>
    <x v="4"/>
    <n v="10"/>
    <n v="167"/>
    <n v="54"/>
    <n v="9"/>
    <n v="4"/>
    <n v="7"/>
    <n v="17"/>
    <n v="18"/>
    <n v="27"/>
    <n v="11"/>
    <n v="1"/>
    <n v="1"/>
    <n v="0"/>
    <n v="0"/>
    <n v="0.32335329341317365"/>
    <n v="0.16167664670658682"/>
    <n v="7.7844311377245512E-2"/>
    <n v="0.36871508379888268"/>
    <n v="0.55089820359281438"/>
    <n v="0.91961328739169712"/>
    <n v="0.22754491017964074"/>
    <n v="6.8353293413173644E-2"/>
    <n v="4.7715083798882674E-2"/>
    <n v="0.15189820359281436"/>
    <n v="0.19961328739169715"/>
    <n v="8.3544910179640747E-2"/>
  </r>
  <r>
    <x v="1"/>
    <x v="18"/>
    <s v="mccanbr01"/>
    <s v="NL"/>
    <s v="ATL"/>
    <x v="5"/>
    <n v="2"/>
    <n v="466"/>
    <n v="126"/>
    <n v="19"/>
    <n v="0"/>
    <n v="24"/>
    <n v="51"/>
    <n v="71"/>
    <n v="89"/>
    <n v="57"/>
    <n v="14"/>
    <n v="2"/>
    <n v="2"/>
    <n v="0"/>
    <n v="0.27038626609442062"/>
    <n v="0.19098712446351931"/>
    <n v="0.15665236051502146"/>
    <n v="0.35104364326375709"/>
    <n v="0.46566523605150212"/>
    <n v="0.81670887931525926"/>
    <n v="0.19527896995708149"/>
    <n v="1.538626609442062E-2"/>
    <n v="3.004364326375708E-2"/>
    <n v="6.6665236051502097E-2"/>
    <n v="9.6708879315259288E-2"/>
    <n v="5.1278969957081505E-2"/>
  </r>
  <r>
    <x v="1"/>
    <x v="18"/>
    <s v="grandcu01"/>
    <s v="AL"/>
    <s v="NYA"/>
    <x v="2"/>
    <n v="8"/>
    <n v="583"/>
    <n v="153"/>
    <n v="26"/>
    <n v="10"/>
    <n v="41"/>
    <n v="136"/>
    <n v="119"/>
    <n v="169"/>
    <n v="85"/>
    <n v="0"/>
    <n v="12"/>
    <n v="7"/>
    <n v="4"/>
    <n v="0.26243567753001718"/>
    <n v="0.28987993138936535"/>
    <n v="0.16638078902229847"/>
    <n v="0.36390101892285298"/>
    <n v="0.55231560891938247"/>
    <n v="0.91621662784223545"/>
    <n v="0.2898799313893653"/>
    <n v="7.4356775300171707E-3"/>
    <n v="4.2901018922852974E-2"/>
    <n v="0.15331560891938245"/>
    <n v="0.19621662784223548"/>
    <n v="0.14587993138936531"/>
  </r>
  <r>
    <x v="1"/>
    <x v="18"/>
    <s v="hamiljo03"/>
    <s v="AL"/>
    <s v="TEX"/>
    <x v="1"/>
    <n v="7"/>
    <n v="487"/>
    <n v="145"/>
    <n v="31"/>
    <n v="5"/>
    <n v="25"/>
    <n v="80"/>
    <n v="94"/>
    <n v="93"/>
    <n v="39"/>
    <n v="13"/>
    <n v="2"/>
    <n v="10"/>
    <n v="0"/>
    <n v="0.29774127310061604"/>
    <n v="0.19096509240246407"/>
    <n v="0.11088295687885011"/>
    <n v="0.34572490706319703"/>
    <n v="0.53593429158110883"/>
    <n v="0.88165919864430586"/>
    <n v="0.23819301848049279"/>
    <n v="4.274127310061604E-2"/>
    <n v="2.4724907063197021E-2"/>
    <n v="0.13693429158110881"/>
    <n v="0.16165919864430589"/>
    <n v="9.4193018480492802E-2"/>
  </r>
  <r>
    <x v="1"/>
    <x v="18"/>
    <s v="canoro01"/>
    <s v="AL"/>
    <s v="NYA"/>
    <x v="3"/>
    <n v="4"/>
    <n v="623"/>
    <n v="188"/>
    <n v="46"/>
    <n v="7"/>
    <n v="28"/>
    <n v="104"/>
    <n v="118"/>
    <n v="96"/>
    <n v="38"/>
    <n v="11"/>
    <n v="12"/>
    <n v="8"/>
    <n v="0"/>
    <n v="0.3017656500802568"/>
    <n v="0.15409309791332262"/>
    <n v="9.7913322632423749E-2"/>
    <n v="0.34948604992657856"/>
    <n v="0.5329052969502408"/>
    <n v="0.88239134687681942"/>
    <n v="0.23113964686998401"/>
    <n v="4.6765650080256793E-2"/>
    <n v="2.8486049926578549E-2"/>
    <n v="0.13390529695024078"/>
    <n v="0.16239134687681944"/>
    <n v="8.7139646869984017E-2"/>
  </r>
  <r>
    <x v="1"/>
    <x v="18"/>
    <s v="weeksri01"/>
    <s v="NL"/>
    <s v="MIL"/>
    <x v="3"/>
    <n v="4"/>
    <n v="453"/>
    <n v="122"/>
    <n v="26"/>
    <n v="2"/>
    <n v="20"/>
    <n v="77"/>
    <n v="49"/>
    <n v="107"/>
    <n v="50"/>
    <n v="3"/>
    <n v="8"/>
    <n v="3"/>
    <n v="1"/>
    <n v="0.26931567328918321"/>
    <n v="0.23620309050772628"/>
    <n v="0.13465783664459161"/>
    <n v="0.35019455252918286"/>
    <n v="0.46799116997792495"/>
    <n v="0.81818572250710786"/>
    <n v="0.19867549668874174"/>
    <n v="1.4315673289183206E-2"/>
    <n v="2.9194552529182849E-2"/>
    <n v="6.8991169977924927E-2"/>
    <n v="9.8185722507107887E-2"/>
    <n v="5.4675496688741748E-2"/>
  </r>
  <r>
    <x v="1"/>
    <x v="18"/>
    <s v="cabreas01"/>
    <s v="AL"/>
    <s v="CLE"/>
    <x v="6"/>
    <n v="6"/>
    <n v="604"/>
    <n v="165"/>
    <n v="32"/>
    <n v="3"/>
    <n v="25"/>
    <n v="87"/>
    <n v="92"/>
    <n v="119"/>
    <n v="44"/>
    <n v="5"/>
    <n v="11"/>
    <n v="4"/>
    <n v="4"/>
    <n v="0.27317880794701987"/>
    <n v="0.19701986754966888"/>
    <n v="9.9337748344370855E-2"/>
    <n v="0.33182503770739064"/>
    <n v="0.46026490066225167"/>
    <n v="0.79208993836964225"/>
    <n v="0.1870860927152318"/>
    <n v="1.817880794701987E-2"/>
    <n v="1.0825037707390628E-2"/>
    <n v="6.1264900662251653E-2"/>
    <n v="7.2089938369642281E-2"/>
    <n v="4.3086092715231811E-2"/>
  </r>
  <r>
    <x v="1"/>
    <x v="18"/>
    <s v="beltrad01"/>
    <s v="AL"/>
    <s v="TEX"/>
    <x v="7"/>
    <n v="5"/>
    <n v="487"/>
    <n v="144"/>
    <n v="33"/>
    <n v="0"/>
    <n v="32"/>
    <n v="82"/>
    <n v="105"/>
    <n v="53"/>
    <n v="25"/>
    <n v="0"/>
    <n v="5"/>
    <n v="8"/>
    <n v="0"/>
    <n v="0.29568788501026694"/>
    <n v="0.10882956878850103"/>
    <n v="6.1601642710472276E-2"/>
    <n v="0.33142857142857141"/>
    <n v="0.56057494866529778"/>
    <n v="0.89200352009386918"/>
    <n v="0.26488706365503084"/>
    <n v="4.0687885010266933E-2"/>
    <n v="1.0428571428571398E-2"/>
    <n v="0.16157494866529776"/>
    <n v="0.17200352009386921"/>
    <n v="0.12088706365503085"/>
  </r>
  <r>
    <x v="1"/>
    <x v="18"/>
    <s v="rolensc01"/>
    <s v="NL"/>
    <s v="CIN"/>
    <x v="7"/>
    <n v="5"/>
    <n v="252"/>
    <n v="61"/>
    <n v="20"/>
    <n v="2"/>
    <n v="5"/>
    <n v="31"/>
    <n v="36"/>
    <n v="36"/>
    <n v="10"/>
    <n v="0"/>
    <n v="4"/>
    <n v="3"/>
    <n v="0"/>
    <n v="0.24206349206349206"/>
    <n v="0.14285714285714285"/>
    <n v="5.5555555555555552E-2"/>
    <n v="0.27881040892193309"/>
    <n v="0.3968253968253968"/>
    <n v="0.67563580574732995"/>
    <n v="0.15476190476190474"/>
    <n v="-1.2936507936507941E-2"/>
    <n v="-4.2189591078066913E-2"/>
    <n v="-2.1746031746032179E-3"/>
    <n v="-4.4364194252670019E-2"/>
    <n v="1.076190476190475E-2"/>
  </r>
  <r>
    <x v="1"/>
    <x v="19"/>
    <s v="vottojo01"/>
    <s v="NL"/>
    <s v="CIN"/>
    <x v="0"/>
    <n v="3"/>
    <n v="374"/>
    <n v="126"/>
    <n v="44"/>
    <n v="0"/>
    <n v="14"/>
    <n v="59"/>
    <n v="56"/>
    <n v="85"/>
    <n v="94"/>
    <n v="18"/>
    <n v="5"/>
    <n v="2"/>
    <n v="0"/>
    <n v="0.33689839572192515"/>
    <n v="0.22727272727272727"/>
    <n v="0.31283422459893045"/>
    <n v="0.47368421052631576"/>
    <n v="0.5668449197860963"/>
    <n v="1.040529130312412"/>
    <n v="0.22994652406417115"/>
    <n v="8.1898395721925143E-2"/>
    <n v="0.15468421052631576"/>
    <n v="0.16184491978609628"/>
    <n v="0.31652913031241203"/>
    <n v="7.9946524064171159E-2"/>
  </r>
  <r>
    <x v="1"/>
    <x v="19"/>
    <s v="ortizda01"/>
    <s v="AL"/>
    <s v="BOS"/>
    <x v="4"/>
    <n v="10"/>
    <n v="324"/>
    <n v="103"/>
    <n v="26"/>
    <n v="0"/>
    <n v="23"/>
    <n v="65"/>
    <n v="60"/>
    <n v="51"/>
    <n v="56"/>
    <n v="13"/>
    <n v="0"/>
    <n v="3"/>
    <n v="0"/>
    <n v="0.31790123456790126"/>
    <n v="0.15740740740740741"/>
    <n v="0.21296296296296297"/>
    <n v="0.41514360313315929"/>
    <n v="0.61111111111111116"/>
    <n v="1.0262547142442704"/>
    <n v="0.2932098765432099"/>
    <n v="6.2901234567901254E-2"/>
    <n v="9.6143603133159283E-2"/>
    <n v="0.20611111111111113"/>
    <n v="0.30225471424427042"/>
    <n v="0.14320987654320991"/>
  </r>
  <r>
    <x v="1"/>
    <x v="19"/>
    <s v="fieldpr01"/>
    <s v="AL"/>
    <s v="DET"/>
    <x v="0"/>
    <n v="3"/>
    <n v="581"/>
    <n v="182"/>
    <n v="33"/>
    <n v="1"/>
    <n v="30"/>
    <n v="83"/>
    <n v="108"/>
    <n v="84"/>
    <n v="85"/>
    <n v="18"/>
    <n v="17"/>
    <n v="7"/>
    <n v="0"/>
    <n v="0.31325301204819278"/>
    <n v="0.14457831325301204"/>
    <n v="0.20654044750430292"/>
    <n v="0.4115942028985507"/>
    <n v="0.52839931153184161"/>
    <n v="0.93999351443039236"/>
    <n v="0.21514629948364883"/>
    <n v="5.8253012048192776E-2"/>
    <n v="9.2594202898550693E-2"/>
    <n v="0.12339931153184158"/>
    <n v="0.21599351443039239"/>
    <n v="6.5146299483648834E-2"/>
  </r>
  <r>
    <x v="1"/>
    <x v="19"/>
    <s v="poseybu01"/>
    <s v="NL"/>
    <s v="SFN"/>
    <x v="5"/>
    <n v="2"/>
    <n v="530"/>
    <n v="178"/>
    <n v="39"/>
    <n v="1"/>
    <n v="24"/>
    <n v="78"/>
    <n v="103"/>
    <n v="96"/>
    <n v="69"/>
    <n v="7"/>
    <n v="2"/>
    <n v="9"/>
    <n v="0"/>
    <n v="0.33584905660377357"/>
    <n v="0.1811320754716981"/>
    <n v="0.14716981132075471"/>
    <n v="0.40819672131147539"/>
    <n v="0.54905660377358489"/>
    <n v="0.95725332508506034"/>
    <n v="0.21320754716981133"/>
    <n v="8.0849056603773561E-2"/>
    <n v="8.919672131147538E-2"/>
    <n v="0.14405660377358487"/>
    <n v="0.23325332508506036"/>
    <n v="6.3207547169811334E-2"/>
  </r>
  <r>
    <x v="1"/>
    <x v="19"/>
    <s v="braunry02"/>
    <s v="NL"/>
    <s v="MIL"/>
    <x v="1"/>
    <n v="7"/>
    <n v="598"/>
    <n v="191"/>
    <n v="36"/>
    <n v="3"/>
    <n v="41"/>
    <n v="108"/>
    <n v="112"/>
    <n v="128"/>
    <n v="63"/>
    <n v="15"/>
    <n v="11"/>
    <n v="5"/>
    <n v="0"/>
    <n v="0.3193979933110368"/>
    <n v="0.21404682274247491"/>
    <n v="0.1488294314381271"/>
    <n v="0.39143279172821271"/>
    <n v="0.59531772575250841"/>
    <n v="0.98675051748072118"/>
    <n v="0.27591973244147161"/>
    <n v="6.4397993311036794E-2"/>
    <n v="7.2432791728212709E-2"/>
    <n v="0.19031772575250838"/>
    <n v="0.2627505174807212"/>
    <n v="0.12591973244147162"/>
  </r>
  <r>
    <x v="1"/>
    <x v="19"/>
    <s v="cabreme01"/>
    <s v="NL"/>
    <s v="SFN"/>
    <x v="2"/>
    <n v="8"/>
    <n v="459"/>
    <n v="159"/>
    <n v="25"/>
    <n v="10"/>
    <n v="11"/>
    <n v="84"/>
    <n v="60"/>
    <n v="63"/>
    <n v="36"/>
    <n v="4"/>
    <n v="0"/>
    <n v="5"/>
    <n v="1"/>
    <n v="0.34640522875816993"/>
    <n v="0.13725490196078433"/>
    <n v="8.714596949891068E-2"/>
    <n v="0.39"/>
    <n v="0.5163398692810458"/>
    <n v="0.90633986928104582"/>
    <n v="0.16993464052287588"/>
    <n v="9.1405228758169921E-2"/>
    <n v="7.1000000000000008E-2"/>
    <n v="0.11133986928104578"/>
    <n v="0.18233986928104584"/>
    <n v="1.9934640522875885E-2"/>
  </r>
  <r>
    <x v="1"/>
    <x v="19"/>
    <s v="canoro01"/>
    <s v="AL"/>
    <s v="NYA"/>
    <x v="3"/>
    <n v="4"/>
    <n v="627"/>
    <n v="196"/>
    <n v="48"/>
    <n v="1"/>
    <n v="33"/>
    <n v="105"/>
    <n v="94"/>
    <n v="96"/>
    <n v="61"/>
    <n v="10"/>
    <n v="7"/>
    <n v="2"/>
    <n v="0"/>
    <n v="0.31259968102073366"/>
    <n v="0.15311004784688995"/>
    <n v="0.12440191387559808"/>
    <n v="0.37876614060258251"/>
    <n v="0.55023923444976075"/>
    <n v="0.92900537505234326"/>
    <n v="0.23763955342902709"/>
    <n v="5.7599681020733651E-2"/>
    <n v="5.9766140602582507E-2"/>
    <n v="0.14523923444976072"/>
    <n v="0.20500537505234329"/>
    <n v="8.7639553429027101E-2"/>
  </r>
  <r>
    <x v="1"/>
    <x v="19"/>
    <s v="gonzaca01"/>
    <s v="NL"/>
    <s v="COL"/>
    <x v="4"/>
    <n v="10"/>
    <n v="518"/>
    <n v="157"/>
    <n v="31"/>
    <n v="5"/>
    <n v="22"/>
    <n v="89"/>
    <n v="85"/>
    <n v="115"/>
    <n v="56"/>
    <n v="11"/>
    <n v="2"/>
    <n v="3"/>
    <n v="0"/>
    <n v="0.30308880308880309"/>
    <n v="0.22200772200772201"/>
    <n v="0.13320463320463322"/>
    <n v="0.37132987910189985"/>
    <n v="0.50965250965250963"/>
    <n v="0.88098238875440948"/>
    <n v="0.20656370656370654"/>
    <n v="4.8088803088803089E-2"/>
    <n v="5.2329879101899845E-2"/>
    <n v="0.10465250965250961"/>
    <n v="0.15698238875440951"/>
    <n v="5.6563706563706545E-2"/>
  </r>
  <r>
    <x v="1"/>
    <x v="19"/>
    <s v="beltrad01"/>
    <s v="AL"/>
    <s v="TEX"/>
    <x v="7"/>
    <n v="5"/>
    <n v="604"/>
    <n v="194"/>
    <n v="33"/>
    <n v="2"/>
    <n v="36"/>
    <n v="95"/>
    <n v="102"/>
    <n v="82"/>
    <n v="36"/>
    <n v="8"/>
    <n v="5"/>
    <n v="9"/>
    <n v="0"/>
    <n v="0.32119205298013243"/>
    <n v="0.13576158940397351"/>
    <n v="8.1125827814569534E-2"/>
    <n v="0.35932721712538224"/>
    <n v="0.5612582781456954"/>
    <n v="0.92058549527107769"/>
    <n v="0.24006622516556297"/>
    <n v="6.6192052980132421E-2"/>
    <n v="4.0327217125382231E-2"/>
    <n v="0.15625827814569537"/>
    <n v="0.19658549527107771"/>
    <n v="9.006622516556298E-2"/>
  </r>
  <r>
    <x v="1"/>
    <x v="19"/>
    <s v="hamiljo03"/>
    <s v="AL"/>
    <s v="TEX"/>
    <x v="1"/>
    <n v="7"/>
    <n v="562"/>
    <n v="160"/>
    <n v="31"/>
    <n v="2"/>
    <n v="43"/>
    <n v="103"/>
    <n v="128"/>
    <n v="162"/>
    <n v="60"/>
    <n v="13"/>
    <n v="5"/>
    <n v="9"/>
    <n v="0"/>
    <n v="0.28469750889679718"/>
    <n v="0.28825622775800713"/>
    <n v="0.13879003558718861"/>
    <n v="0.35377358490566035"/>
    <n v="0.57651245551601427"/>
    <n v="0.93028604042167462"/>
    <n v="0.29181494661921709"/>
    <n v="2.9697508896797176E-2"/>
    <n v="3.4773584905660349E-2"/>
    <n v="0.17151245551601424"/>
    <n v="0.20628604042167464"/>
    <n v="0.14181494661921709"/>
  </r>
  <r>
    <x v="1"/>
    <x v="19"/>
    <s v="jeterde01"/>
    <s v="AL"/>
    <s v="NYA"/>
    <x v="6"/>
    <n v="6"/>
    <n v="683"/>
    <n v="216"/>
    <n v="32"/>
    <n v="0"/>
    <n v="15"/>
    <n v="99"/>
    <n v="58"/>
    <n v="90"/>
    <n v="45"/>
    <n v="1"/>
    <n v="5"/>
    <n v="1"/>
    <n v="6"/>
    <n v="0.31625183016105418"/>
    <n v="0.13177159590043924"/>
    <n v="7.4670571010248904E-2"/>
    <n v="0.36239782016348776"/>
    <n v="0.42898975109809662"/>
    <n v="0.79138757126158432"/>
    <n v="0.11273792093704244"/>
    <n v="6.1251830161054177E-2"/>
    <n v="4.3397820163487755E-2"/>
    <n v="2.398975109809659E-2"/>
    <n v="6.7387571261584345E-2"/>
    <n v="-3.7262079062957559E-2"/>
  </r>
  <r>
    <x v="1"/>
    <x v="19"/>
    <s v="beltrca01"/>
    <s v="NL"/>
    <s v="SLN"/>
    <x v="8"/>
    <n v="9"/>
    <n v="547"/>
    <n v="147"/>
    <n v="26"/>
    <n v="1"/>
    <n v="32"/>
    <n v="83"/>
    <n v="97"/>
    <n v="124"/>
    <n v="65"/>
    <n v="15"/>
    <n v="2"/>
    <n v="4"/>
    <n v="1"/>
    <n v="0.26873857404021939"/>
    <n v="0.22669104204753199"/>
    <n v="0.14990859232175502"/>
    <n v="0.34627831715210355"/>
    <n v="0.49542961608775138"/>
    <n v="0.84170793323985493"/>
    <n v="0.22669104204753199"/>
    <n v="1.3738574040219387E-2"/>
    <n v="2.7278317152103548E-2"/>
    <n v="9.0429616087751352E-2"/>
    <n v="0.11770793323985496"/>
    <n v="7.6691042047531993E-2"/>
  </r>
  <r>
    <x v="1"/>
    <x v="19"/>
    <s v="bautijo02"/>
    <s v="AL"/>
    <s v="TOR"/>
    <x v="8"/>
    <n v="9"/>
    <n v="332"/>
    <n v="80"/>
    <n v="14"/>
    <n v="0"/>
    <n v="27"/>
    <n v="64"/>
    <n v="65"/>
    <n v="63"/>
    <n v="59"/>
    <n v="2"/>
    <n v="4"/>
    <n v="4"/>
    <n v="0"/>
    <n v="0.24096385542168675"/>
    <n v="0.18975903614457831"/>
    <n v="0.19578313253012047"/>
    <n v="0.35839598997493732"/>
    <n v="0.52710843373493976"/>
    <n v="0.88550442370987703"/>
    <n v="0.28614457831325302"/>
    <n v="-1.4036144578313259E-2"/>
    <n v="3.9395989974937318E-2"/>
    <n v="0.12210843373493974"/>
    <n v="0.16150442370987705"/>
    <n v="0.13614457831325302"/>
  </r>
  <r>
    <x v="1"/>
    <x v="19"/>
    <s v="ugglada01"/>
    <s v="NL"/>
    <s v="ATL"/>
    <x v="3"/>
    <n v="4"/>
    <n v="523"/>
    <n v="115"/>
    <n v="29"/>
    <n v="0"/>
    <n v="19"/>
    <n v="86"/>
    <n v="78"/>
    <n v="168"/>
    <n v="94"/>
    <n v="5"/>
    <n v="10"/>
    <n v="3"/>
    <n v="0"/>
    <n v="0.21988527724665391"/>
    <n v="0.32122370936902483"/>
    <n v="0.2084130019120459"/>
    <n v="0.34761904761904761"/>
    <n v="0.384321223709369"/>
    <n v="0.73194027132841666"/>
    <n v="0.16443594646271509"/>
    <n v="-3.5114722753346095E-2"/>
    <n v="2.86190476190476E-2"/>
    <n v="-2.0678776290631029E-2"/>
    <n v="7.9402713284166815E-3"/>
    <n v="1.4435946462715094E-2"/>
  </r>
  <r>
    <x v="1"/>
    <x v="19"/>
    <s v="napolmi01"/>
    <s v="AL"/>
    <s v="TEX"/>
    <x v="5"/>
    <n v="2"/>
    <n v="352"/>
    <n v="80"/>
    <n v="9"/>
    <n v="2"/>
    <n v="24"/>
    <n v="53"/>
    <n v="56"/>
    <n v="125"/>
    <n v="56"/>
    <n v="5"/>
    <n v="7"/>
    <n v="2"/>
    <n v="0"/>
    <n v="0.22727272727272727"/>
    <n v="0.35511363636363635"/>
    <n v="0.19318181818181818"/>
    <n v="0.34292565947242204"/>
    <n v="0.46875"/>
    <n v="0.81167565947242204"/>
    <n v="0.24147727272727273"/>
    <n v="-2.7727272727272739E-2"/>
    <n v="2.3925659472422034E-2"/>
    <n v="6.3749999999999973E-2"/>
    <n v="8.7675659472422063E-2"/>
    <n v="9.147727272727274E-2"/>
  </r>
  <r>
    <x v="1"/>
    <x v="19"/>
    <s v="sandopa01"/>
    <s v="NL"/>
    <s v="SFN"/>
    <x v="7"/>
    <n v="5"/>
    <n v="396"/>
    <n v="112"/>
    <n v="25"/>
    <n v="2"/>
    <n v="12"/>
    <n v="59"/>
    <n v="63"/>
    <n v="59"/>
    <n v="38"/>
    <n v="4"/>
    <n v="1"/>
    <n v="7"/>
    <n v="0"/>
    <n v="0.28282828282828282"/>
    <n v="0.14898989898989898"/>
    <n v="0.10858585858585859"/>
    <n v="0.34162895927601811"/>
    <n v="0.44696969696969696"/>
    <n v="0.78859865624571501"/>
    <n v="0.16414141414141414"/>
    <n v="2.7828282828282813E-2"/>
    <n v="2.2628959276018101E-2"/>
    <n v="4.1969696969696935E-2"/>
    <n v="6.4598656245715036E-2"/>
    <n v="1.4141414141414149E-2"/>
  </r>
  <r>
    <x v="1"/>
    <x v="19"/>
    <s v="furcara01"/>
    <s v="NL"/>
    <s v="SLN"/>
    <x v="6"/>
    <n v="6"/>
    <n v="477"/>
    <n v="126"/>
    <n v="18"/>
    <n v="3"/>
    <n v="5"/>
    <n v="69"/>
    <n v="49"/>
    <n v="57"/>
    <n v="44"/>
    <n v="1"/>
    <n v="1"/>
    <n v="4"/>
    <n v="5"/>
    <n v="0.26415094339622641"/>
    <n v="0.11949685534591195"/>
    <n v="9.6436058700209645E-2"/>
    <n v="0.32509505703422054"/>
    <n v="0.34591194968553457"/>
    <n v="0.67100700671975511"/>
    <n v="8.1761006289308158E-2"/>
    <n v="9.1509433962264075E-3"/>
    <n v="6.0950570342205301E-3"/>
    <n v="-5.9088050314465457E-2"/>
    <n v="-5.2992993280244871E-2"/>
    <n v="-6.8238993710691837E-2"/>
  </r>
  <r>
    <x v="1"/>
    <x v="19"/>
    <s v="grandcu01"/>
    <s v="AL"/>
    <s v="NYA"/>
    <x v="2"/>
    <n v="8"/>
    <n v="596"/>
    <n v="138"/>
    <n v="18"/>
    <n v="4"/>
    <n v="43"/>
    <n v="102"/>
    <n v="106"/>
    <n v="195"/>
    <n v="75"/>
    <n v="4"/>
    <n v="5"/>
    <n v="7"/>
    <n v="1"/>
    <n v="0.23154362416107382"/>
    <n v="0.32718120805369127"/>
    <n v="0.14093959731543623"/>
    <n v="0.31918008784773061"/>
    <n v="0.49161073825503354"/>
    <n v="0.8107908261027641"/>
    <n v="0.26006711409395972"/>
    <n v="-2.345637583892618E-2"/>
    <n v="1.8008784773060338E-4"/>
    <n v="8.6610738255033515E-2"/>
    <n v="8.6790826102764118E-2"/>
    <n v="0.11006711409395972"/>
  </r>
  <r>
    <x v="1"/>
    <x v="20"/>
    <s v="cabremi01"/>
    <s v="AL"/>
    <s v="DET"/>
    <x v="7"/>
    <n v="5"/>
    <n v="555"/>
    <n v="193"/>
    <n v="26"/>
    <n v="1"/>
    <n v="44"/>
    <n v="103"/>
    <n v="137"/>
    <n v="94"/>
    <n v="90"/>
    <n v="19"/>
    <n v="5"/>
    <n v="2"/>
    <n v="0"/>
    <n v="0.34774774774774775"/>
    <n v="0.16936936936936936"/>
    <n v="0.20540540540540542"/>
    <n v="0.44171779141104295"/>
    <n v="0.63603603603603609"/>
    <n v="1.077753827447079"/>
    <n v="0.28828828828828834"/>
    <n v="9.4747747747747746E-2"/>
    <n v="0.12371779141104294"/>
    <n v="0.24003603603603607"/>
    <n v="0.36375382744707907"/>
    <n v="0.14528828828828835"/>
  </r>
  <r>
    <x v="1"/>
    <x v="20"/>
    <s v="vottojo01"/>
    <s v="NL"/>
    <s v="CIN"/>
    <x v="0"/>
    <n v="3"/>
    <n v="581"/>
    <n v="177"/>
    <n v="30"/>
    <n v="3"/>
    <n v="24"/>
    <n v="101"/>
    <n v="73"/>
    <n v="138"/>
    <n v="135"/>
    <n v="19"/>
    <n v="4"/>
    <n v="6"/>
    <n v="0"/>
    <n v="0.30464716006884679"/>
    <n v="0.23752151462994836"/>
    <n v="0.27194492254733221"/>
    <n v="0.43526170798898073"/>
    <n v="0.49053356282271943"/>
    <n v="0.9257952708117001"/>
    <n v="0.18588640275387264"/>
    <n v="5.1647160068846787E-2"/>
    <n v="0.11726170798898072"/>
    <n v="9.4533562822719408E-2"/>
    <n v="0.21179527081170013"/>
    <n v="4.2886402753872649E-2"/>
  </r>
  <r>
    <x v="1"/>
    <x v="20"/>
    <s v="troutmi01"/>
    <s v="AL"/>
    <s v="LAA"/>
    <x v="1"/>
    <n v="7"/>
    <n v="589"/>
    <n v="190"/>
    <n v="39"/>
    <n v="9"/>
    <n v="27"/>
    <n v="109"/>
    <n v="97"/>
    <n v="136"/>
    <n v="110"/>
    <n v="10"/>
    <n v="9"/>
    <n v="8"/>
    <n v="0"/>
    <n v="0.32258064516129031"/>
    <n v="0.23089983022071306"/>
    <n v="0.21901528013582344"/>
    <n v="0.43156424581005587"/>
    <n v="0.55687606112054333"/>
    <n v="0.98844030693059914"/>
    <n v="0.23429541595925302"/>
    <n v="6.9580645161290311E-2"/>
    <n v="0.11356424581005586"/>
    <n v="0.16087606112054331"/>
    <n v="0.27444030693059918"/>
    <n v="9.1295415959253029E-2"/>
  </r>
  <r>
    <x v="1"/>
    <x v="20"/>
    <s v="ortizda01"/>
    <s v="AL"/>
    <s v="BOS"/>
    <x v="4"/>
    <n v="10"/>
    <n v="518"/>
    <n v="160"/>
    <n v="38"/>
    <n v="2"/>
    <n v="30"/>
    <n v="84"/>
    <n v="103"/>
    <n v="88"/>
    <n v="76"/>
    <n v="27"/>
    <n v="1"/>
    <n v="5"/>
    <n v="0"/>
    <n v="0.30888030888030887"/>
    <n v="0.16988416988416988"/>
    <n v="0.20077220077220076"/>
    <n v="0.39500000000000002"/>
    <n v="0.56370656370656369"/>
    <n v="0.95870656370656371"/>
    <n v="0.25482625482625482"/>
    <n v="5.5880308880308871E-2"/>
    <n v="7.7000000000000013E-2"/>
    <n v="0.16770656370656367"/>
    <n v="0.24470656370656374"/>
    <n v="0.11182625482625483"/>
  </r>
  <r>
    <x v="1"/>
    <x v="20"/>
    <s v="mauerjo01"/>
    <s v="AL"/>
    <s v="MIN"/>
    <x v="5"/>
    <n v="2"/>
    <n v="445"/>
    <n v="144"/>
    <n v="35"/>
    <n v="0"/>
    <n v="11"/>
    <n v="62"/>
    <n v="47"/>
    <n v="89"/>
    <n v="61"/>
    <n v="7"/>
    <n v="0"/>
    <n v="2"/>
    <n v="0"/>
    <n v="0.32359550561797751"/>
    <n v="0.2"/>
    <n v="0.15280898876404495"/>
    <n v="0.40354330708661418"/>
    <n v="0.47640449438202248"/>
    <n v="0.8799478014686366"/>
    <n v="0.15280898876404497"/>
    <n v="7.0595505617977505E-2"/>
    <n v="8.5543307086614173E-2"/>
    <n v="8.0404494382022462E-2"/>
    <n v="0.16594780146863664"/>
    <n v="9.8089887640449847E-3"/>
  </r>
  <r>
    <x v="1"/>
    <x v="20"/>
    <s v="canoro01"/>
    <s v="AL"/>
    <s v="NYA"/>
    <x v="3"/>
    <n v="4"/>
    <n v="605"/>
    <n v="190"/>
    <n v="41"/>
    <n v="0"/>
    <n v="27"/>
    <n v="81"/>
    <n v="107"/>
    <n v="85"/>
    <n v="65"/>
    <n v="16"/>
    <n v="6"/>
    <n v="5"/>
    <n v="0"/>
    <n v="0.31404958677685951"/>
    <n v="0.14049586776859505"/>
    <n v="0.14380165289256197"/>
    <n v="0.38325991189427311"/>
    <n v="0.51570247933884295"/>
    <n v="0.89896239123311605"/>
    <n v="0.20165289256198343"/>
    <n v="6.104958677685951E-2"/>
    <n v="6.5259911894273104E-2"/>
    <n v="0.11970247933884293"/>
    <n v="0.18496239123311609"/>
    <n v="5.8652892561983444E-2"/>
  </r>
  <r>
    <x v="1"/>
    <x v="20"/>
    <s v="tulowtr01"/>
    <s v="NL"/>
    <s v="COL"/>
    <x v="6"/>
    <n v="6"/>
    <n v="446"/>
    <n v="139"/>
    <n v="27"/>
    <n v="0"/>
    <n v="25"/>
    <n v="72"/>
    <n v="82"/>
    <n v="85"/>
    <n v="57"/>
    <n v="5"/>
    <n v="4"/>
    <n v="5"/>
    <n v="0"/>
    <n v="0.31165919282511212"/>
    <n v="0.1905829596412556"/>
    <n v="0.14798206278026907"/>
    <n v="0.390625"/>
    <n v="0.54035874439461884"/>
    <n v="0.93098374439461884"/>
    <n v="0.22869955156950672"/>
    <n v="5.8659192825112116E-2"/>
    <n v="7.2624999999999995E-2"/>
    <n v="0.14435874439461882"/>
    <n v="0.21698374439461887"/>
    <n v="8.5699551569506732E-2"/>
  </r>
  <r>
    <x v="1"/>
    <x v="20"/>
    <s v="wrighda03"/>
    <s v="NL"/>
    <s v="NYN"/>
    <x v="7"/>
    <n v="5"/>
    <n v="430"/>
    <n v="132"/>
    <n v="23"/>
    <n v="6"/>
    <n v="18"/>
    <n v="63"/>
    <n v="58"/>
    <n v="79"/>
    <n v="55"/>
    <n v="5"/>
    <n v="5"/>
    <n v="2"/>
    <n v="0"/>
    <n v="0.30697674418604654"/>
    <n v="0.18372093023255814"/>
    <n v="0.15116279069767441"/>
    <n v="0.3902439024390244"/>
    <n v="0.51395348837209298"/>
    <n v="0.90419739081111739"/>
    <n v="0.20697674418604645"/>
    <n v="5.3976744186046532E-2"/>
    <n v="7.2243902439024399E-2"/>
    <n v="0.11795348837209296"/>
    <n v="0.19019739081111742"/>
    <n v="6.3976744186046458E-2"/>
  </r>
  <r>
    <x v="1"/>
    <x v="20"/>
    <s v="cuddymi01"/>
    <s v="NL"/>
    <s v="COL"/>
    <x v="4"/>
    <n v="10"/>
    <n v="489"/>
    <n v="162"/>
    <n v="31"/>
    <n v="3"/>
    <n v="20"/>
    <n v="74"/>
    <n v="84"/>
    <n v="100"/>
    <n v="46"/>
    <n v="5"/>
    <n v="2"/>
    <n v="3"/>
    <n v="0"/>
    <n v="0.33128834355828218"/>
    <n v="0.20449897750511248"/>
    <n v="0.10838445807770961"/>
    <n v="0.3888888888888889"/>
    <n v="0.52965235173824132"/>
    <n v="0.91854124062713027"/>
    <n v="0.19836400817995914"/>
    <n v="7.8288343558282181E-2"/>
    <n v="7.088888888888889E-2"/>
    <n v="0.1336523517382413"/>
    <n v="0.20454124062713031"/>
    <n v="5.5364008179959151E-2"/>
  </r>
  <r>
    <x v="1"/>
    <x v="20"/>
    <s v="davisch02"/>
    <s v="AL"/>
    <s v="BAL"/>
    <x v="0"/>
    <n v="3"/>
    <n v="584"/>
    <n v="167"/>
    <n v="42"/>
    <n v="1"/>
    <n v="53"/>
    <n v="103"/>
    <n v="138"/>
    <n v="199"/>
    <n v="72"/>
    <n v="12"/>
    <n v="10"/>
    <n v="7"/>
    <n v="0"/>
    <n v="0.28595890410958902"/>
    <n v="0.34075342465753422"/>
    <n v="0.16095890410958905"/>
    <n v="0.36998514115898962"/>
    <n v="0.63356164383561642"/>
    <n v="1.003546784994606"/>
    <n v="0.3476027397260274"/>
    <n v="3.2958904109589016E-2"/>
    <n v="5.1985141158989612E-2"/>
    <n v="0.2375616438356164"/>
    <n v="0.28954678499460607"/>
    <n v="0.20460273972602741"/>
  </r>
  <r>
    <x v="1"/>
    <x v="20"/>
    <s v="harpebr03"/>
    <s v="NL"/>
    <s v="WAS"/>
    <x v="2"/>
    <n v="8"/>
    <n v="424"/>
    <n v="116"/>
    <n v="24"/>
    <n v="3"/>
    <n v="20"/>
    <n v="71"/>
    <n v="58"/>
    <n v="94"/>
    <n v="61"/>
    <n v="4"/>
    <n v="5"/>
    <n v="4"/>
    <n v="3"/>
    <n v="0.27358490566037735"/>
    <n v="0.22169811320754718"/>
    <n v="0.1650943396226415"/>
    <n v="0.36842105263157893"/>
    <n v="0.48584905660377359"/>
    <n v="0.85427010923535251"/>
    <n v="0.21226415094339623"/>
    <n v="2.0584905660377351E-2"/>
    <n v="5.0421052631578922E-2"/>
    <n v="8.9849056603773569E-2"/>
    <n v="0.14027010923535255"/>
    <n v="6.9264150943396247E-2"/>
  </r>
  <r>
    <x v="1"/>
    <x v="20"/>
    <s v="gonzaca01"/>
    <s v="NL"/>
    <s v="COL"/>
    <x v="1"/>
    <n v="7"/>
    <n v="391"/>
    <n v="118"/>
    <n v="23"/>
    <n v="6"/>
    <n v="26"/>
    <n v="72"/>
    <n v="70"/>
    <n v="118"/>
    <n v="41"/>
    <n v="2"/>
    <n v="1"/>
    <n v="3"/>
    <n v="0"/>
    <n v="0.30179028132992325"/>
    <n v="0.30179028132992325"/>
    <n v="0.11253196930946291"/>
    <n v="0.3669724770642202"/>
    <n v="0.59079283887468026"/>
    <n v="0.95776531593890046"/>
    <n v="0.28900255754475701"/>
    <n v="4.8790281329923246E-2"/>
    <n v="4.8972477064220199E-2"/>
    <n v="0.19479283887468024"/>
    <n v="0.2437653159389005"/>
    <n v="0.14600255754475702"/>
  </r>
  <r>
    <x v="1"/>
    <x v="20"/>
    <s v="molinya01"/>
    <s v="NL"/>
    <s v="SLN"/>
    <x v="5"/>
    <n v="2"/>
    <n v="505"/>
    <n v="161"/>
    <n v="44"/>
    <n v="0"/>
    <n v="12"/>
    <n v="68"/>
    <n v="80"/>
    <n v="55"/>
    <n v="30"/>
    <n v="4"/>
    <n v="3"/>
    <n v="3"/>
    <n v="0"/>
    <n v="0.31881188118811882"/>
    <n v="0.10891089108910891"/>
    <n v="7.3267326732673263E-2"/>
    <n v="0.35859519408502771"/>
    <n v="0.47722772277227721"/>
    <n v="0.83582291685730492"/>
    <n v="0.15841584158415839"/>
    <n v="6.5811881188118815E-2"/>
    <n v="4.0595194085027708E-2"/>
    <n v="8.1227722772277189E-2"/>
    <n v="0.12182291685730495"/>
    <n v="1.5415841584158402E-2"/>
  </r>
  <r>
    <x v="1"/>
    <x v="20"/>
    <s v="bautijo02"/>
    <s v="AL"/>
    <s v="TOR"/>
    <x v="8"/>
    <n v="9"/>
    <n v="452"/>
    <n v="117"/>
    <n v="24"/>
    <n v="0"/>
    <n v="28"/>
    <n v="82"/>
    <n v="73"/>
    <n v="84"/>
    <n v="69"/>
    <n v="2"/>
    <n v="3"/>
    <n v="4"/>
    <n v="0"/>
    <n v="0.25884955752212391"/>
    <n v="0.18584070796460178"/>
    <n v="0.16371681415929204"/>
    <n v="0.35795454545454547"/>
    <n v="0.49778761061946902"/>
    <n v="0.85574215607401449"/>
    <n v="0.23893805309734512"/>
    <n v="5.8495575221239049E-3"/>
    <n v="3.9954545454545465E-2"/>
    <n v="0.101787610619469"/>
    <n v="0.14174215607401452"/>
    <n v="9.5938053097345127E-2"/>
  </r>
  <r>
    <x v="1"/>
    <x v="20"/>
    <s v="beltrca01"/>
    <s v="NL"/>
    <s v="SLN"/>
    <x v="8"/>
    <n v="9"/>
    <n v="554"/>
    <n v="164"/>
    <n v="30"/>
    <n v="3"/>
    <n v="24"/>
    <n v="79"/>
    <n v="84"/>
    <n v="90"/>
    <n v="38"/>
    <n v="1"/>
    <n v="1"/>
    <n v="6"/>
    <n v="1"/>
    <n v="0.29602888086642598"/>
    <n v="0.16245487364620939"/>
    <n v="7.2202166064981949E-2"/>
    <n v="0.33889816360600999"/>
    <n v="0.49097472924187724"/>
    <n v="0.82987289284788723"/>
    <n v="0.19494584837545126"/>
    <n v="4.3028880866425978E-2"/>
    <n v="2.089816360600999E-2"/>
    <n v="9.497472924187722E-2"/>
    <n v="0.11587289284788727"/>
    <n v="5.194584837545127E-2"/>
  </r>
  <r>
    <x v="1"/>
    <x v="20"/>
    <s v="jonesad01"/>
    <s v="AL"/>
    <s v="BAL"/>
    <x v="2"/>
    <n v="8"/>
    <n v="653"/>
    <n v="186"/>
    <n v="35"/>
    <n v="1"/>
    <n v="33"/>
    <n v="100"/>
    <n v="108"/>
    <n v="136"/>
    <n v="25"/>
    <n v="4"/>
    <n v="8"/>
    <n v="3"/>
    <n v="0"/>
    <n v="0.28483920367534454"/>
    <n v="0.20826952526799389"/>
    <n v="5.6661562021439509E-2"/>
    <n v="0.31785195936139332"/>
    <n v="0.49310872894333846"/>
    <n v="0.81096068830473178"/>
    <n v="0.20826952526799392"/>
    <n v="3.1839203675344541E-2"/>
    <n v="-1.4804063860668348E-4"/>
    <n v="9.710872894333844E-2"/>
    <n v="9.6960688304731812E-2"/>
    <n v="6.5269525267993928E-2"/>
  </r>
  <r>
    <x v="1"/>
    <x v="20"/>
    <s v="phillbr01"/>
    <s v="NL"/>
    <s v="CIN"/>
    <x v="3"/>
    <n v="4"/>
    <n v="606"/>
    <n v="158"/>
    <n v="24"/>
    <n v="2"/>
    <n v="18"/>
    <n v="80"/>
    <n v="103"/>
    <n v="98"/>
    <n v="39"/>
    <n v="6"/>
    <n v="8"/>
    <n v="9"/>
    <n v="4"/>
    <n v="0.26072607260726072"/>
    <n v="0.1617161716171617"/>
    <n v="8.7458745874587462E-2"/>
    <n v="0.30966767371601206"/>
    <n v="0.39603960396039606"/>
    <n v="0.70570727767640817"/>
    <n v="0.13531353135313534"/>
    <n v="7.7260726072607144E-3"/>
    <n v="-8.3323262839879453E-3"/>
    <n v="3.9603960396039639E-5"/>
    <n v="-8.2927223235917946E-3"/>
    <n v="-7.686468646864647E-3"/>
  </r>
  <r>
    <x v="1"/>
    <x v="20"/>
    <s v="hardyjj01"/>
    <s v="AL"/>
    <s v="BAL"/>
    <x v="6"/>
    <n v="6"/>
    <n v="601"/>
    <n v="158"/>
    <n v="27"/>
    <n v="0"/>
    <n v="25"/>
    <n v="66"/>
    <n v="76"/>
    <n v="73"/>
    <n v="38"/>
    <n v="3"/>
    <n v="0"/>
    <n v="2"/>
    <n v="3"/>
    <n v="0.26289517470881862"/>
    <n v="0.12146422628951747"/>
    <n v="6.8219633943427616E-2"/>
    <n v="0.30577223088923555"/>
    <n v="0.43261231281198004"/>
    <n v="0.73838454370121553"/>
    <n v="0.16971713810316141"/>
    <n v="9.8951747088186215E-3"/>
    <n v="-1.2227769110764453E-2"/>
    <n v="3.6612312811980019E-2"/>
    <n v="2.4384543701215566E-2"/>
    <n v="2.671713810316142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3AE95-45E6-734C-9154-F3B0FB81986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A3:F27" firstHeaderRow="0" firstDataRow="1" firstDataCol="1"/>
  <pivotFields count="32">
    <pivotField axis="axisRow" showAll="0" sortType="descending">
      <items count="3">
        <item x="0"/>
        <item x="1"/>
        <item t="default"/>
      </items>
    </pivotField>
    <pivotField axis="axisRow" showAll="0" sortType="ascending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dataField="1" numFmtId="164" showAll="0"/>
    <pivotField dataField="1" numFmtId="164" showAll="0"/>
    <pivotField dataField="1" numFmtId="164" showAll="0"/>
    <pivotField dataField="1" numFmtId="164"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EA ISO" fld="31" subtotal="average" baseField="0" baseItem="0" numFmtId="164"/>
    <dataField name="Average of EA On Base + Slugging" fld="30" subtotal="average" baseField="0" baseItem="0" numFmtId="164"/>
    <dataField name="Average of EA Slugging %" fld="29" subtotal="average" baseField="0" baseItem="0" numFmtId="164"/>
    <dataField name="Average of EA On Base %" fld="28" subtotal="average" baseField="0" baseItem="0" numFmtId="164"/>
    <dataField name="Average of EA Batting Avg." fld="27" subtotal="average" baseField="0" baseItem="0" numFmtId="164"/>
  </dataFields>
  <chartFormats count="20">
    <chartFormat chart="0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39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39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27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39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29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39" format="3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9" format="31">
      <pivotArea type="data" outline="0" fieldPosition="0">
        <references count="3">
          <reference field="4294967294" count="1" selected="0">
            <x v="3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  <chartFormat chart="39" format="3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9" format="33">
      <pivotArea type="data" outline="0" fieldPosition="0">
        <references count="3">
          <reference field="4294967294" count="1" selected="0">
            <x v="4"/>
          </reference>
          <reference field="0" count="1" selected="0">
            <x v="1"/>
          </reference>
          <reference field="1" count="1" selected="0">
            <x v="2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F4BEB-90BD-F94D-959A-90BAF90A7AF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31" firstHeaderRow="1" firstDataRow="1" firstDataCol="1"/>
  <pivotFields count="32">
    <pivotField axis="axisRow" showAll="0" sortType="descending">
      <items count="3">
        <item x="0"/>
        <item x="1"/>
        <item t="default"/>
      </items>
    </pivotField>
    <pivotField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axis="axisRow" showAll="0" sortType="ascending">
      <items count="10">
        <item x="0"/>
        <item x="3"/>
        <item x="7"/>
        <item x="5"/>
        <item x="2"/>
        <item x="4"/>
        <item x="1"/>
        <item x="8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</pivotFields>
  <rowFields count="2">
    <field x="5"/>
    <field x="0"/>
  </rowFields>
  <rowItems count="2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 t="grand">
      <x/>
    </i>
  </rowItems>
  <colItems count="1">
    <i/>
  </colItems>
  <dataFields count="1">
    <dataField name="Average of EA On Base + Slugging" fld="3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90984C-0F21-7443-9F6F-D68F1074EBFE}" autoFormatId="16" applyNumberFormats="0" applyBorderFormats="0" applyFontFormats="0" applyPatternFormats="0" applyAlignmentFormats="0" applyWidthHeightFormats="0">
  <queryTableRefresh nextId="57" unboundColumnsRight="5">
    <queryTableFields count="32">
      <queryTableField id="15" name="Era" tableColumnId="15"/>
      <queryTableField id="1" name="yearID" tableColumnId="1"/>
      <queryTableField id="12" name="playerID" tableColumnId="12"/>
      <queryTableField id="23" name="lgID" tableColumnId="23"/>
      <queryTableField id="5" name="teamID" tableColumnId="5"/>
      <queryTableField id="56" dataBound="0" tableColumnId="32"/>
      <queryTableField id="7" name="startingPos" tableColumnId="7"/>
      <queryTableField id="25" name="AB" tableColumnId="25"/>
      <queryTableField id="13" name="H" tableColumnId="13"/>
      <queryTableField id="18" name="2B" tableColumnId="18"/>
      <queryTableField id="9" name="3B" tableColumnId="9"/>
      <queryTableField id="8" name="HR" tableColumnId="8"/>
      <queryTableField id="11" name="R" tableColumnId="11"/>
      <queryTableField id="27" name="RBI" tableColumnId="27"/>
      <queryTableField id="3" name="SO" tableColumnId="3"/>
      <queryTableField id="20" name="BB" tableColumnId="20"/>
      <queryTableField id="17" name="IBB" tableColumnId="17"/>
      <queryTableField id="10" name="HBP" tableColumnId="10"/>
      <queryTableField id="6" name="SF" tableColumnId="6"/>
      <queryTableField id="19" name="SH" tableColumnId="19"/>
      <queryTableField id="14" name="Batting Average" tableColumnId="14"/>
      <queryTableField id="21" name="Strikeout %" tableColumnId="21"/>
      <queryTableField id="24" name="Walk %" tableColumnId="24"/>
      <queryTableField id="16" name="On base percentage" tableColumnId="16"/>
      <queryTableField id="22" name="Slugging (Power)" tableColumnId="22"/>
      <queryTableField id="26" name="OPS (Offensive Value)" tableColumnId="26"/>
      <queryTableField id="4" name="ISO (isolated power)" tableColumnId="4"/>
      <queryTableField id="51" dataBound="0" tableColumnId="2"/>
      <queryTableField id="52" dataBound="0" tableColumnId="28"/>
      <queryTableField id="53" dataBound="0" tableColumnId="29"/>
      <queryTableField id="54" dataBound="0" tableColumnId="30"/>
      <queryTableField id="55" dataBound="0" tableColumnId="31"/>
    </queryTableFields>
    <queryTableDeletedFields count="1">
      <deletedField name="GIDP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7EA28C-F62A-F74A-B3B7-4DFB923FBD79}" name="Pre" displayName="Pre" ref="A1:AA195" totalsRowShown="0" headerRowDxfId="79" tableBorderDxfId="78">
  <autoFilter ref="A1:AA195" xr:uid="{947EA28C-F62A-F74A-B3B7-4DFB923FBD79}"/>
  <tableColumns count="27">
    <tableColumn id="1" xr3:uid="{1EA82BCE-82D2-4040-B323-45D0D8213BF9}" name="playerID" dataDxfId="77"/>
    <tableColumn id="2" xr3:uid="{3995AA10-B483-0844-A952-4179CAEF534F}" name="yearID" dataDxfId="76"/>
    <tableColumn id="3" xr3:uid="{F6D79CC3-6532-1B46-9EB1-BAE211062B4E}" name="POSITION" dataDxfId="75"/>
    <tableColumn id="4" xr3:uid="{94898885-C956-F04C-924C-27A6424851AE}" name="teamID" dataDxfId="74"/>
    <tableColumn id="5" xr3:uid="{E2B1F5B5-BDC9-F740-9639-E56678771741}" name="lgID" dataDxfId="73"/>
    <tableColumn id="7" xr3:uid="{B7AB9E67-C52E-954C-8535-653F35B0F6A4}" name="AB" dataDxfId="72"/>
    <tableColumn id="8" xr3:uid="{DF63ED62-740D-1648-B966-E432EA5F5385}" name="R" dataDxfId="71"/>
    <tableColumn id="9" xr3:uid="{C9CB4A4C-BAA0-E147-A38B-AF3C88301178}" name="H" dataDxfId="70"/>
    <tableColumn id="10" xr3:uid="{F1B9C706-2134-DA4D-AA6C-D60AF2AE8D65}" name="2B" dataDxfId="69"/>
    <tableColumn id="11" xr3:uid="{E807647F-366C-EF4F-BD88-EA4C5E870403}" name="3B" dataDxfId="68"/>
    <tableColumn id="12" xr3:uid="{C94E792B-D8E3-A943-940E-5458E7DF366A}" name="HR" dataDxfId="67"/>
    <tableColumn id="13" xr3:uid="{ED4C4AA9-15C9-2D48-932C-79E8B6D621A6}" name="RBI" dataDxfId="66"/>
    <tableColumn id="16" xr3:uid="{43EA219B-BEB2-BE4D-B802-201A2E8E7AA3}" name="BB" dataDxfId="65"/>
    <tableColumn id="17" xr3:uid="{B46F15DD-D2EA-474A-96E4-F6605701910E}" name="SO" dataDxfId="64"/>
    <tableColumn id="18" xr3:uid="{2192A38F-4C0B-334A-879D-5EAFCB066F9D}" name="IBB" dataDxfId="63"/>
    <tableColumn id="19" xr3:uid="{C8500413-C028-7C42-B0CE-84DD94AB3881}" name="HBP" dataDxfId="62"/>
    <tableColumn id="20" xr3:uid="{5AFBC2DA-DB50-1947-AD4F-FB58A69AA6A6}" name="SH" dataDxfId="61"/>
    <tableColumn id="21" xr3:uid="{DF6EBEE8-2B33-874C-947C-3465654FB4A7}" name="SF" dataDxfId="60"/>
    <tableColumn id="22" xr3:uid="{6F124294-0689-4C4D-8210-6BD9A8317391}" name="GIDP" dataDxfId="59"/>
    <tableColumn id="23" xr3:uid="{0743F2E0-6AF9-5E4D-87F1-2A083551995F}" name="startingPos" dataDxfId="58"/>
    <tableColumn id="24" xr3:uid="{3A5EAE4A-858B-924B-9981-9DCC9039C27F}" name="Batting Average" dataDxfId="57">
      <calculatedColumnFormula>H2/F2</calculatedColumnFormula>
    </tableColumn>
    <tableColumn id="25" xr3:uid="{06F0A77A-3C7D-924D-9B13-B396DDCC5A5C}" name="On base percentage" dataDxfId="56">
      <calculatedColumnFormula>(H2+M2+O2+P2)/(F2+M2+O2+P2+R2)</calculatedColumnFormula>
    </tableColumn>
    <tableColumn id="26" xr3:uid="{B0ABD6DF-EC2A-6448-8612-1DEC614AD738}" name="Slugging (Power)" dataDxfId="55">
      <calculatedColumnFormula>((H2-I2-J2-K2)+(2*I2)+(3*J2)+(4*K2))/F2</calculatedColumnFormula>
    </tableColumn>
    <tableColumn id="27" xr3:uid="{C1E68E13-88AE-DD4B-B72C-1D0BA0E71BF6}" name="OPS (Offensive Value)" dataDxfId="54">
      <calculatedColumnFormula>V2+W2</calculatedColumnFormula>
    </tableColumn>
    <tableColumn id="28" xr3:uid="{00FD06FB-6ADB-4A4C-BCF5-63EA5BB1987C}" name="Walk %" dataDxfId="53">
      <calculatedColumnFormula>M2/(M2+F2)</calculatedColumnFormula>
    </tableColumn>
    <tableColumn id="29" xr3:uid="{8412B3D6-10E1-8F47-B8DF-F2710EBCECFE}" name="Strikeout %" dataDxfId="52">
      <calculatedColumnFormula>N2/(N2+F2)</calculatedColumnFormula>
    </tableColumn>
    <tableColumn id="30" xr3:uid="{E6DF299A-8D67-814E-ABB4-49BC622F21D6}" name="ISO (isolated power)" dataDxfId="51">
      <calculatedColumnFormula>W2-U2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DCB270-4199-814B-ACC4-F7A8909C6124}" name="Money" displayName="Money" ref="A1:AD215" totalsRowShown="0" headerRowDxfId="50" tableBorderDxfId="49">
  <autoFilter ref="A1:AD215" xr:uid="{7BDCB270-4199-814B-ACC4-F7A8909C6124}"/>
  <tableColumns count="30">
    <tableColumn id="1" xr3:uid="{BB42DBC7-F059-C54B-B4CF-B50152E923D2}" name="playerID" dataDxfId="48"/>
    <tableColumn id="2" xr3:uid="{D245A121-8E93-3843-AA8A-6D96E97F463A}" name="yearID" dataDxfId="47"/>
    <tableColumn id="3" xr3:uid="{E8BA893B-8211-A04F-AD3B-00CB3C2DEC7C}" name="stint" dataDxfId="46"/>
    <tableColumn id="4" xr3:uid="{797A353D-80BB-F147-A032-98F40DB9053A}" name="teamID" dataDxfId="45"/>
    <tableColumn id="5" xr3:uid="{0B3189AD-8672-884C-B890-2DECD2E6C3C1}" name="lgID" dataDxfId="44"/>
    <tableColumn id="6" xr3:uid="{7816C010-F73F-4045-A151-C3294CD26BFA}" name="G" dataDxfId="43"/>
    <tableColumn id="7" xr3:uid="{302FECA2-13A8-4A45-8223-9DDBD9951868}" name="AB" dataDxfId="42"/>
    <tableColumn id="8" xr3:uid="{A0F6E979-FAB4-B348-9888-68A1A28E24E0}" name="R" dataDxfId="41"/>
    <tableColumn id="9" xr3:uid="{4C0469C2-CF43-DB44-92A9-B41A14266C2D}" name="H" dataDxfId="40"/>
    <tableColumn id="10" xr3:uid="{D7F8CBEF-851D-8548-96E9-9D3AB28BADC3}" name="2B" dataDxfId="39"/>
    <tableColumn id="11" xr3:uid="{A2912149-2B86-224C-9978-085F1B014806}" name="3B" dataDxfId="38"/>
    <tableColumn id="12" xr3:uid="{7A402691-C9E6-C84E-98CA-14F609D3AAB7}" name="HR" dataDxfId="37"/>
    <tableColumn id="13" xr3:uid="{075FE48E-576F-3248-BB3A-40F314A3A694}" name="RBI" dataDxfId="36"/>
    <tableColumn id="14" xr3:uid="{B74D9BF2-8AB4-624B-8BD1-7BCADF5541FC}" name="SB" dataDxfId="35"/>
    <tableColumn id="15" xr3:uid="{EE77EBF3-23B4-9749-BC42-B9285B4651B2}" name="CS" dataDxfId="34"/>
    <tableColumn id="16" xr3:uid="{156E1F92-0A2C-224D-9563-5A4F1C12F367}" name="BB" dataDxfId="33"/>
    <tableColumn id="17" xr3:uid="{0069AD04-5C19-E541-85E6-6F11DB7DC4F1}" name="SO" dataDxfId="32"/>
    <tableColumn id="18" xr3:uid="{89BC56C8-C58A-C745-AB1E-D097F6852D39}" name="IBB" dataDxfId="31"/>
    <tableColumn id="19" xr3:uid="{D0B37F8C-6B7A-B641-BF98-BC0C631F0B1A}" name="HBP" dataDxfId="30"/>
    <tableColumn id="20" xr3:uid="{302DD605-78D5-204C-9E07-EB09E8D88E11}" name="SH" dataDxfId="29"/>
    <tableColumn id="21" xr3:uid="{D821DC8E-2ADE-9D46-BD14-ACD829D60712}" name="SF" dataDxfId="28"/>
    <tableColumn id="22" xr3:uid="{250DC992-3841-EF4F-8F80-FA51E1294531}" name="GIDP" dataDxfId="27"/>
    <tableColumn id="23" xr3:uid="{30BF933E-3981-A046-9853-51C06C5F686C}" name="startingPos" dataDxfId="26"/>
    <tableColumn id="24" xr3:uid="{128B5960-DF87-1248-93E8-AD09E3B391C8}" name="Batting Average" dataDxfId="25">
      <calculatedColumnFormula>I2/G2</calculatedColumnFormula>
    </tableColumn>
    <tableColumn id="25" xr3:uid="{9F5C0545-5CAD-CE41-A751-B8E3ECE198C5}" name="On base percentage" dataDxfId="24">
      <calculatedColumnFormula>(I2+P2+R2+S2)/(G2+P2+R2+S2+U2)</calculatedColumnFormula>
    </tableColumn>
    <tableColumn id="26" xr3:uid="{13C95770-245D-DF40-9F2B-0761B52ACF82}" name="Slugging (Power)" dataDxfId="23">
      <calculatedColumnFormula>((I2-J2-K2-L2)+(2*J2)+(3*K2)+(4*L2))/G2</calculatedColumnFormula>
    </tableColumn>
    <tableColumn id="27" xr3:uid="{8579828F-3E09-4348-B279-5109FB3421F7}" name="OPS (Offensive Value)" dataDxfId="22">
      <calculatedColumnFormula>Y2+Z2</calculatedColumnFormula>
    </tableColumn>
    <tableColumn id="28" xr3:uid="{330712AF-A78B-EE48-81CA-2C13DE592223}" name="Walk %" dataDxfId="21">
      <calculatedColumnFormula>P2/(P2+G2)</calculatedColumnFormula>
    </tableColumn>
    <tableColumn id="29" xr3:uid="{CB477E55-DCE7-284F-954A-64A5F2E30781}" name="Strikeout %" dataDxfId="20">
      <calculatedColumnFormula>Q2/(Q2+G2)</calculatedColumnFormula>
    </tableColumn>
    <tableColumn id="30" xr3:uid="{54845C62-29D6-C849-BDA4-C65A0DBFF978}" name="ISO (isolated power)" dataDxfId="19">
      <calculatedColumnFormula>Z2-X2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62C9F4-CF9F-F540-88B0-4828859D447F}" name="Cleaned_MLB_Stats_Dataset__1" displayName="Cleaned_MLB_Stats_Dataset__1" ref="A1:AF367" tableType="queryTable" totalsRowShown="0">
  <autoFilter ref="A1:AF367" xr:uid="{6A62C9F4-CF9F-F540-88B0-4828859D447F}"/>
  <sortState xmlns:xlrd2="http://schemas.microsoft.com/office/spreadsheetml/2017/richdata2" ref="A2:AF367">
    <sortCondition ref="A1:A367"/>
  </sortState>
  <tableColumns count="32">
    <tableColumn id="15" xr3:uid="{AD017DCC-2270-2E4C-B3B3-057EDCA8DB15}" uniqueName="15" name="Era" queryTableFieldId="15" dataDxfId="18"/>
    <tableColumn id="1" xr3:uid="{324346CA-37CD-9049-B79B-8FF6AAD07CF1}" uniqueName="1" name="Year" queryTableFieldId="1"/>
    <tableColumn id="12" xr3:uid="{028DC42B-68ED-C04C-B872-3CC8917C66F6}" uniqueName="12" name="Player" queryTableFieldId="12" dataDxfId="17"/>
    <tableColumn id="23" xr3:uid="{3FC11DB7-017B-984E-9875-5BE944F6655A}" uniqueName="23" name="League" queryTableFieldId="23" dataDxfId="16"/>
    <tableColumn id="5" xr3:uid="{92A38233-57DF-944D-9B81-62A5DDC31C7C}" uniqueName="5" name="Team" queryTableFieldId="5" dataDxfId="15"/>
    <tableColumn id="32" xr3:uid="{190F24DE-6DC6-A44F-95FC-8F0CB389E76A}" uniqueName="32" name="Position" queryTableFieldId="56" dataDxfId="14">
      <calculatedColumnFormula>_xlfn.XLOOKUP(Cleaned_MLB_Stats_Dataset__1[[#This Row],[Position'#]],$B$373:$B$382,$A$373:$A$382)</calculatedColumnFormula>
    </tableColumn>
    <tableColumn id="7" xr3:uid="{5C56D47F-E75F-B44B-847D-6E82D6B58ADE}" uniqueName="7" name="Position#" queryTableFieldId="7" dataDxfId="13"/>
    <tableColumn id="25" xr3:uid="{0B5D63D2-707E-1A43-BA07-A143AAE9CDA5}" uniqueName="25" name="At Bats" queryTableFieldId="25" dataDxfId="12"/>
    <tableColumn id="13" xr3:uid="{CF0C3BEF-586D-0543-BE5F-D7D3F18D0581}" uniqueName="13" name="Hits" queryTableFieldId="13"/>
    <tableColumn id="18" xr3:uid="{B71DD710-6C4C-7242-970B-38812B0EB447}" uniqueName="18" name="2B" queryTableFieldId="18"/>
    <tableColumn id="9" xr3:uid="{19247F62-6A75-2B48-91FE-5D4EC330268E}" uniqueName="9" name="3B" queryTableFieldId="9"/>
    <tableColumn id="8" xr3:uid="{A6E72F0A-C7CD-3A46-961B-C13E0CFC0A34}" uniqueName="8" name="HR" queryTableFieldId="8"/>
    <tableColumn id="11" xr3:uid="{1915BCE9-4B4D-5E47-B3B9-2D3F02433DDB}" uniqueName="11" name="Runs" queryTableFieldId="11"/>
    <tableColumn id="27" xr3:uid="{819CE82A-2C9A-834F-B2C7-5CB2DB47F0D2}" uniqueName="27" name="RBI" queryTableFieldId="27"/>
    <tableColumn id="3" xr3:uid="{8DD60225-AC28-EB44-9873-9C18EF908802}" uniqueName="3" name="Strikeouts" queryTableFieldId="3"/>
    <tableColumn id="20" xr3:uid="{EC8B6742-0C6A-A34D-8A00-C77E2BE35D7B}" uniqueName="20" name="Walks" queryTableFieldId="20"/>
    <tableColumn id="17" xr3:uid="{B62411A2-A566-954D-B485-E1B9CBFEB6DF}" uniqueName="17" name="Int Walks" queryTableFieldId="17"/>
    <tableColumn id="10" xr3:uid="{2A000290-A09A-694E-B6C0-414B115BF8EC}" uniqueName="10" name="Hit By Pitch" queryTableFieldId="10"/>
    <tableColumn id="6" xr3:uid="{8C9CB75E-78CD-9449-85C9-50D6B781407D}" uniqueName="6" name="Sac Fly" queryTableFieldId="6"/>
    <tableColumn id="19" xr3:uid="{93999FC4-A321-FD4B-908A-98111DC1FA14}" uniqueName="19" name="Sac Bunt" queryTableFieldId="19"/>
    <tableColumn id="14" xr3:uid="{DCC8FB9B-B8D0-5947-A007-22B10C1A5A2A}" uniqueName="14" name="Batting Average" queryTableFieldId="14" dataDxfId="11"/>
    <tableColumn id="21" xr3:uid="{4EA06282-A5A5-EE4C-B919-A52D7B69F10A}" uniqueName="21" name="Strikeout %" queryTableFieldId="21" dataDxfId="10"/>
    <tableColumn id="24" xr3:uid="{F01BBF95-7241-4149-A720-38A3B304CEE9}" uniqueName="24" name="Walk %" queryTableFieldId="24" dataDxfId="9"/>
    <tableColumn id="16" xr3:uid="{C7AE5AD4-98BD-914C-AF83-E61ECD7CF369}" uniqueName="16" name="On Base Percentage" queryTableFieldId="16" dataDxfId="8"/>
    <tableColumn id="22" xr3:uid="{658C6D68-ED58-2F4C-84DE-11BA1CE33F87}" uniqueName="22" name="Slugging %" queryTableFieldId="22" dataDxfId="7"/>
    <tableColumn id="26" xr3:uid="{6E712F59-19EF-914D-B52C-803D4892A8A4}" uniqueName="26" name="OPS (On Base + Slugging)" queryTableFieldId="26" dataDxfId="6"/>
    <tableColumn id="4" xr3:uid="{51E11B75-087F-404C-BD93-2A6BEA6BFCA9}" uniqueName="4" name="ISO (Isolated Power" queryTableFieldId="4" dataDxfId="5"/>
    <tableColumn id="2" xr3:uid="{AD9DC1EC-D3DD-AA43-AC40-517B7678BEDD}" uniqueName="2" name="EA Batting Avg." queryTableFieldId="51" dataDxfId="4">
      <calculatedColumnFormula>Cleaned_MLB_Stats_Dataset__1[[#This Row],[Batting Average]]-_xlfn.XLOOKUP(Cleaned_MLB_Stats_Dataset__1[[#This Row],[Year]],'League Averages'!$A$3:$A$23,'League Averages'!$B$3:$B$23)</calculatedColumnFormula>
    </tableColumn>
    <tableColumn id="28" xr3:uid="{49046E03-53FB-FA41-B1A3-A654B9ADE381}" uniqueName="28" name="EA On Base %" queryTableFieldId="52" dataDxfId="3">
      <calculatedColumnFormula>Cleaned_MLB_Stats_Dataset__1[[#This Row],[On Base Percentage]]-_xlfn.XLOOKUP(Cleaned_MLB_Stats_Dataset__1[[#This Row],[Year]],'League Averages'!$A$3:$A$23,'League Averages'!$C$3:$C$23)</calculatedColumnFormula>
    </tableColumn>
    <tableColumn id="29" xr3:uid="{76A4DD8B-CD40-1446-A2E3-DBD9AF187D0F}" uniqueName="29" name="EA Slugging %" queryTableFieldId="53" dataDxfId="2">
      <calculatedColumnFormula>Cleaned_MLB_Stats_Dataset__1[[#This Row],[Slugging %]]-_xlfn.XLOOKUP(Cleaned_MLB_Stats_Dataset__1[[#This Row],[Year]],'League Averages'!$A$3:$A$23,'League Averages'!$D$3:$D$23)</calculatedColumnFormula>
    </tableColumn>
    <tableColumn id="30" xr3:uid="{94E6F5CA-2CDA-F54F-AB1D-13F409E2F1D0}" uniqueName="30" name="EA On Base + Slugging" queryTableFieldId="54" dataDxfId="1">
      <calculatedColumnFormula>Cleaned_MLB_Stats_Dataset__1[[#This Row],[OPS (On Base + Slugging)]]-_xlfn.XLOOKUP(Cleaned_MLB_Stats_Dataset__1[[#This Row],[Year]],'League Averages'!$A$3:$A$23,'League Averages'!$E$3:$E$23)</calculatedColumnFormula>
    </tableColumn>
    <tableColumn id="31" xr3:uid="{DE3C16AF-646F-0348-9C11-7FD8C474BD08}" uniqueName="31" name="EA ISO" queryTableFieldId="55" dataDxfId="0">
      <calculatedColumnFormula>Cleaned_MLB_Stats_Dataset__1[[#This Row],[ISO (Isolated Power]]-_xlfn.XLOOKUP(Cleaned_MLB_Stats_Dataset__1[[#This Row],[Year]],'League Averages'!$A$3:$A$23,'League Averages'!$F$3:$F$23)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BC38-3EC9-CA46-A5FE-7E4A442715D8}">
  <dimension ref="A1:AE196"/>
  <sheetViews>
    <sheetView topLeftCell="A3" zoomScale="75" workbookViewId="0">
      <selection activeCell="F12" sqref="F12"/>
    </sheetView>
  </sheetViews>
  <sheetFormatPr baseColWidth="10" defaultRowHeight="16" x14ac:dyDescent="0.2"/>
  <cols>
    <col min="1" max="1" width="11.33203125" customWidth="1"/>
    <col min="23" max="23" width="13.6640625" customWidth="1"/>
    <col min="24" max="24" width="17" customWidth="1"/>
    <col min="25" max="25" width="20.33203125" customWidth="1"/>
    <col min="26" max="26" width="18" customWidth="1"/>
    <col min="27" max="27" width="22.33203125" customWidth="1"/>
    <col min="29" max="29" width="13.6640625" customWidth="1"/>
    <col min="30" max="30" width="21" customWidth="1"/>
  </cols>
  <sheetData>
    <row r="1" spans="1:31" x14ac:dyDescent="0.2">
      <c r="A1" s="1" t="s">
        <v>7</v>
      </c>
      <c r="B1" s="1" t="s">
        <v>8</v>
      </c>
      <c r="C1" s="1" t="s">
        <v>307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15</v>
      </c>
      <c r="I1" s="1" t="s">
        <v>4</v>
      </c>
      <c r="J1" s="1" t="s">
        <v>5</v>
      </c>
      <c r="K1" s="1" t="s">
        <v>0</v>
      </c>
      <c r="L1" s="1" t="s">
        <v>1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22</v>
      </c>
      <c r="R1" s="1" t="s">
        <v>23</v>
      </c>
      <c r="S1" s="1" t="s">
        <v>24</v>
      </c>
      <c r="T1" s="1" t="s">
        <v>25</v>
      </c>
      <c r="U1" s="5" t="s">
        <v>293</v>
      </c>
      <c r="V1" s="5" t="s">
        <v>294</v>
      </c>
      <c r="W1" s="5" t="s">
        <v>295</v>
      </c>
      <c r="X1" s="5" t="s">
        <v>296</v>
      </c>
      <c r="Y1" s="5" t="s">
        <v>298</v>
      </c>
      <c r="Z1" s="5" t="s">
        <v>297</v>
      </c>
      <c r="AA1" s="5" t="s">
        <v>299</v>
      </c>
    </row>
    <row r="2" spans="1:31" x14ac:dyDescent="0.2">
      <c r="A2" s="2" t="s">
        <v>127</v>
      </c>
      <c r="B2" s="2">
        <v>1993</v>
      </c>
      <c r="C2" s="2" t="e">
        <f>VLOOKUP(Pre[[#This Row],[startingPos]],AD3:AE12,2)</f>
        <v>#N/A</v>
      </c>
      <c r="D2" s="2" t="s">
        <v>92</v>
      </c>
      <c r="E2" s="2" t="s">
        <v>6</v>
      </c>
      <c r="F2" s="2">
        <v>589</v>
      </c>
      <c r="G2" s="2">
        <v>109</v>
      </c>
      <c r="H2" s="2">
        <v>192</v>
      </c>
      <c r="I2" s="2">
        <v>35</v>
      </c>
      <c r="J2" s="2">
        <v>6</v>
      </c>
      <c r="K2" s="2">
        <v>17</v>
      </c>
      <c r="L2" s="2">
        <v>93</v>
      </c>
      <c r="M2" s="2">
        <v>80</v>
      </c>
      <c r="N2" s="2">
        <v>67</v>
      </c>
      <c r="O2" s="2" t="s">
        <v>32</v>
      </c>
      <c r="P2" s="2" t="s">
        <v>32</v>
      </c>
      <c r="Q2" s="2" t="s">
        <v>33</v>
      </c>
      <c r="R2" s="2" t="s">
        <v>32</v>
      </c>
      <c r="S2" s="2" t="s">
        <v>35</v>
      </c>
      <c r="T2" s="2" t="s">
        <v>33</v>
      </c>
      <c r="U2" s="6">
        <f t="shared" ref="U2:U33" si="0">H2/F2</f>
        <v>0.32597623089983024</v>
      </c>
      <c r="V2" s="6">
        <f t="shared" ref="V2:V33" si="1">(H2+M2+O2+P2)/(F2+M2+O2+P2+R2)</f>
        <v>0.41228070175438597</v>
      </c>
      <c r="W2" s="6">
        <f t="shared" ref="W2:W33" si="2">((H2-I2-J2-K2)+(2*I2)+(3*J2)+(4*K2))/F2</f>
        <v>0.49235993208828521</v>
      </c>
      <c r="X2" s="6">
        <f>V2+W2</f>
        <v>0.90464063384267113</v>
      </c>
      <c r="Y2" s="6">
        <f t="shared" ref="Y2:Y33" si="3">M2/(M2+F2)</f>
        <v>0.11958146487294469</v>
      </c>
      <c r="Z2" s="6">
        <f t="shared" ref="Z2:Z33" si="4">N2/(N2+F2)</f>
        <v>0.10213414634146341</v>
      </c>
      <c r="AA2" s="6">
        <f>W2-U2</f>
        <v>0.16638370118845497</v>
      </c>
      <c r="AD2" t="s">
        <v>300</v>
      </c>
    </row>
    <row r="3" spans="1:31" x14ac:dyDescent="0.2">
      <c r="A3" s="3" t="s">
        <v>97</v>
      </c>
      <c r="B3" s="3">
        <v>1993</v>
      </c>
      <c r="C3" s="3">
        <v>1</v>
      </c>
      <c r="D3" s="3" t="s">
        <v>71</v>
      </c>
      <c r="E3" s="3" t="s">
        <v>6</v>
      </c>
      <c r="F3" s="3">
        <v>560</v>
      </c>
      <c r="G3" s="3">
        <v>83</v>
      </c>
      <c r="H3" s="3">
        <v>169</v>
      </c>
      <c r="I3" s="3">
        <v>26</v>
      </c>
      <c r="J3" s="3">
        <v>1</v>
      </c>
      <c r="K3" s="3">
        <v>2</v>
      </c>
      <c r="L3" s="3">
        <v>59</v>
      </c>
      <c r="M3" s="3">
        <v>74</v>
      </c>
      <c r="N3" s="3">
        <v>49</v>
      </c>
      <c r="O3" s="3" t="s">
        <v>33</v>
      </c>
      <c r="P3" s="3" t="s">
        <v>28</v>
      </c>
      <c r="Q3" s="3" t="s">
        <v>30</v>
      </c>
      <c r="R3" s="3" t="s">
        <v>42</v>
      </c>
      <c r="S3" s="3" t="s">
        <v>37</v>
      </c>
      <c r="T3" s="3" t="s">
        <v>32</v>
      </c>
      <c r="U3" s="6">
        <f t="shared" si="0"/>
        <v>0.30178571428571427</v>
      </c>
      <c r="V3" s="6">
        <f t="shared" si="1"/>
        <v>0.38176197836166925</v>
      </c>
      <c r="W3" s="6">
        <f t="shared" si="2"/>
        <v>0.36249999999999999</v>
      </c>
      <c r="X3" s="6">
        <f t="shared" ref="X3:X66" si="5">V3+W3</f>
        <v>0.7442619783616693</v>
      </c>
      <c r="Y3" s="6">
        <f t="shared" si="3"/>
        <v>0.1167192429022082</v>
      </c>
      <c r="Z3" s="6">
        <f t="shared" si="4"/>
        <v>8.0459770114942528E-2</v>
      </c>
      <c r="AA3" s="6">
        <f t="shared" ref="AA3:AA66" si="6">W3-U3</f>
        <v>6.0714285714285721E-2</v>
      </c>
      <c r="AD3">
        <v>1</v>
      </c>
      <c r="AE3" t="s">
        <v>303</v>
      </c>
    </row>
    <row r="4" spans="1:31" x14ac:dyDescent="0.2">
      <c r="A4" s="2" t="s">
        <v>110</v>
      </c>
      <c r="B4" s="2">
        <v>1993</v>
      </c>
      <c r="C4" s="2">
        <v>1</v>
      </c>
      <c r="D4" s="2" t="s">
        <v>79</v>
      </c>
      <c r="E4" s="2" t="s">
        <v>3</v>
      </c>
      <c r="F4" s="2">
        <v>539</v>
      </c>
      <c r="G4" s="2">
        <v>129</v>
      </c>
      <c r="H4" s="2">
        <v>181</v>
      </c>
      <c r="I4" s="2">
        <v>38</v>
      </c>
      <c r="J4" s="2">
        <v>4</v>
      </c>
      <c r="K4" s="2">
        <v>46</v>
      </c>
      <c r="L4" s="2">
        <v>123</v>
      </c>
      <c r="M4" s="2">
        <v>126</v>
      </c>
      <c r="N4" s="2">
        <v>79</v>
      </c>
      <c r="O4" s="2" t="s">
        <v>74</v>
      </c>
      <c r="P4" s="2" t="s">
        <v>31</v>
      </c>
      <c r="Q4" s="2" t="s">
        <v>28</v>
      </c>
      <c r="R4" s="2" t="s">
        <v>41</v>
      </c>
      <c r="S4" s="2" t="s">
        <v>40</v>
      </c>
      <c r="T4" s="2" t="s">
        <v>41</v>
      </c>
      <c r="U4" s="6">
        <f t="shared" si="0"/>
        <v>0.3358070500927644</v>
      </c>
      <c r="V4" s="6">
        <f t="shared" si="1"/>
        <v>0.49093444909344491</v>
      </c>
      <c r="W4" s="6">
        <f t="shared" si="2"/>
        <v>0.67717996289424864</v>
      </c>
      <c r="X4" s="6">
        <f t="shared" si="5"/>
        <v>1.1681144119876936</v>
      </c>
      <c r="Y4" s="6">
        <f t="shared" si="3"/>
        <v>0.18947368421052632</v>
      </c>
      <c r="Z4" s="6">
        <f t="shared" si="4"/>
        <v>0.127831715210356</v>
      </c>
      <c r="AA4" s="6">
        <f t="shared" si="6"/>
        <v>0.34137291280148424</v>
      </c>
      <c r="AD4">
        <v>2</v>
      </c>
      <c r="AE4" t="s">
        <v>304</v>
      </c>
    </row>
    <row r="5" spans="1:31" x14ac:dyDescent="0.2">
      <c r="A5" s="3" t="s">
        <v>99</v>
      </c>
      <c r="B5" s="3">
        <v>1993</v>
      </c>
      <c r="C5" s="3">
        <v>1</v>
      </c>
      <c r="D5" s="3" t="s">
        <v>92</v>
      </c>
      <c r="E5" s="3" t="s">
        <v>6</v>
      </c>
      <c r="F5" s="3">
        <v>603</v>
      </c>
      <c r="G5" s="3">
        <v>92</v>
      </c>
      <c r="H5" s="3">
        <v>153</v>
      </c>
      <c r="I5" s="3">
        <v>33</v>
      </c>
      <c r="J5" s="3">
        <v>5</v>
      </c>
      <c r="K5" s="3">
        <v>33</v>
      </c>
      <c r="L5" s="3">
        <v>121</v>
      </c>
      <c r="M5" s="3">
        <v>47</v>
      </c>
      <c r="N5" s="3">
        <v>113</v>
      </c>
      <c r="O5" s="3" t="s">
        <v>32</v>
      </c>
      <c r="P5" s="3" t="s">
        <v>42</v>
      </c>
      <c r="Q5" s="3" t="s">
        <v>28</v>
      </c>
      <c r="R5" s="3" t="s">
        <v>37</v>
      </c>
      <c r="S5" s="3" t="s">
        <v>37</v>
      </c>
      <c r="T5" s="3" t="s">
        <v>42</v>
      </c>
      <c r="U5" s="6">
        <f t="shared" si="0"/>
        <v>0.2537313432835821</v>
      </c>
      <c r="V5" s="6">
        <f t="shared" si="1"/>
        <v>0.31750741839762614</v>
      </c>
      <c r="W5" s="6">
        <f t="shared" si="2"/>
        <v>0.48922056384742951</v>
      </c>
      <c r="X5" s="6">
        <f t="shared" si="5"/>
        <v>0.80672798224505571</v>
      </c>
      <c r="Y5" s="6">
        <f t="shared" si="3"/>
        <v>7.2307692307692309E-2</v>
      </c>
      <c r="Z5" s="6">
        <f t="shared" si="4"/>
        <v>0.15782122905027932</v>
      </c>
      <c r="AA5" s="6">
        <f t="shared" si="6"/>
        <v>0.23548922056384741</v>
      </c>
      <c r="AD5">
        <v>3</v>
      </c>
      <c r="AE5" t="s">
        <v>306</v>
      </c>
    </row>
    <row r="6" spans="1:31" x14ac:dyDescent="0.2">
      <c r="A6" s="2" t="s">
        <v>100</v>
      </c>
      <c r="B6" s="2">
        <v>1993</v>
      </c>
      <c r="C6" s="2">
        <v>1</v>
      </c>
      <c r="D6" s="2" t="s">
        <v>29</v>
      </c>
      <c r="E6" s="2" t="s">
        <v>3</v>
      </c>
      <c r="F6" s="2">
        <v>510</v>
      </c>
      <c r="G6" s="2">
        <v>90</v>
      </c>
      <c r="H6" s="2">
        <v>131</v>
      </c>
      <c r="I6" s="2">
        <v>35</v>
      </c>
      <c r="J6" s="2">
        <v>4</v>
      </c>
      <c r="K6" s="2">
        <v>24</v>
      </c>
      <c r="L6" s="2">
        <v>105</v>
      </c>
      <c r="M6" s="2">
        <v>117</v>
      </c>
      <c r="N6" s="2">
        <v>111</v>
      </c>
      <c r="O6" s="2" t="s">
        <v>38</v>
      </c>
      <c r="P6" s="2" t="s">
        <v>31</v>
      </c>
      <c r="Q6" s="2" t="s">
        <v>28</v>
      </c>
      <c r="R6" s="2" t="s">
        <v>39</v>
      </c>
      <c r="S6" s="2" t="s">
        <v>31</v>
      </c>
      <c r="T6" s="2" t="s">
        <v>31</v>
      </c>
      <c r="U6" s="6">
        <f t="shared" si="0"/>
        <v>0.25686274509803919</v>
      </c>
      <c r="V6" s="6">
        <f t="shared" si="1"/>
        <v>0.40369799691833591</v>
      </c>
      <c r="W6" s="6">
        <f t="shared" si="2"/>
        <v>0.4823529411764706</v>
      </c>
      <c r="X6" s="6">
        <f t="shared" si="5"/>
        <v>0.88605093809480651</v>
      </c>
      <c r="Y6" s="6">
        <f t="shared" si="3"/>
        <v>0.18660287081339713</v>
      </c>
      <c r="Z6" s="6">
        <f t="shared" si="4"/>
        <v>0.17874396135265699</v>
      </c>
      <c r="AA6" s="6">
        <f t="shared" si="6"/>
        <v>0.2254901960784314</v>
      </c>
      <c r="AD6">
        <v>4</v>
      </c>
      <c r="AE6" t="s">
        <v>4</v>
      </c>
    </row>
    <row r="7" spans="1:31" x14ac:dyDescent="0.2">
      <c r="A7" s="3" t="s">
        <v>131</v>
      </c>
      <c r="B7" s="3">
        <v>1993</v>
      </c>
      <c r="C7" s="3">
        <v>1</v>
      </c>
      <c r="D7" s="3" t="s">
        <v>27</v>
      </c>
      <c r="E7" s="3" t="s">
        <v>3</v>
      </c>
      <c r="F7" s="3">
        <v>594</v>
      </c>
      <c r="G7" s="3">
        <v>86</v>
      </c>
      <c r="H7" s="3">
        <v>193</v>
      </c>
      <c r="I7" s="3">
        <v>39</v>
      </c>
      <c r="J7" s="3">
        <v>4</v>
      </c>
      <c r="K7" s="3">
        <v>14</v>
      </c>
      <c r="L7" s="3">
        <v>98</v>
      </c>
      <c r="M7" s="3">
        <v>71</v>
      </c>
      <c r="N7" s="3">
        <v>32</v>
      </c>
      <c r="O7" s="3" t="s">
        <v>43</v>
      </c>
      <c r="P7" s="3" t="s">
        <v>30</v>
      </c>
      <c r="Q7" s="3" t="s">
        <v>30</v>
      </c>
      <c r="R7" s="3" t="s">
        <v>42</v>
      </c>
      <c r="S7" s="3" t="s">
        <v>55</v>
      </c>
      <c r="T7" s="3" t="s">
        <v>37</v>
      </c>
      <c r="U7" s="6">
        <f t="shared" si="0"/>
        <v>0.32491582491582494</v>
      </c>
      <c r="V7" s="6">
        <f t="shared" si="1"/>
        <v>0.40493468795355586</v>
      </c>
      <c r="W7" s="6">
        <f t="shared" si="2"/>
        <v>0.47474747474747475</v>
      </c>
      <c r="X7" s="6">
        <f t="shared" si="5"/>
        <v>0.87968216270103061</v>
      </c>
      <c r="Y7" s="6">
        <f t="shared" si="3"/>
        <v>0.10676691729323308</v>
      </c>
      <c r="Z7" s="6">
        <f t="shared" si="4"/>
        <v>5.1118210862619806E-2</v>
      </c>
      <c r="AA7" s="6">
        <f t="shared" si="6"/>
        <v>0.14983164983164982</v>
      </c>
      <c r="AD7">
        <v>5</v>
      </c>
      <c r="AE7" t="s">
        <v>5</v>
      </c>
    </row>
    <row r="8" spans="1:31" x14ac:dyDescent="0.2">
      <c r="A8" s="2" t="s">
        <v>138</v>
      </c>
      <c r="B8" s="2">
        <v>1993</v>
      </c>
      <c r="C8" s="2">
        <v>1</v>
      </c>
      <c r="D8" s="2" t="s">
        <v>91</v>
      </c>
      <c r="E8" s="2" t="s">
        <v>6</v>
      </c>
      <c r="F8" s="2">
        <v>582</v>
      </c>
      <c r="G8" s="2">
        <v>113</v>
      </c>
      <c r="H8" s="2">
        <v>180</v>
      </c>
      <c r="I8" s="2">
        <v>38</v>
      </c>
      <c r="J8" s="2">
        <v>3</v>
      </c>
      <c r="K8" s="2">
        <v>45</v>
      </c>
      <c r="L8" s="2">
        <v>109</v>
      </c>
      <c r="M8" s="2">
        <v>96</v>
      </c>
      <c r="N8" s="2">
        <v>91</v>
      </c>
      <c r="O8" s="2" t="s">
        <v>55</v>
      </c>
      <c r="P8" s="2" t="s">
        <v>36</v>
      </c>
      <c r="Q8" s="2" t="s">
        <v>28</v>
      </c>
      <c r="R8" s="2" t="s">
        <v>41</v>
      </c>
      <c r="S8" s="2" t="s">
        <v>43</v>
      </c>
      <c r="T8" s="2" t="s">
        <v>39</v>
      </c>
      <c r="U8" s="6">
        <f t="shared" si="0"/>
        <v>0.30927835051546393</v>
      </c>
      <c r="V8" s="6">
        <f t="shared" si="1"/>
        <v>0.42877094972067037</v>
      </c>
      <c r="W8" s="6">
        <f t="shared" si="2"/>
        <v>0.61683848797250862</v>
      </c>
      <c r="X8" s="6">
        <f t="shared" si="5"/>
        <v>1.045609437693179</v>
      </c>
      <c r="Y8" s="6">
        <f t="shared" si="3"/>
        <v>0.1415929203539823</v>
      </c>
      <c r="Z8" s="6">
        <f t="shared" si="4"/>
        <v>0.13521545319465081</v>
      </c>
      <c r="AA8" s="6">
        <f t="shared" si="6"/>
        <v>0.30756013745704469</v>
      </c>
      <c r="AD8">
        <v>6</v>
      </c>
      <c r="AE8" t="s">
        <v>305</v>
      </c>
    </row>
    <row r="9" spans="1:31" x14ac:dyDescent="0.2">
      <c r="A9" s="3" t="s">
        <v>139</v>
      </c>
      <c r="B9" s="3">
        <v>1993</v>
      </c>
      <c r="C9" s="3">
        <v>1</v>
      </c>
      <c r="D9" s="3" t="s">
        <v>89</v>
      </c>
      <c r="E9" s="3" t="s">
        <v>3</v>
      </c>
      <c r="F9" s="3">
        <v>630</v>
      </c>
      <c r="G9" s="3">
        <v>104</v>
      </c>
      <c r="H9" s="3">
        <v>188</v>
      </c>
      <c r="I9" s="3">
        <v>27</v>
      </c>
      <c r="J9" s="3">
        <v>2</v>
      </c>
      <c r="K9" s="3">
        <v>19</v>
      </c>
      <c r="L9" s="3">
        <v>95</v>
      </c>
      <c r="M9" s="3">
        <v>52</v>
      </c>
      <c r="N9" s="3">
        <v>76</v>
      </c>
      <c r="O9" s="3" t="s">
        <v>36</v>
      </c>
      <c r="P9" s="3" t="s">
        <v>34</v>
      </c>
      <c r="Q9" s="3" t="s">
        <v>28</v>
      </c>
      <c r="R9" s="3" t="s">
        <v>39</v>
      </c>
      <c r="S9" s="3" t="s">
        <v>42</v>
      </c>
      <c r="T9" s="3" t="s">
        <v>39</v>
      </c>
      <c r="U9" s="6">
        <f t="shared" si="0"/>
        <v>0.29841269841269841</v>
      </c>
      <c r="V9" s="6">
        <f t="shared" si="1"/>
        <v>0.35622317596566522</v>
      </c>
      <c r="W9" s="6">
        <f t="shared" si="2"/>
        <v>0.43809523809523809</v>
      </c>
      <c r="X9" s="6">
        <f t="shared" si="5"/>
        <v>0.79431841406090331</v>
      </c>
      <c r="Y9" s="6">
        <f t="shared" si="3"/>
        <v>7.6246334310850442E-2</v>
      </c>
      <c r="Z9" s="6">
        <f t="shared" si="4"/>
        <v>0.10764872521246459</v>
      </c>
      <c r="AA9" s="6">
        <f t="shared" si="6"/>
        <v>0.13968253968253969</v>
      </c>
      <c r="AD9">
        <v>7</v>
      </c>
      <c r="AE9" t="s">
        <v>301</v>
      </c>
    </row>
    <row r="10" spans="1:31" x14ac:dyDescent="0.2">
      <c r="A10" s="2" t="s">
        <v>140</v>
      </c>
      <c r="B10" s="2">
        <v>1993</v>
      </c>
      <c r="C10" s="2">
        <v>1</v>
      </c>
      <c r="D10" s="2" t="s">
        <v>85</v>
      </c>
      <c r="E10" s="2" t="s">
        <v>3</v>
      </c>
      <c r="F10" s="2">
        <v>585</v>
      </c>
      <c r="G10" s="2">
        <v>90</v>
      </c>
      <c r="H10" s="2">
        <v>158</v>
      </c>
      <c r="I10" s="2">
        <v>15</v>
      </c>
      <c r="J10" s="2">
        <v>4</v>
      </c>
      <c r="K10" s="2">
        <v>40</v>
      </c>
      <c r="L10" s="2">
        <v>120</v>
      </c>
      <c r="M10" s="2">
        <v>78</v>
      </c>
      <c r="N10" s="2">
        <v>90</v>
      </c>
      <c r="O10" s="2" t="s">
        <v>38</v>
      </c>
      <c r="P10" s="2" t="s">
        <v>34</v>
      </c>
      <c r="Q10" s="2" t="s">
        <v>28</v>
      </c>
      <c r="R10" s="2" t="s">
        <v>33</v>
      </c>
      <c r="S10" s="2" t="s">
        <v>42</v>
      </c>
      <c r="T10" s="2" t="s">
        <v>42</v>
      </c>
      <c r="U10" s="6">
        <f t="shared" si="0"/>
        <v>0.27008547008547007</v>
      </c>
      <c r="V10" s="6">
        <f t="shared" si="1"/>
        <v>0.36803519061583578</v>
      </c>
      <c r="W10" s="6">
        <f t="shared" si="2"/>
        <v>0.51452991452991448</v>
      </c>
      <c r="X10" s="6">
        <f t="shared" si="5"/>
        <v>0.88256510514575026</v>
      </c>
      <c r="Y10" s="6">
        <f t="shared" si="3"/>
        <v>0.11764705882352941</v>
      </c>
      <c r="Z10" s="6">
        <f t="shared" si="4"/>
        <v>0.13333333333333333</v>
      </c>
      <c r="AA10" s="6">
        <f t="shared" si="6"/>
        <v>0.24444444444444441</v>
      </c>
      <c r="AD10">
        <v>8</v>
      </c>
      <c r="AE10" t="s">
        <v>301</v>
      </c>
    </row>
    <row r="11" spans="1:31" x14ac:dyDescent="0.2">
      <c r="A11" s="3" t="s">
        <v>111</v>
      </c>
      <c r="B11" s="3">
        <v>1993</v>
      </c>
      <c r="C11" s="3">
        <v>1</v>
      </c>
      <c r="D11" s="3" t="s">
        <v>29</v>
      </c>
      <c r="E11" s="3" t="s">
        <v>3</v>
      </c>
      <c r="F11" s="3">
        <v>535</v>
      </c>
      <c r="G11" s="3">
        <v>100</v>
      </c>
      <c r="H11" s="3">
        <v>169</v>
      </c>
      <c r="I11" s="3">
        <v>33</v>
      </c>
      <c r="J11" s="3">
        <v>5</v>
      </c>
      <c r="K11" s="3">
        <v>14</v>
      </c>
      <c r="L11" s="3">
        <v>85</v>
      </c>
      <c r="M11" s="3">
        <v>111</v>
      </c>
      <c r="N11" s="3">
        <v>87</v>
      </c>
      <c r="O11" s="3" t="s">
        <v>37</v>
      </c>
      <c r="P11" s="3" t="s">
        <v>28</v>
      </c>
      <c r="Q11" s="3" t="s">
        <v>28</v>
      </c>
      <c r="R11" s="3" t="s">
        <v>32</v>
      </c>
      <c r="S11" s="3" t="s">
        <v>40</v>
      </c>
      <c r="T11" s="3" t="s">
        <v>34</v>
      </c>
      <c r="U11" s="6">
        <f t="shared" si="0"/>
        <v>0.31588785046728973</v>
      </c>
      <c r="V11" s="6">
        <f t="shared" si="1"/>
        <v>0.43872919818456885</v>
      </c>
      <c r="W11" s="6">
        <f t="shared" si="2"/>
        <v>0.47476635514018689</v>
      </c>
      <c r="X11" s="6">
        <f t="shared" si="5"/>
        <v>0.91349555332475574</v>
      </c>
      <c r="Y11" s="6">
        <f t="shared" si="3"/>
        <v>0.17182662538699692</v>
      </c>
      <c r="Z11" s="6">
        <f t="shared" si="4"/>
        <v>0.13987138263665594</v>
      </c>
      <c r="AA11" s="6">
        <f t="shared" si="6"/>
        <v>0.15887850467289716</v>
      </c>
      <c r="AD11">
        <v>9</v>
      </c>
      <c r="AE11" t="s">
        <v>301</v>
      </c>
    </row>
    <row r="12" spans="1:31" x14ac:dyDescent="0.2">
      <c r="A12" s="2" t="s">
        <v>103</v>
      </c>
      <c r="B12" s="2">
        <v>1993</v>
      </c>
      <c r="C12" s="2">
        <v>1</v>
      </c>
      <c r="D12" s="2" t="s">
        <v>84</v>
      </c>
      <c r="E12" s="2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  <c r="T12" s="2" t="s">
        <v>30</v>
      </c>
      <c r="U12" s="6" t="e">
        <f t="shared" si="0"/>
        <v>#DIV/0!</v>
      </c>
      <c r="V12" s="6" t="e">
        <f t="shared" si="1"/>
        <v>#VALUE!</v>
      </c>
      <c r="W12" s="6" t="e">
        <f t="shared" si="2"/>
        <v>#DIV/0!</v>
      </c>
      <c r="X12" s="6" t="e">
        <f t="shared" si="5"/>
        <v>#VALUE!</v>
      </c>
      <c r="Y12" s="6" t="e">
        <f t="shared" si="3"/>
        <v>#DIV/0!</v>
      </c>
      <c r="Z12" s="6" t="e">
        <f t="shared" si="4"/>
        <v>#DIV/0!</v>
      </c>
      <c r="AA12" s="6" t="e">
        <f t="shared" si="6"/>
        <v>#DIV/0!</v>
      </c>
      <c r="AD12">
        <v>10</v>
      </c>
      <c r="AE12" t="s">
        <v>302</v>
      </c>
    </row>
    <row r="13" spans="1:31" x14ac:dyDescent="0.2">
      <c r="A13" s="3" t="s">
        <v>112</v>
      </c>
      <c r="B13" s="3">
        <v>1993</v>
      </c>
      <c r="C13" s="3">
        <v>1</v>
      </c>
      <c r="D13" s="3" t="s">
        <v>53</v>
      </c>
      <c r="E13" s="3" t="s">
        <v>3</v>
      </c>
      <c r="F13" s="3">
        <v>384</v>
      </c>
      <c r="G13" s="3">
        <v>57</v>
      </c>
      <c r="H13" s="3">
        <v>121</v>
      </c>
      <c r="I13" s="3">
        <v>20</v>
      </c>
      <c r="J13" s="3">
        <v>3</v>
      </c>
      <c r="K13" s="3">
        <v>8</v>
      </c>
      <c r="L13" s="3">
        <v>51</v>
      </c>
      <c r="M13" s="3">
        <v>51</v>
      </c>
      <c r="N13" s="3">
        <v>33</v>
      </c>
      <c r="O13" s="3" t="s">
        <v>36</v>
      </c>
      <c r="P13" s="3" t="s">
        <v>30</v>
      </c>
      <c r="Q13" s="3" t="s">
        <v>30</v>
      </c>
      <c r="R13" s="3" t="s">
        <v>34</v>
      </c>
      <c r="S13" s="3" t="s">
        <v>35</v>
      </c>
      <c r="T13" s="3" t="s">
        <v>36</v>
      </c>
      <c r="U13" s="6">
        <f t="shared" si="0"/>
        <v>0.31510416666666669</v>
      </c>
      <c r="V13" s="6">
        <f t="shared" si="1"/>
        <v>0.40224719101123596</v>
      </c>
      <c r="W13" s="6">
        <f t="shared" si="2"/>
        <v>0.4453125</v>
      </c>
      <c r="X13" s="6">
        <f t="shared" si="5"/>
        <v>0.84755969101123596</v>
      </c>
      <c r="Y13" s="6">
        <f t="shared" si="3"/>
        <v>0.11724137931034483</v>
      </c>
      <c r="Z13" s="6">
        <f t="shared" si="4"/>
        <v>7.9136690647482008E-2</v>
      </c>
      <c r="AA13" s="6">
        <f t="shared" si="6"/>
        <v>0.13020833333333331</v>
      </c>
    </row>
    <row r="14" spans="1:31" x14ac:dyDescent="0.2">
      <c r="A14" s="2" t="s">
        <v>93</v>
      </c>
      <c r="B14" s="2">
        <v>1993</v>
      </c>
      <c r="C14" s="2">
        <v>1</v>
      </c>
      <c r="D14" s="2" t="s">
        <v>92</v>
      </c>
      <c r="E14" s="2" t="s">
        <v>6</v>
      </c>
      <c r="F14" s="2">
        <v>636</v>
      </c>
      <c r="G14" s="2">
        <v>121</v>
      </c>
      <c r="H14" s="2">
        <v>211</v>
      </c>
      <c r="I14" s="2">
        <v>37</v>
      </c>
      <c r="J14" s="2">
        <v>5</v>
      </c>
      <c r="K14" s="2">
        <v>22</v>
      </c>
      <c r="L14" s="2">
        <v>111</v>
      </c>
      <c r="M14" s="2">
        <v>77</v>
      </c>
      <c r="N14" s="2">
        <v>71</v>
      </c>
      <c r="O14" s="2" t="s">
        <v>34</v>
      </c>
      <c r="P14" s="2" t="s">
        <v>34</v>
      </c>
      <c r="Q14" s="2" t="s">
        <v>30</v>
      </c>
      <c r="R14" s="2" t="s">
        <v>39</v>
      </c>
      <c r="S14" s="2" t="s">
        <v>35</v>
      </c>
      <c r="T14" s="2" t="s">
        <v>37</v>
      </c>
      <c r="U14" s="6">
        <f t="shared" si="0"/>
        <v>0.33176100628930816</v>
      </c>
      <c r="V14" s="6">
        <f t="shared" si="1"/>
        <v>0.40440165061898214</v>
      </c>
      <c r="W14" s="6">
        <f t="shared" si="2"/>
        <v>0.50943396226415094</v>
      </c>
      <c r="X14" s="6">
        <f t="shared" si="5"/>
        <v>0.91383561288313309</v>
      </c>
      <c r="Y14" s="6">
        <f t="shared" si="3"/>
        <v>0.10799438990182328</v>
      </c>
      <c r="Z14" s="6">
        <f t="shared" si="4"/>
        <v>0.10042432814710042</v>
      </c>
      <c r="AA14" s="6">
        <f t="shared" si="6"/>
        <v>0.17767295597484278</v>
      </c>
    </row>
    <row r="15" spans="1:31" x14ac:dyDescent="0.2">
      <c r="A15" s="3" t="s">
        <v>116</v>
      </c>
      <c r="B15" s="3">
        <v>1993</v>
      </c>
      <c r="C15" s="3">
        <v>1</v>
      </c>
      <c r="D15" s="3" t="s">
        <v>29</v>
      </c>
      <c r="E15" s="3" t="s">
        <v>3</v>
      </c>
      <c r="F15" s="3">
        <v>62</v>
      </c>
      <c r="G15" s="3">
        <v>3</v>
      </c>
      <c r="H15" s="3">
        <v>4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>
        <v>27</v>
      </c>
      <c r="O15" s="3" t="s">
        <v>28</v>
      </c>
      <c r="P15" s="3" t="s">
        <v>28</v>
      </c>
      <c r="Q15" s="3" t="s">
        <v>39</v>
      </c>
      <c r="R15" s="3" t="s">
        <v>28</v>
      </c>
      <c r="S15" s="3" t="s">
        <v>28</v>
      </c>
      <c r="T15" s="3" t="s">
        <v>30</v>
      </c>
      <c r="U15" s="6">
        <f t="shared" si="0"/>
        <v>6.4516129032258063E-2</v>
      </c>
      <c r="V15" s="6">
        <f t="shared" si="1"/>
        <v>7.9365079365079361E-2</v>
      </c>
      <c r="W15" s="6">
        <f t="shared" si="2"/>
        <v>6.4516129032258063E-2</v>
      </c>
      <c r="X15" s="6">
        <f t="shared" si="5"/>
        <v>0.14388120839733742</v>
      </c>
      <c r="Y15" s="6">
        <f t="shared" si="3"/>
        <v>1.5873015873015872E-2</v>
      </c>
      <c r="Z15" s="6">
        <f t="shared" si="4"/>
        <v>0.30337078651685395</v>
      </c>
      <c r="AA15" s="6">
        <f t="shared" si="6"/>
        <v>0</v>
      </c>
    </row>
    <row r="16" spans="1:31" x14ac:dyDescent="0.2">
      <c r="A16" s="2" t="s">
        <v>141</v>
      </c>
      <c r="B16" s="2">
        <v>1993</v>
      </c>
      <c r="C16" s="2">
        <v>1</v>
      </c>
      <c r="D16" s="2" t="s">
        <v>92</v>
      </c>
      <c r="E16" s="2" t="s">
        <v>6</v>
      </c>
      <c r="F16" s="2">
        <v>551</v>
      </c>
      <c r="G16" s="2">
        <v>109</v>
      </c>
      <c r="H16" s="2">
        <v>200</v>
      </c>
      <c r="I16" s="2">
        <v>54</v>
      </c>
      <c r="J16" s="2">
        <v>2</v>
      </c>
      <c r="K16" s="2">
        <v>24</v>
      </c>
      <c r="L16" s="2">
        <v>107</v>
      </c>
      <c r="M16" s="2">
        <v>114</v>
      </c>
      <c r="N16" s="2">
        <v>65</v>
      </c>
      <c r="O16" s="2" t="s">
        <v>51</v>
      </c>
      <c r="P16" s="2" t="s">
        <v>41</v>
      </c>
      <c r="Q16" s="2" t="s">
        <v>28</v>
      </c>
      <c r="R16" s="2" t="s">
        <v>41</v>
      </c>
      <c r="S16" s="2" t="s">
        <v>38</v>
      </c>
      <c r="T16" s="2" t="s">
        <v>34</v>
      </c>
      <c r="U16" s="6">
        <f t="shared" si="0"/>
        <v>0.36297640653357532</v>
      </c>
      <c r="V16" s="6">
        <f t="shared" si="1"/>
        <v>0.49719101123595505</v>
      </c>
      <c r="W16" s="6">
        <f t="shared" si="2"/>
        <v>0.59891107078039929</v>
      </c>
      <c r="X16" s="6">
        <f t="shared" si="5"/>
        <v>1.0961020820163543</v>
      </c>
      <c r="Y16" s="6">
        <f t="shared" si="3"/>
        <v>0.17142857142857143</v>
      </c>
      <c r="Z16" s="6">
        <f t="shared" si="4"/>
        <v>0.10551948051948051</v>
      </c>
      <c r="AA16" s="6">
        <f t="shared" si="6"/>
        <v>0.23593466424682397</v>
      </c>
    </row>
    <row r="17" spans="1:27" x14ac:dyDescent="0.2">
      <c r="A17" s="3" t="s">
        <v>104</v>
      </c>
      <c r="B17" s="3">
        <v>1993</v>
      </c>
      <c r="C17" s="3">
        <v>1</v>
      </c>
      <c r="D17" s="3" t="s">
        <v>81</v>
      </c>
      <c r="E17" s="3" t="s">
        <v>6</v>
      </c>
      <c r="F17" s="3">
        <v>622</v>
      </c>
      <c r="G17" s="3">
        <v>89</v>
      </c>
      <c r="H17" s="3">
        <v>184</v>
      </c>
      <c r="I17" s="3">
        <v>39</v>
      </c>
      <c r="J17" s="3">
        <v>3</v>
      </c>
      <c r="K17" s="3">
        <v>22</v>
      </c>
      <c r="L17" s="3">
        <v>89</v>
      </c>
      <c r="M17" s="3">
        <v>47</v>
      </c>
      <c r="N17" s="3">
        <v>93</v>
      </c>
      <c r="O17" s="3" t="s">
        <v>41</v>
      </c>
      <c r="P17" s="3" t="s">
        <v>41</v>
      </c>
      <c r="Q17" s="3" t="s">
        <v>30</v>
      </c>
      <c r="R17" s="3" t="s">
        <v>32</v>
      </c>
      <c r="S17" s="3" t="s">
        <v>44</v>
      </c>
      <c r="T17" s="3" t="s">
        <v>41</v>
      </c>
      <c r="U17" s="6">
        <f t="shared" si="0"/>
        <v>0.29581993569131831</v>
      </c>
      <c r="V17" s="6">
        <f t="shared" si="1"/>
        <v>0.35610465116279072</v>
      </c>
      <c r="W17" s="6">
        <f t="shared" si="2"/>
        <v>0.47427652733118969</v>
      </c>
      <c r="X17" s="6">
        <f t="shared" si="5"/>
        <v>0.83038117849398041</v>
      </c>
      <c r="Y17" s="6">
        <f t="shared" si="3"/>
        <v>7.0254110612855011E-2</v>
      </c>
      <c r="Z17" s="6">
        <f t="shared" si="4"/>
        <v>0.13006993006993006</v>
      </c>
      <c r="AA17" s="6">
        <f t="shared" si="6"/>
        <v>0.17845659163987138</v>
      </c>
    </row>
    <row r="18" spans="1:27" x14ac:dyDescent="0.2">
      <c r="A18" s="2" t="s">
        <v>95</v>
      </c>
      <c r="B18" s="2">
        <v>1993</v>
      </c>
      <c r="C18" s="2">
        <v>1</v>
      </c>
      <c r="D18" s="2" t="s">
        <v>78</v>
      </c>
      <c r="E18" s="2" t="s">
        <v>6</v>
      </c>
      <c r="F18" s="2">
        <v>641</v>
      </c>
      <c r="G18" s="2">
        <v>87</v>
      </c>
      <c r="H18" s="2">
        <v>165</v>
      </c>
      <c r="I18" s="2">
        <v>26</v>
      </c>
      <c r="J18" s="2">
        <v>3</v>
      </c>
      <c r="K18" s="2">
        <v>24</v>
      </c>
      <c r="L18" s="2">
        <v>90</v>
      </c>
      <c r="M18" s="2">
        <v>65</v>
      </c>
      <c r="N18" s="2">
        <v>58</v>
      </c>
      <c r="O18" s="2" t="s">
        <v>52</v>
      </c>
      <c r="P18" s="2" t="s">
        <v>36</v>
      </c>
      <c r="Q18" s="2" t="s">
        <v>28</v>
      </c>
      <c r="R18" s="2" t="s">
        <v>36</v>
      </c>
      <c r="S18" s="2" t="s">
        <v>47</v>
      </c>
      <c r="T18" s="2" t="s">
        <v>36</v>
      </c>
      <c r="U18" s="6">
        <f t="shared" si="0"/>
        <v>0.25741029641185648</v>
      </c>
      <c r="V18" s="6">
        <f t="shared" si="1"/>
        <v>0.34599728629579374</v>
      </c>
      <c r="W18" s="6">
        <f t="shared" si="2"/>
        <v>0.41965678627145087</v>
      </c>
      <c r="X18" s="6">
        <f t="shared" si="5"/>
        <v>0.7656540725672446</v>
      </c>
      <c r="Y18" s="6">
        <f t="shared" si="3"/>
        <v>9.2067988668555242E-2</v>
      </c>
      <c r="Z18" s="6">
        <f t="shared" si="4"/>
        <v>8.2975679542203154E-2</v>
      </c>
      <c r="AA18" s="6">
        <f t="shared" si="6"/>
        <v>0.16224648985959439</v>
      </c>
    </row>
    <row r="19" spans="1:27" x14ac:dyDescent="0.2">
      <c r="A19" s="3" t="s">
        <v>155</v>
      </c>
      <c r="B19" s="3">
        <v>1993</v>
      </c>
      <c r="C19" s="3">
        <v>1</v>
      </c>
      <c r="D19" s="3" t="s">
        <v>90</v>
      </c>
      <c r="E19" s="3" t="s">
        <v>6</v>
      </c>
      <c r="F19" s="3">
        <v>473</v>
      </c>
      <c r="G19" s="3">
        <v>56</v>
      </c>
      <c r="H19" s="3">
        <v>129</v>
      </c>
      <c r="I19" s="3">
        <v>28</v>
      </c>
      <c r="J19" s="3">
        <v>4</v>
      </c>
      <c r="K19" s="3">
        <v>10</v>
      </c>
      <c r="L19" s="3">
        <v>66</v>
      </c>
      <c r="M19" s="3">
        <v>29</v>
      </c>
      <c r="N19" s="3">
        <v>70</v>
      </c>
      <c r="O19" s="3" t="s">
        <v>34</v>
      </c>
      <c r="P19" s="3" t="s">
        <v>33</v>
      </c>
      <c r="Q19" s="3" t="s">
        <v>32</v>
      </c>
      <c r="R19" s="3" t="s">
        <v>39</v>
      </c>
      <c r="S19" s="3" t="s">
        <v>50</v>
      </c>
      <c r="T19" s="3" t="s">
        <v>31</v>
      </c>
      <c r="U19" s="6">
        <f t="shared" si="0"/>
        <v>0.27272727272727271</v>
      </c>
      <c r="V19" s="6">
        <f t="shared" si="1"/>
        <v>0.31914893617021278</v>
      </c>
      <c r="W19" s="6">
        <f t="shared" si="2"/>
        <v>0.41226215644820297</v>
      </c>
      <c r="X19" s="6">
        <f t="shared" si="5"/>
        <v>0.73141109261841575</v>
      </c>
      <c r="Y19" s="6">
        <f t="shared" si="3"/>
        <v>5.7768924302788842E-2</v>
      </c>
      <c r="Z19" s="6">
        <f t="shared" si="4"/>
        <v>0.12891344383057091</v>
      </c>
      <c r="AA19" s="6">
        <f t="shared" si="6"/>
        <v>0.13953488372093026</v>
      </c>
    </row>
    <row r="20" spans="1:27" x14ac:dyDescent="0.2">
      <c r="A20" s="2" t="s">
        <v>96</v>
      </c>
      <c r="B20" s="2">
        <v>1993</v>
      </c>
      <c r="C20" s="2">
        <v>1</v>
      </c>
      <c r="D20" s="2" t="s">
        <v>27</v>
      </c>
      <c r="E20" s="2" t="s">
        <v>3</v>
      </c>
      <c r="F20" s="2">
        <v>456</v>
      </c>
      <c r="G20" s="2">
        <v>67</v>
      </c>
      <c r="H20" s="2">
        <v>141</v>
      </c>
      <c r="I20" s="2">
        <v>20</v>
      </c>
      <c r="J20" s="2">
        <v>0</v>
      </c>
      <c r="K20" s="2">
        <v>9</v>
      </c>
      <c r="L20" s="2">
        <v>45</v>
      </c>
      <c r="M20" s="2">
        <v>37</v>
      </c>
      <c r="N20" s="2">
        <v>62</v>
      </c>
      <c r="O20" s="2" t="s">
        <v>30</v>
      </c>
      <c r="P20" s="2" t="s">
        <v>31</v>
      </c>
      <c r="Q20" s="2" t="s">
        <v>31</v>
      </c>
      <c r="R20" s="2" t="s">
        <v>36</v>
      </c>
      <c r="S20" s="2" t="s">
        <v>38</v>
      </c>
      <c r="T20" s="2" t="s">
        <v>33</v>
      </c>
      <c r="U20" s="6">
        <f t="shared" si="0"/>
        <v>0.30921052631578949</v>
      </c>
      <c r="V20" s="6">
        <f t="shared" si="1"/>
        <v>0.3605577689243028</v>
      </c>
      <c r="W20" s="6">
        <f t="shared" si="2"/>
        <v>0.41228070175438597</v>
      </c>
      <c r="X20" s="6">
        <f t="shared" si="5"/>
        <v>0.77283847067868883</v>
      </c>
      <c r="Y20" s="6">
        <f t="shared" si="3"/>
        <v>7.5050709939148072E-2</v>
      </c>
      <c r="Z20" s="6">
        <f t="shared" si="4"/>
        <v>0.11969111969111969</v>
      </c>
      <c r="AA20" s="6">
        <f t="shared" si="6"/>
        <v>0.10307017543859648</v>
      </c>
    </row>
    <row r="21" spans="1:27" x14ac:dyDescent="0.2">
      <c r="A21" s="3" t="s">
        <v>134</v>
      </c>
      <c r="B21" s="3">
        <v>1993</v>
      </c>
      <c r="C21" s="3">
        <v>1</v>
      </c>
      <c r="D21" s="3" t="s">
        <v>88</v>
      </c>
      <c r="E21" s="3" t="s">
        <v>3</v>
      </c>
      <c r="F21" s="3">
        <v>258</v>
      </c>
      <c r="G21" s="3">
        <v>34</v>
      </c>
      <c r="H21" s="3">
        <v>76</v>
      </c>
      <c r="I21" s="3">
        <v>12</v>
      </c>
      <c r="J21" s="3">
        <v>2</v>
      </c>
      <c r="K21" s="3">
        <v>10</v>
      </c>
      <c r="L21" s="3">
        <v>36</v>
      </c>
      <c r="M21" s="3">
        <v>18</v>
      </c>
      <c r="N21" s="3">
        <v>30</v>
      </c>
      <c r="O21" s="3" t="s">
        <v>28</v>
      </c>
      <c r="P21" s="3" t="s">
        <v>34</v>
      </c>
      <c r="Q21" s="3" t="s">
        <v>28</v>
      </c>
      <c r="R21" s="3" t="s">
        <v>34</v>
      </c>
      <c r="S21" s="3" t="s">
        <v>42</v>
      </c>
      <c r="T21" s="3" t="s">
        <v>32</v>
      </c>
      <c r="U21" s="6">
        <f t="shared" si="0"/>
        <v>0.29457364341085274</v>
      </c>
      <c r="V21" s="6">
        <f t="shared" si="1"/>
        <v>0.34397163120567376</v>
      </c>
      <c r="W21" s="6">
        <f t="shared" si="2"/>
        <v>0.47286821705426357</v>
      </c>
      <c r="X21" s="6">
        <f t="shared" si="5"/>
        <v>0.81683984825993727</v>
      </c>
      <c r="Y21" s="6">
        <f t="shared" si="3"/>
        <v>6.5217391304347824E-2</v>
      </c>
      <c r="Z21" s="6">
        <f t="shared" si="4"/>
        <v>0.10416666666666667</v>
      </c>
      <c r="AA21" s="6">
        <f t="shared" si="6"/>
        <v>0.17829457364341084</v>
      </c>
    </row>
    <row r="22" spans="1:27" x14ac:dyDescent="0.2">
      <c r="A22" s="2" t="s">
        <v>134</v>
      </c>
      <c r="B22" s="2">
        <v>1993</v>
      </c>
      <c r="C22" s="2">
        <v>2</v>
      </c>
      <c r="D22" s="2" t="s">
        <v>165</v>
      </c>
      <c r="E22" s="2" t="s">
        <v>3</v>
      </c>
      <c r="F22" s="2">
        <v>236</v>
      </c>
      <c r="G22" s="2">
        <v>33</v>
      </c>
      <c r="H22" s="2">
        <v>69</v>
      </c>
      <c r="I22" s="2">
        <v>8</v>
      </c>
      <c r="J22" s="2">
        <v>3</v>
      </c>
      <c r="K22" s="2">
        <v>10</v>
      </c>
      <c r="L22" s="2">
        <v>37</v>
      </c>
      <c r="M22" s="2">
        <v>29</v>
      </c>
      <c r="N22" s="2">
        <v>34</v>
      </c>
      <c r="O22" s="2" t="s">
        <v>36</v>
      </c>
      <c r="P22" s="2" t="s">
        <v>36</v>
      </c>
      <c r="Q22" s="2" t="s">
        <v>28</v>
      </c>
      <c r="R22" s="2" t="s">
        <v>33</v>
      </c>
      <c r="S22" s="2" t="s">
        <v>31</v>
      </c>
      <c r="T22" s="2" t="s">
        <v>32</v>
      </c>
      <c r="U22" s="6">
        <f t="shared" si="0"/>
        <v>0.2923728813559322</v>
      </c>
      <c r="V22" s="6">
        <f t="shared" si="1"/>
        <v>0.3914590747330961</v>
      </c>
      <c r="W22" s="6">
        <f t="shared" si="2"/>
        <v>0.4788135593220339</v>
      </c>
      <c r="X22" s="6">
        <f t="shared" si="5"/>
        <v>0.87027263405513</v>
      </c>
      <c r="Y22" s="6">
        <f t="shared" si="3"/>
        <v>0.10943396226415095</v>
      </c>
      <c r="Z22" s="6">
        <f t="shared" si="4"/>
        <v>0.12592592592592591</v>
      </c>
      <c r="AA22" s="6">
        <f t="shared" si="6"/>
        <v>0.1864406779661017</v>
      </c>
    </row>
    <row r="23" spans="1:27" x14ac:dyDescent="0.2">
      <c r="A23" s="3" t="s">
        <v>127</v>
      </c>
      <c r="B23" s="3">
        <v>1994</v>
      </c>
      <c r="C23" s="3">
        <v>1</v>
      </c>
      <c r="D23" s="3" t="s">
        <v>92</v>
      </c>
      <c r="E23" s="3" t="s">
        <v>6</v>
      </c>
      <c r="F23" s="3">
        <v>392</v>
      </c>
      <c r="G23" s="3">
        <v>78</v>
      </c>
      <c r="H23" s="3">
        <v>120</v>
      </c>
      <c r="I23" s="3">
        <v>25</v>
      </c>
      <c r="J23" s="3">
        <v>4</v>
      </c>
      <c r="K23" s="3">
        <v>8</v>
      </c>
      <c r="L23" s="3">
        <v>38</v>
      </c>
      <c r="M23" s="3">
        <v>51</v>
      </c>
      <c r="N23" s="3">
        <v>41</v>
      </c>
      <c r="O23" s="3" t="s">
        <v>31</v>
      </c>
      <c r="P23" s="3" t="s">
        <v>31</v>
      </c>
      <c r="Q23" s="3" t="s">
        <v>41</v>
      </c>
      <c r="R23" s="3" t="s">
        <v>34</v>
      </c>
      <c r="S23" s="3" t="s">
        <v>43</v>
      </c>
      <c r="T23" s="3" t="s">
        <v>33</v>
      </c>
      <c r="U23" s="6">
        <f t="shared" si="0"/>
        <v>0.30612244897959184</v>
      </c>
      <c r="V23" s="6">
        <f t="shared" si="1"/>
        <v>0.3888888888888889</v>
      </c>
      <c r="W23" s="6">
        <f t="shared" si="2"/>
        <v>0.45153061224489793</v>
      </c>
      <c r="X23" s="6">
        <f t="shared" si="5"/>
        <v>0.84041950113378683</v>
      </c>
      <c r="Y23" s="6">
        <f t="shared" si="3"/>
        <v>0.11512415349887133</v>
      </c>
      <c r="Z23" s="6">
        <f t="shared" si="4"/>
        <v>9.4688221709006926E-2</v>
      </c>
      <c r="AA23" s="6">
        <f t="shared" si="6"/>
        <v>0.14540816326530609</v>
      </c>
    </row>
    <row r="24" spans="1:27" x14ac:dyDescent="0.2">
      <c r="A24" s="2" t="s">
        <v>97</v>
      </c>
      <c r="B24" s="2">
        <v>1994</v>
      </c>
      <c r="C24" s="2">
        <v>1</v>
      </c>
      <c r="D24" s="2" t="s">
        <v>71</v>
      </c>
      <c r="E24" s="2" t="s">
        <v>6</v>
      </c>
      <c r="F24" s="2">
        <v>366</v>
      </c>
      <c r="G24" s="2">
        <v>61</v>
      </c>
      <c r="H24" s="2">
        <v>125</v>
      </c>
      <c r="I24" s="2">
        <v>19</v>
      </c>
      <c r="J24" s="2">
        <v>1</v>
      </c>
      <c r="K24" s="2">
        <v>11</v>
      </c>
      <c r="L24" s="2">
        <v>55</v>
      </c>
      <c r="M24" s="2">
        <v>61</v>
      </c>
      <c r="N24" s="2">
        <v>29</v>
      </c>
      <c r="O24" s="2" t="s">
        <v>34</v>
      </c>
      <c r="P24" s="2" t="s">
        <v>30</v>
      </c>
      <c r="Q24" s="2" t="s">
        <v>31</v>
      </c>
      <c r="R24" s="2" t="s">
        <v>33</v>
      </c>
      <c r="S24" s="2" t="s">
        <v>37</v>
      </c>
      <c r="T24" s="2" t="s">
        <v>32</v>
      </c>
      <c r="U24" s="6">
        <f t="shared" si="0"/>
        <v>0.34153005464480873</v>
      </c>
      <c r="V24" s="6">
        <f t="shared" si="1"/>
        <v>0.43678160919540232</v>
      </c>
      <c r="W24" s="6">
        <f t="shared" si="2"/>
        <v>0.48907103825136611</v>
      </c>
      <c r="X24" s="6">
        <f t="shared" si="5"/>
        <v>0.92585264744676843</v>
      </c>
      <c r="Y24" s="6">
        <f t="shared" si="3"/>
        <v>0.14285714285714285</v>
      </c>
      <c r="Z24" s="6">
        <f t="shared" si="4"/>
        <v>7.3417721518987344E-2</v>
      </c>
      <c r="AA24" s="6">
        <f t="shared" si="6"/>
        <v>0.14754098360655737</v>
      </c>
    </row>
    <row r="25" spans="1:27" x14ac:dyDescent="0.2">
      <c r="A25" s="3" t="s">
        <v>110</v>
      </c>
      <c r="B25" s="3">
        <v>1994</v>
      </c>
      <c r="C25" s="3">
        <v>1</v>
      </c>
      <c r="D25" s="3" t="s">
        <v>79</v>
      </c>
      <c r="E25" s="3" t="s">
        <v>3</v>
      </c>
      <c r="F25" s="3">
        <v>391</v>
      </c>
      <c r="G25" s="3">
        <v>89</v>
      </c>
      <c r="H25" s="3">
        <v>122</v>
      </c>
      <c r="I25" s="3">
        <v>18</v>
      </c>
      <c r="J25" s="3">
        <v>1</v>
      </c>
      <c r="K25" s="3">
        <v>37</v>
      </c>
      <c r="L25" s="3">
        <v>81</v>
      </c>
      <c r="M25" s="3">
        <v>74</v>
      </c>
      <c r="N25" s="3">
        <v>43</v>
      </c>
      <c r="O25" s="3" t="s">
        <v>45</v>
      </c>
      <c r="P25" s="3" t="s">
        <v>36</v>
      </c>
      <c r="Q25" s="3" t="s">
        <v>28</v>
      </c>
      <c r="R25" s="3" t="s">
        <v>34</v>
      </c>
      <c r="S25" s="3" t="s">
        <v>34</v>
      </c>
      <c r="T25" s="3" t="s">
        <v>41</v>
      </c>
      <c r="U25" s="6">
        <f t="shared" si="0"/>
        <v>0.31202046035805625</v>
      </c>
      <c r="V25" s="6">
        <f t="shared" si="1"/>
        <v>0.44715447154471544</v>
      </c>
      <c r="W25" s="6">
        <f t="shared" si="2"/>
        <v>0.6470588235294118</v>
      </c>
      <c r="X25" s="6">
        <f t="shared" si="5"/>
        <v>1.0942132950741272</v>
      </c>
      <c r="Y25" s="6">
        <f t="shared" si="3"/>
        <v>0.15913978494623657</v>
      </c>
      <c r="Z25" s="6">
        <f t="shared" si="4"/>
        <v>9.9078341013824886E-2</v>
      </c>
      <c r="AA25" s="6">
        <f t="shared" si="6"/>
        <v>0.33503836317135555</v>
      </c>
    </row>
    <row r="26" spans="1:27" x14ac:dyDescent="0.2">
      <c r="A26" s="2" t="s">
        <v>99</v>
      </c>
      <c r="B26" s="2">
        <v>1994</v>
      </c>
      <c r="C26" s="2">
        <v>1</v>
      </c>
      <c r="D26" s="2" t="s">
        <v>92</v>
      </c>
      <c r="E26" s="2" t="s">
        <v>6</v>
      </c>
      <c r="F26" s="2">
        <v>435</v>
      </c>
      <c r="G26" s="2">
        <v>70</v>
      </c>
      <c r="H26" s="2">
        <v>118</v>
      </c>
      <c r="I26" s="2">
        <v>25</v>
      </c>
      <c r="J26" s="2">
        <v>2</v>
      </c>
      <c r="K26" s="2">
        <v>27</v>
      </c>
      <c r="L26" s="2">
        <v>103</v>
      </c>
      <c r="M26" s="2">
        <v>33</v>
      </c>
      <c r="N26" s="2">
        <v>64</v>
      </c>
      <c r="O26" s="2" t="s">
        <v>36</v>
      </c>
      <c r="P26" s="2" t="s">
        <v>31</v>
      </c>
      <c r="Q26" s="2" t="s">
        <v>28</v>
      </c>
      <c r="R26" s="2" t="s">
        <v>35</v>
      </c>
      <c r="S26" s="2" t="s">
        <v>36</v>
      </c>
      <c r="T26" s="2" t="s">
        <v>41</v>
      </c>
      <c r="U26" s="6">
        <f t="shared" si="0"/>
        <v>0.27126436781609198</v>
      </c>
      <c r="V26" s="6">
        <f t="shared" si="1"/>
        <v>0.32515337423312884</v>
      </c>
      <c r="W26" s="6">
        <f t="shared" si="2"/>
        <v>0.52413793103448281</v>
      </c>
      <c r="X26" s="6">
        <f t="shared" si="5"/>
        <v>0.84929130526761165</v>
      </c>
      <c r="Y26" s="6">
        <f t="shared" si="3"/>
        <v>7.0512820512820512E-2</v>
      </c>
      <c r="Z26" s="6">
        <f t="shared" si="4"/>
        <v>0.12825651302605209</v>
      </c>
      <c r="AA26" s="6">
        <f t="shared" si="6"/>
        <v>0.25287356321839083</v>
      </c>
    </row>
    <row r="27" spans="1:27" x14ac:dyDescent="0.2">
      <c r="A27" s="3" t="s">
        <v>105</v>
      </c>
      <c r="B27" s="3">
        <v>1994</v>
      </c>
      <c r="C27" s="3">
        <v>1</v>
      </c>
      <c r="D27" s="3" t="s">
        <v>29</v>
      </c>
      <c r="E27" s="3" t="s">
        <v>3</v>
      </c>
      <c r="F27" s="3">
        <v>347</v>
      </c>
      <c r="G27" s="3">
        <v>49</v>
      </c>
      <c r="H27" s="3">
        <v>93</v>
      </c>
      <c r="I27" s="3">
        <v>22</v>
      </c>
      <c r="J27" s="3">
        <v>1</v>
      </c>
      <c r="K27" s="3">
        <v>8</v>
      </c>
      <c r="L27" s="3">
        <v>48</v>
      </c>
      <c r="M27" s="3">
        <v>17</v>
      </c>
      <c r="N27" s="3">
        <v>72</v>
      </c>
      <c r="O27" s="3" t="s">
        <v>30</v>
      </c>
      <c r="P27" s="3" t="s">
        <v>33</v>
      </c>
      <c r="Q27" s="3" t="s">
        <v>31</v>
      </c>
      <c r="R27" s="3" t="s">
        <v>33</v>
      </c>
      <c r="S27" s="3" t="s">
        <v>37</v>
      </c>
      <c r="T27" s="3" t="s">
        <v>33</v>
      </c>
      <c r="U27" s="6">
        <f t="shared" si="0"/>
        <v>0.2680115273775216</v>
      </c>
      <c r="V27" s="6">
        <f t="shared" si="1"/>
        <v>0.30831099195710454</v>
      </c>
      <c r="W27" s="6">
        <f t="shared" si="2"/>
        <v>0.40634005763688763</v>
      </c>
      <c r="X27" s="6">
        <f t="shared" si="5"/>
        <v>0.71465104959399217</v>
      </c>
      <c r="Y27" s="6">
        <f t="shared" si="3"/>
        <v>4.6703296703296704E-2</v>
      </c>
      <c r="Z27" s="6">
        <f t="shared" si="4"/>
        <v>0.17183770883054891</v>
      </c>
      <c r="AA27" s="6">
        <f t="shared" si="6"/>
        <v>0.13832853025936603</v>
      </c>
    </row>
    <row r="28" spans="1:27" x14ac:dyDescent="0.2">
      <c r="A28" s="2" t="s">
        <v>138</v>
      </c>
      <c r="B28" s="2">
        <v>1994</v>
      </c>
      <c r="C28" s="2">
        <v>1</v>
      </c>
      <c r="D28" s="2" t="s">
        <v>91</v>
      </c>
      <c r="E28" s="2" t="s">
        <v>6</v>
      </c>
      <c r="F28" s="2">
        <v>433</v>
      </c>
      <c r="G28" s="2">
        <v>94</v>
      </c>
      <c r="H28" s="2">
        <v>140</v>
      </c>
      <c r="I28" s="2">
        <v>24</v>
      </c>
      <c r="J28" s="2">
        <v>4</v>
      </c>
      <c r="K28" s="2">
        <v>40</v>
      </c>
      <c r="L28" s="2">
        <v>90</v>
      </c>
      <c r="M28" s="2">
        <v>56</v>
      </c>
      <c r="N28" s="2">
        <v>73</v>
      </c>
      <c r="O28" s="2" t="s">
        <v>52</v>
      </c>
      <c r="P28" s="2" t="s">
        <v>31</v>
      </c>
      <c r="Q28" s="2" t="s">
        <v>28</v>
      </c>
      <c r="R28" s="2" t="s">
        <v>31</v>
      </c>
      <c r="S28" s="2" t="s">
        <v>42</v>
      </c>
      <c r="T28" s="2" t="s">
        <v>39</v>
      </c>
      <c r="U28" s="6">
        <f t="shared" si="0"/>
        <v>0.32332563510392609</v>
      </c>
      <c r="V28" s="6">
        <f t="shared" si="1"/>
        <v>0.423828125</v>
      </c>
      <c r="W28" s="6">
        <f t="shared" si="2"/>
        <v>0.67436489607390304</v>
      </c>
      <c r="X28" s="6">
        <f t="shared" si="5"/>
        <v>1.098193021073903</v>
      </c>
      <c r="Y28" s="6">
        <f t="shared" si="3"/>
        <v>0.11451942740286299</v>
      </c>
      <c r="Z28" s="6">
        <f t="shared" si="4"/>
        <v>0.14426877470355731</v>
      </c>
      <c r="AA28" s="6">
        <f t="shared" si="6"/>
        <v>0.35103926096997695</v>
      </c>
    </row>
    <row r="29" spans="1:27" x14ac:dyDescent="0.2">
      <c r="A29" s="3" t="s">
        <v>98</v>
      </c>
      <c r="B29" s="3">
        <v>1994</v>
      </c>
      <c r="C29" s="3">
        <v>1</v>
      </c>
      <c r="D29" s="3" t="s">
        <v>88</v>
      </c>
      <c r="E29" s="3" t="s">
        <v>3</v>
      </c>
      <c r="F29" s="3">
        <v>419</v>
      </c>
      <c r="G29" s="3">
        <v>79</v>
      </c>
      <c r="H29" s="3">
        <v>165</v>
      </c>
      <c r="I29" s="3">
        <v>35</v>
      </c>
      <c r="J29" s="3">
        <v>1</v>
      </c>
      <c r="K29" s="3">
        <v>12</v>
      </c>
      <c r="L29" s="3">
        <v>64</v>
      </c>
      <c r="M29" s="3">
        <v>48</v>
      </c>
      <c r="N29" s="3">
        <v>19</v>
      </c>
      <c r="O29" s="3" t="s">
        <v>50</v>
      </c>
      <c r="P29" s="3" t="s">
        <v>31</v>
      </c>
      <c r="Q29" s="3" t="s">
        <v>30</v>
      </c>
      <c r="R29" s="3" t="s">
        <v>32</v>
      </c>
      <c r="S29" s="3" t="s">
        <v>54</v>
      </c>
      <c r="T29" s="3" t="s">
        <v>39</v>
      </c>
      <c r="U29" s="6">
        <f t="shared" si="0"/>
        <v>0.3937947494033413</v>
      </c>
      <c r="V29" s="6">
        <f t="shared" si="1"/>
        <v>0.47142857142857142</v>
      </c>
      <c r="W29" s="6">
        <f t="shared" si="2"/>
        <v>0.56801909307875897</v>
      </c>
      <c r="X29" s="6">
        <f t="shared" si="5"/>
        <v>1.0394476645073305</v>
      </c>
      <c r="Y29" s="6">
        <f t="shared" si="3"/>
        <v>0.10278372591006424</v>
      </c>
      <c r="Z29" s="6">
        <f t="shared" si="4"/>
        <v>4.3378995433789952E-2</v>
      </c>
      <c r="AA29" s="6">
        <f t="shared" si="6"/>
        <v>0.17422434367541767</v>
      </c>
    </row>
    <row r="30" spans="1:27" x14ac:dyDescent="0.2">
      <c r="A30" s="2" t="s">
        <v>121</v>
      </c>
      <c r="B30" s="2">
        <v>1994</v>
      </c>
      <c r="C30" s="2">
        <v>1</v>
      </c>
      <c r="D30" s="2" t="s">
        <v>60</v>
      </c>
      <c r="E30" s="2" t="s">
        <v>3</v>
      </c>
      <c r="F30" s="2">
        <v>397</v>
      </c>
      <c r="G30" s="2">
        <v>52</v>
      </c>
      <c r="H30" s="2">
        <v>129</v>
      </c>
      <c r="I30" s="2">
        <v>27</v>
      </c>
      <c r="J30" s="2">
        <v>1</v>
      </c>
      <c r="K30" s="2">
        <v>12</v>
      </c>
      <c r="L30" s="2">
        <v>55</v>
      </c>
      <c r="M30" s="2">
        <v>45</v>
      </c>
      <c r="N30" s="2">
        <v>26</v>
      </c>
      <c r="O30" s="2" t="s">
        <v>38</v>
      </c>
      <c r="P30" s="2" t="s">
        <v>30</v>
      </c>
      <c r="Q30" s="2" t="s">
        <v>28</v>
      </c>
      <c r="R30" s="2" t="s">
        <v>33</v>
      </c>
      <c r="S30" s="2" t="s">
        <v>42</v>
      </c>
      <c r="T30" s="2" t="s">
        <v>34</v>
      </c>
      <c r="U30" s="6">
        <f t="shared" si="0"/>
        <v>0.32493702770780858</v>
      </c>
      <c r="V30" s="6">
        <f t="shared" si="1"/>
        <v>0.40740740740740738</v>
      </c>
      <c r="W30" s="6">
        <f t="shared" si="2"/>
        <v>0.48866498740554154</v>
      </c>
      <c r="X30" s="6">
        <f t="shared" si="5"/>
        <v>0.89607239481294898</v>
      </c>
      <c r="Y30" s="6">
        <f t="shared" si="3"/>
        <v>0.10180995475113122</v>
      </c>
      <c r="Z30" s="6">
        <f t="shared" si="4"/>
        <v>6.1465721040189124E-2</v>
      </c>
      <c r="AA30" s="6">
        <f t="shared" si="6"/>
        <v>0.16372795969773296</v>
      </c>
    </row>
    <row r="31" spans="1:27" x14ac:dyDescent="0.2">
      <c r="A31" s="3" t="s">
        <v>140</v>
      </c>
      <c r="B31" s="3">
        <v>1994</v>
      </c>
      <c r="C31" s="3">
        <v>1</v>
      </c>
      <c r="D31" s="3" t="s">
        <v>85</v>
      </c>
      <c r="E31" s="3" t="s">
        <v>3</v>
      </c>
      <c r="F31" s="3">
        <v>352</v>
      </c>
      <c r="G31" s="3">
        <v>61</v>
      </c>
      <c r="H31" s="3">
        <v>110</v>
      </c>
      <c r="I31" s="3">
        <v>16</v>
      </c>
      <c r="J31" s="3">
        <v>2</v>
      </c>
      <c r="K31" s="3">
        <v>19</v>
      </c>
      <c r="L31" s="3">
        <v>59</v>
      </c>
      <c r="M31" s="3">
        <v>69</v>
      </c>
      <c r="N31" s="3">
        <v>45</v>
      </c>
      <c r="O31" s="3" t="s">
        <v>32</v>
      </c>
      <c r="P31" s="3" t="s">
        <v>31</v>
      </c>
      <c r="Q31" s="3" t="s">
        <v>28</v>
      </c>
      <c r="R31" s="3" t="s">
        <v>30</v>
      </c>
      <c r="S31" s="3" t="s">
        <v>39</v>
      </c>
      <c r="T31" s="3" t="s">
        <v>42</v>
      </c>
      <c r="U31" s="6">
        <f t="shared" si="0"/>
        <v>0.3125</v>
      </c>
      <c r="V31" s="6">
        <f t="shared" si="1"/>
        <v>0.43356643356643354</v>
      </c>
      <c r="W31" s="6">
        <f t="shared" si="2"/>
        <v>0.53125</v>
      </c>
      <c r="X31" s="6">
        <f t="shared" si="5"/>
        <v>0.96481643356643354</v>
      </c>
      <c r="Y31" s="6">
        <f t="shared" si="3"/>
        <v>0.16389548693586697</v>
      </c>
      <c r="Z31" s="6">
        <f t="shared" si="4"/>
        <v>0.11335012594458438</v>
      </c>
      <c r="AA31" s="6">
        <f t="shared" si="6"/>
        <v>0.21875</v>
      </c>
    </row>
    <row r="32" spans="1:27" x14ac:dyDescent="0.2">
      <c r="A32" s="2" t="s">
        <v>102</v>
      </c>
      <c r="B32" s="2">
        <v>1994</v>
      </c>
      <c r="C32" s="2">
        <v>1</v>
      </c>
      <c r="D32" s="2" t="s">
        <v>71</v>
      </c>
      <c r="E32" s="2" t="s">
        <v>6</v>
      </c>
      <c r="F32" s="2"/>
      <c r="G32" s="2"/>
      <c r="H32" s="2"/>
      <c r="I32" s="2"/>
      <c r="J32" s="2"/>
      <c r="K32" s="2"/>
      <c r="L32" s="2"/>
      <c r="M32" s="2"/>
      <c r="N32" s="2"/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  <c r="T32" s="2" t="s">
        <v>30</v>
      </c>
      <c r="U32" s="6" t="e">
        <f t="shared" si="0"/>
        <v>#DIV/0!</v>
      </c>
      <c r="V32" s="6" t="e">
        <f t="shared" si="1"/>
        <v>#VALUE!</v>
      </c>
      <c r="W32" s="6" t="e">
        <f t="shared" si="2"/>
        <v>#DIV/0!</v>
      </c>
      <c r="X32" s="6" t="e">
        <f t="shared" si="5"/>
        <v>#VALUE!</v>
      </c>
      <c r="Y32" s="6" t="e">
        <f t="shared" si="3"/>
        <v>#DIV/0!</v>
      </c>
      <c r="Z32" s="6" t="e">
        <f t="shared" si="4"/>
        <v>#DIV/0!</v>
      </c>
      <c r="AA32" s="6" t="e">
        <f t="shared" si="6"/>
        <v>#DIV/0!</v>
      </c>
    </row>
    <row r="33" spans="1:27" x14ac:dyDescent="0.2">
      <c r="A33" s="3" t="s">
        <v>113</v>
      </c>
      <c r="B33" s="3">
        <v>1994</v>
      </c>
      <c r="C33" s="3">
        <v>1</v>
      </c>
      <c r="D33" s="3" t="s">
        <v>85</v>
      </c>
      <c r="E33" s="3" t="s">
        <v>3</v>
      </c>
      <c r="F33" s="3">
        <v>63</v>
      </c>
      <c r="G33" s="3">
        <v>5</v>
      </c>
      <c r="H33" s="3">
        <v>14</v>
      </c>
      <c r="I33" s="3">
        <v>2</v>
      </c>
      <c r="J33" s="3">
        <v>0</v>
      </c>
      <c r="K33" s="3">
        <v>0</v>
      </c>
      <c r="L33" s="3">
        <v>2</v>
      </c>
      <c r="M33" s="3">
        <v>1</v>
      </c>
      <c r="N33" s="3">
        <v>19</v>
      </c>
      <c r="O33" s="3" t="s">
        <v>28</v>
      </c>
      <c r="P33" s="3" t="s">
        <v>28</v>
      </c>
      <c r="Q33" s="3" t="s">
        <v>42</v>
      </c>
      <c r="R33" s="3" t="s">
        <v>28</v>
      </c>
      <c r="S33" s="3" t="s">
        <v>31</v>
      </c>
      <c r="T33" s="3" t="s">
        <v>30</v>
      </c>
      <c r="U33" s="6">
        <f t="shared" si="0"/>
        <v>0.22222222222222221</v>
      </c>
      <c r="V33" s="6">
        <f t="shared" si="1"/>
        <v>0.234375</v>
      </c>
      <c r="W33" s="6">
        <f t="shared" si="2"/>
        <v>0.25396825396825395</v>
      </c>
      <c r="X33" s="6">
        <f t="shared" si="5"/>
        <v>0.48834325396825395</v>
      </c>
      <c r="Y33" s="6">
        <f t="shared" si="3"/>
        <v>1.5625E-2</v>
      </c>
      <c r="Z33" s="6">
        <f t="shared" si="4"/>
        <v>0.23170731707317074</v>
      </c>
      <c r="AA33" s="6">
        <f t="shared" si="6"/>
        <v>3.1746031746031744E-2</v>
      </c>
    </row>
    <row r="34" spans="1:27" x14ac:dyDescent="0.2">
      <c r="A34" s="2" t="s">
        <v>163</v>
      </c>
      <c r="B34" s="2">
        <v>1994</v>
      </c>
      <c r="C34" s="2">
        <v>1</v>
      </c>
      <c r="D34" s="2" t="s">
        <v>80</v>
      </c>
      <c r="E34" s="2" t="s">
        <v>3</v>
      </c>
      <c r="F34" s="2">
        <v>405</v>
      </c>
      <c r="G34" s="2">
        <v>64</v>
      </c>
      <c r="H34" s="2">
        <v>129</v>
      </c>
      <c r="I34" s="2">
        <v>18</v>
      </c>
      <c r="J34" s="2">
        <v>0</v>
      </c>
      <c r="K34" s="2">
        <v>24</v>
      </c>
      <c r="L34" s="2">
        <v>92</v>
      </c>
      <c r="M34" s="2">
        <v>33</v>
      </c>
      <c r="N34" s="2">
        <v>65</v>
      </c>
      <c r="O34" s="2" t="s">
        <v>37</v>
      </c>
      <c r="P34" s="2" t="s">
        <v>30</v>
      </c>
      <c r="Q34" s="2" t="s">
        <v>28</v>
      </c>
      <c r="R34" s="2" t="s">
        <v>31</v>
      </c>
      <c r="S34" s="2" t="s">
        <v>40</v>
      </c>
      <c r="T34" s="2" t="s">
        <v>31</v>
      </c>
      <c r="U34" s="6">
        <f t="shared" ref="U34:U65" si="7">H34/F34</f>
        <v>0.31851851851851853</v>
      </c>
      <c r="V34" s="6">
        <f t="shared" ref="V34:V65" si="8">(H34+M34+O34+P34)/(F34+M34+O34+P34+R34)</f>
        <v>0.38359201773835921</v>
      </c>
      <c r="W34" s="6">
        <f t="shared" ref="W34:W65" si="9">((H34-I34-J34-K34)+(2*I34)+(3*J34)+(4*K34))/F34</f>
        <v>0.54074074074074074</v>
      </c>
      <c r="X34" s="6">
        <f t="shared" si="5"/>
        <v>0.9243327584790999</v>
      </c>
      <c r="Y34" s="6">
        <f t="shared" ref="Y34:Y65" si="10">M34/(M34+F34)</f>
        <v>7.5342465753424653E-2</v>
      </c>
      <c r="Z34" s="6">
        <f t="shared" ref="Z34:Z65" si="11">N34/(N34+F34)</f>
        <v>0.13829787234042554</v>
      </c>
      <c r="AA34" s="6">
        <f t="shared" si="6"/>
        <v>0.22222222222222221</v>
      </c>
    </row>
    <row r="35" spans="1:27" x14ac:dyDescent="0.2">
      <c r="A35" s="3" t="s">
        <v>104</v>
      </c>
      <c r="B35" s="3">
        <v>1994</v>
      </c>
      <c r="C35" s="3">
        <v>1</v>
      </c>
      <c r="D35" s="3" t="s">
        <v>81</v>
      </c>
      <c r="E35" s="3" t="s">
        <v>6</v>
      </c>
      <c r="F35" s="3">
        <v>439</v>
      </c>
      <c r="G35" s="3">
        <v>79</v>
      </c>
      <c r="H35" s="3">
        <v>139</v>
      </c>
      <c r="I35" s="3">
        <v>32</v>
      </c>
      <c r="J35" s="3">
        <v>3</v>
      </c>
      <c r="K35" s="3">
        <v>20</v>
      </c>
      <c r="L35" s="3">
        <v>112</v>
      </c>
      <c r="M35" s="3">
        <v>28</v>
      </c>
      <c r="N35" s="3">
        <v>47</v>
      </c>
      <c r="O35" s="3" t="s">
        <v>41</v>
      </c>
      <c r="P35" s="3" t="s">
        <v>41</v>
      </c>
      <c r="Q35" s="3" t="s">
        <v>30</v>
      </c>
      <c r="R35" s="3" t="s">
        <v>41</v>
      </c>
      <c r="S35" s="3" t="s">
        <v>40</v>
      </c>
      <c r="T35" s="3" t="s">
        <v>42</v>
      </c>
      <c r="U35" s="6">
        <f t="shared" si="7"/>
        <v>0.31662870159453305</v>
      </c>
      <c r="V35" s="6">
        <f t="shared" si="8"/>
        <v>0.37090163934426229</v>
      </c>
      <c r="W35" s="6">
        <f t="shared" si="9"/>
        <v>0.53986332574031892</v>
      </c>
      <c r="X35" s="6">
        <f t="shared" si="5"/>
        <v>0.91076496508458127</v>
      </c>
      <c r="Y35" s="6">
        <f t="shared" si="10"/>
        <v>5.9957173447537475E-2</v>
      </c>
      <c r="Z35" s="6">
        <f t="shared" si="11"/>
        <v>9.6707818930041156E-2</v>
      </c>
      <c r="AA35" s="6">
        <f t="shared" si="6"/>
        <v>0.22323462414578588</v>
      </c>
    </row>
    <row r="36" spans="1:27" x14ac:dyDescent="0.2">
      <c r="A36" s="2" t="s">
        <v>95</v>
      </c>
      <c r="B36" s="2">
        <v>1994</v>
      </c>
      <c r="C36" s="2">
        <v>1</v>
      </c>
      <c r="D36" s="2" t="s">
        <v>78</v>
      </c>
      <c r="E36" s="2" t="s">
        <v>6</v>
      </c>
      <c r="F36" s="2">
        <v>444</v>
      </c>
      <c r="G36" s="2">
        <v>71</v>
      </c>
      <c r="H36" s="2">
        <v>140</v>
      </c>
      <c r="I36" s="2">
        <v>19</v>
      </c>
      <c r="J36" s="2">
        <v>3</v>
      </c>
      <c r="K36" s="2">
        <v>13</v>
      </c>
      <c r="L36" s="2">
        <v>75</v>
      </c>
      <c r="M36" s="2">
        <v>32</v>
      </c>
      <c r="N36" s="2">
        <v>41</v>
      </c>
      <c r="O36" s="2" t="s">
        <v>34</v>
      </c>
      <c r="P36" s="2" t="s">
        <v>33</v>
      </c>
      <c r="Q36" s="2" t="s">
        <v>28</v>
      </c>
      <c r="R36" s="2" t="s">
        <v>33</v>
      </c>
      <c r="S36" s="2" t="s">
        <v>47</v>
      </c>
      <c r="T36" s="2" t="s">
        <v>36</v>
      </c>
      <c r="U36" s="6">
        <f t="shared" si="7"/>
        <v>0.31531531531531531</v>
      </c>
      <c r="V36" s="6">
        <f t="shared" si="8"/>
        <v>0.36755646817248461</v>
      </c>
      <c r="W36" s="6">
        <f t="shared" si="9"/>
        <v>0.45945945945945948</v>
      </c>
      <c r="X36" s="6">
        <f t="shared" si="5"/>
        <v>0.82701592763194409</v>
      </c>
      <c r="Y36" s="6">
        <f t="shared" si="10"/>
        <v>6.7226890756302518E-2</v>
      </c>
      <c r="Z36" s="6">
        <f t="shared" si="11"/>
        <v>8.4536082474226809E-2</v>
      </c>
      <c r="AA36" s="6">
        <f t="shared" si="6"/>
        <v>0.14414414414414417</v>
      </c>
    </row>
    <row r="37" spans="1:27" x14ac:dyDescent="0.2">
      <c r="A37" s="3" t="s">
        <v>155</v>
      </c>
      <c r="B37" s="3">
        <v>1994</v>
      </c>
      <c r="C37" s="3">
        <v>1</v>
      </c>
      <c r="D37" s="3" t="s">
        <v>90</v>
      </c>
      <c r="E37" s="3" t="s">
        <v>6</v>
      </c>
      <c r="F37" s="3">
        <v>363</v>
      </c>
      <c r="G37" s="3">
        <v>56</v>
      </c>
      <c r="H37" s="3">
        <v>108</v>
      </c>
      <c r="I37" s="3">
        <v>19</v>
      </c>
      <c r="J37" s="3">
        <v>1</v>
      </c>
      <c r="K37" s="3">
        <v>16</v>
      </c>
      <c r="L37" s="3">
        <v>57</v>
      </c>
      <c r="M37" s="3">
        <v>31</v>
      </c>
      <c r="N37" s="3">
        <v>42</v>
      </c>
      <c r="O37" s="3" t="s">
        <v>32</v>
      </c>
      <c r="P37" s="3" t="s">
        <v>41</v>
      </c>
      <c r="Q37" s="3" t="s">
        <v>28</v>
      </c>
      <c r="R37" s="3" t="s">
        <v>33</v>
      </c>
      <c r="S37" s="3" t="s">
        <v>37</v>
      </c>
      <c r="T37" s="3" t="s">
        <v>31</v>
      </c>
      <c r="U37" s="6">
        <f t="shared" si="7"/>
        <v>0.2975206611570248</v>
      </c>
      <c r="V37" s="6">
        <f t="shared" si="8"/>
        <v>0.36829268292682926</v>
      </c>
      <c r="W37" s="6">
        <f t="shared" si="9"/>
        <v>0.48760330578512395</v>
      </c>
      <c r="X37" s="6">
        <f t="shared" si="5"/>
        <v>0.85589598871195327</v>
      </c>
      <c r="Y37" s="6">
        <f t="shared" si="10"/>
        <v>7.8680203045685279E-2</v>
      </c>
      <c r="Z37" s="6">
        <f t="shared" si="11"/>
        <v>0.1037037037037037</v>
      </c>
      <c r="AA37" s="6">
        <f t="shared" si="6"/>
        <v>0.19008264462809915</v>
      </c>
    </row>
    <row r="38" spans="1:27" x14ac:dyDescent="0.2">
      <c r="A38" s="2" t="s">
        <v>94</v>
      </c>
      <c r="B38" s="2">
        <v>1994</v>
      </c>
      <c r="C38" s="2">
        <v>1</v>
      </c>
      <c r="D38" s="2" t="s">
        <v>60</v>
      </c>
      <c r="E38" s="2" t="s">
        <v>3</v>
      </c>
      <c r="F38" s="2">
        <v>381</v>
      </c>
      <c r="G38" s="2">
        <v>51</v>
      </c>
      <c r="H38" s="2">
        <v>100</v>
      </c>
      <c r="I38" s="2">
        <v>18</v>
      </c>
      <c r="J38" s="2">
        <v>3</v>
      </c>
      <c r="K38" s="2">
        <v>3</v>
      </c>
      <c r="L38" s="2">
        <v>30</v>
      </c>
      <c r="M38" s="2">
        <v>38</v>
      </c>
      <c r="N38" s="2">
        <v>26</v>
      </c>
      <c r="O38" s="2" t="s">
        <v>34</v>
      </c>
      <c r="P38" s="2" t="s">
        <v>28</v>
      </c>
      <c r="Q38" s="2" t="s">
        <v>37</v>
      </c>
      <c r="R38" s="2" t="s">
        <v>33</v>
      </c>
      <c r="S38" s="2" t="s">
        <v>34</v>
      </c>
      <c r="T38" s="2" t="s">
        <v>36</v>
      </c>
      <c r="U38" s="6">
        <f t="shared" si="7"/>
        <v>0.26246719160104987</v>
      </c>
      <c r="V38" s="6">
        <f t="shared" si="8"/>
        <v>0.33098591549295775</v>
      </c>
      <c r="W38" s="6">
        <f t="shared" si="9"/>
        <v>0.34908136482939633</v>
      </c>
      <c r="X38" s="6">
        <f t="shared" si="5"/>
        <v>0.68006728032235408</v>
      </c>
      <c r="Y38" s="6">
        <f t="shared" si="10"/>
        <v>9.0692124105011929E-2</v>
      </c>
      <c r="Z38" s="6">
        <f t="shared" si="11"/>
        <v>6.3882063882063883E-2</v>
      </c>
      <c r="AA38" s="6">
        <f t="shared" si="6"/>
        <v>8.6614173228346469E-2</v>
      </c>
    </row>
    <row r="39" spans="1:27" x14ac:dyDescent="0.2">
      <c r="A39" s="3" t="s">
        <v>151</v>
      </c>
      <c r="B39" s="3">
        <v>1994</v>
      </c>
      <c r="C39" s="3">
        <v>1</v>
      </c>
      <c r="D39" s="3" t="s">
        <v>69</v>
      </c>
      <c r="E39" s="3" t="s">
        <v>6</v>
      </c>
      <c r="F39" s="3">
        <v>399</v>
      </c>
      <c r="G39" s="3">
        <v>106</v>
      </c>
      <c r="H39" s="3">
        <v>141</v>
      </c>
      <c r="I39" s="3">
        <v>34</v>
      </c>
      <c r="J39" s="3">
        <v>1</v>
      </c>
      <c r="K39" s="3">
        <v>38</v>
      </c>
      <c r="L39" s="3">
        <v>101</v>
      </c>
      <c r="M39" s="3">
        <v>109</v>
      </c>
      <c r="N39" s="3">
        <v>61</v>
      </c>
      <c r="O39" s="3" t="s">
        <v>38</v>
      </c>
      <c r="P39" s="3" t="s">
        <v>31</v>
      </c>
      <c r="Q39" s="3" t="s">
        <v>28</v>
      </c>
      <c r="R39" s="3" t="s">
        <v>41</v>
      </c>
      <c r="S39" s="3" t="s">
        <v>44</v>
      </c>
      <c r="T39" s="3" t="s">
        <v>34</v>
      </c>
      <c r="U39" s="6">
        <f t="shared" si="7"/>
        <v>0.35338345864661652</v>
      </c>
      <c r="V39" s="6">
        <f t="shared" si="8"/>
        <v>0.49905482041587901</v>
      </c>
      <c r="W39" s="6">
        <f t="shared" si="9"/>
        <v>0.72932330827067671</v>
      </c>
      <c r="X39" s="6">
        <f t="shared" si="5"/>
        <v>1.2283781286865558</v>
      </c>
      <c r="Y39" s="6">
        <f t="shared" si="10"/>
        <v>0.21456692913385828</v>
      </c>
      <c r="Z39" s="6">
        <f t="shared" si="11"/>
        <v>0.13260869565217392</v>
      </c>
      <c r="AA39" s="6">
        <f t="shared" si="6"/>
        <v>0.37593984962406019</v>
      </c>
    </row>
    <row r="40" spans="1:27" x14ac:dyDescent="0.2">
      <c r="A40" s="2" t="s">
        <v>126</v>
      </c>
      <c r="B40" s="2">
        <v>1994</v>
      </c>
      <c r="C40" s="2">
        <v>1</v>
      </c>
      <c r="D40" s="2" t="s">
        <v>79</v>
      </c>
      <c r="E40" s="2" t="s">
        <v>3</v>
      </c>
      <c r="F40" s="2">
        <v>445</v>
      </c>
      <c r="G40" s="2">
        <v>74</v>
      </c>
      <c r="H40" s="2">
        <v>119</v>
      </c>
      <c r="I40" s="2">
        <v>16</v>
      </c>
      <c r="J40" s="2">
        <v>3</v>
      </c>
      <c r="K40" s="2">
        <v>43</v>
      </c>
      <c r="L40" s="2">
        <v>96</v>
      </c>
      <c r="M40" s="2">
        <v>33</v>
      </c>
      <c r="N40" s="2">
        <v>87</v>
      </c>
      <c r="O40" s="2" t="s">
        <v>41</v>
      </c>
      <c r="P40" s="2" t="s">
        <v>31</v>
      </c>
      <c r="Q40" s="2" t="s">
        <v>28</v>
      </c>
      <c r="R40" s="2" t="s">
        <v>34</v>
      </c>
      <c r="S40" s="2" t="s">
        <v>40</v>
      </c>
      <c r="T40" s="2" t="s">
        <v>32</v>
      </c>
      <c r="U40" s="6">
        <f t="shared" si="7"/>
        <v>0.26741573033707866</v>
      </c>
      <c r="V40" s="6">
        <f t="shared" si="8"/>
        <v>0.32857142857142857</v>
      </c>
      <c r="W40" s="6">
        <f t="shared" si="9"/>
        <v>0.6067415730337079</v>
      </c>
      <c r="X40" s="6">
        <f t="shared" si="5"/>
        <v>0.93531300160513653</v>
      </c>
      <c r="Y40" s="6">
        <f t="shared" si="10"/>
        <v>6.903765690376569E-2</v>
      </c>
      <c r="Z40" s="6">
        <f t="shared" si="11"/>
        <v>0.16353383458646617</v>
      </c>
      <c r="AA40" s="6">
        <f t="shared" si="6"/>
        <v>0.33932584269662924</v>
      </c>
    </row>
    <row r="41" spans="1:27" x14ac:dyDescent="0.2">
      <c r="A41" s="3" t="s">
        <v>145</v>
      </c>
      <c r="B41" s="3">
        <v>1995</v>
      </c>
      <c r="C41" s="3">
        <v>1</v>
      </c>
      <c r="D41" s="3" t="s">
        <v>66</v>
      </c>
      <c r="E41" s="3" t="s">
        <v>6</v>
      </c>
      <c r="F41" s="3">
        <v>557</v>
      </c>
      <c r="G41" s="3">
        <v>87</v>
      </c>
      <c r="H41" s="3">
        <v>175</v>
      </c>
      <c r="I41" s="3">
        <v>28</v>
      </c>
      <c r="J41" s="3">
        <v>2</v>
      </c>
      <c r="K41" s="3">
        <v>15</v>
      </c>
      <c r="L41" s="3">
        <v>90</v>
      </c>
      <c r="M41" s="3">
        <v>35</v>
      </c>
      <c r="N41" s="3">
        <v>31</v>
      </c>
      <c r="O41" s="3" t="s">
        <v>36</v>
      </c>
      <c r="P41" s="3" t="s">
        <v>34</v>
      </c>
      <c r="Q41" s="3" t="s">
        <v>28</v>
      </c>
      <c r="R41" s="3" t="s">
        <v>32</v>
      </c>
      <c r="S41" s="3" t="s">
        <v>44</v>
      </c>
      <c r="T41" s="3" t="s">
        <v>33</v>
      </c>
      <c r="U41" s="6">
        <f t="shared" si="7"/>
        <v>0.31418312387791741</v>
      </c>
      <c r="V41" s="6">
        <f t="shared" si="8"/>
        <v>0.36138613861386137</v>
      </c>
      <c r="W41" s="6">
        <f t="shared" si="9"/>
        <v>0.4524236983842011</v>
      </c>
      <c r="X41" s="6">
        <f t="shared" si="5"/>
        <v>0.81380983699806242</v>
      </c>
      <c r="Y41" s="6">
        <f t="shared" si="10"/>
        <v>5.9121621621621621E-2</v>
      </c>
      <c r="Z41" s="6">
        <f t="shared" si="11"/>
        <v>5.2721088435374153E-2</v>
      </c>
      <c r="AA41" s="6">
        <f t="shared" si="6"/>
        <v>0.13824057450628369</v>
      </c>
    </row>
    <row r="42" spans="1:27" x14ac:dyDescent="0.2">
      <c r="A42" s="2" t="s">
        <v>136</v>
      </c>
      <c r="B42" s="2">
        <v>1995</v>
      </c>
      <c r="C42" s="2">
        <v>1</v>
      </c>
      <c r="D42" s="2" t="s">
        <v>66</v>
      </c>
      <c r="E42" s="2" t="s">
        <v>6</v>
      </c>
      <c r="F42" s="2">
        <v>546</v>
      </c>
      <c r="G42" s="2">
        <v>121</v>
      </c>
      <c r="H42" s="2">
        <v>173</v>
      </c>
      <c r="I42" s="2">
        <v>52</v>
      </c>
      <c r="J42" s="2">
        <v>1</v>
      </c>
      <c r="K42" s="2">
        <v>50</v>
      </c>
      <c r="L42" s="2">
        <v>126</v>
      </c>
      <c r="M42" s="2">
        <v>73</v>
      </c>
      <c r="N42" s="2">
        <v>80</v>
      </c>
      <c r="O42" s="2" t="s">
        <v>32</v>
      </c>
      <c r="P42" s="2" t="s">
        <v>36</v>
      </c>
      <c r="Q42" s="2" t="s">
        <v>28</v>
      </c>
      <c r="R42" s="2" t="s">
        <v>33</v>
      </c>
      <c r="S42" s="2" t="s">
        <v>57</v>
      </c>
      <c r="T42" s="2" t="s">
        <v>41</v>
      </c>
      <c r="U42" s="6">
        <f t="shared" si="7"/>
        <v>0.31684981684981683</v>
      </c>
      <c r="V42" s="6">
        <f t="shared" si="8"/>
        <v>0.40536277602523657</v>
      </c>
      <c r="W42" s="6">
        <f t="shared" si="9"/>
        <v>0.69047619047619047</v>
      </c>
      <c r="X42" s="6">
        <f t="shared" si="5"/>
        <v>1.095838966501427</v>
      </c>
      <c r="Y42" s="6">
        <f t="shared" si="10"/>
        <v>0.11793214862681745</v>
      </c>
      <c r="Z42" s="6">
        <f t="shared" si="11"/>
        <v>0.12779552715654952</v>
      </c>
      <c r="AA42" s="6">
        <f t="shared" si="6"/>
        <v>0.37362637362637363</v>
      </c>
    </row>
    <row r="43" spans="1:27" x14ac:dyDescent="0.2">
      <c r="A43" s="3" t="s">
        <v>130</v>
      </c>
      <c r="B43" s="3">
        <v>1995</v>
      </c>
      <c r="C43" s="3">
        <v>1</v>
      </c>
      <c r="D43" s="3" t="s">
        <v>82</v>
      </c>
      <c r="E43" s="3" t="s">
        <v>3</v>
      </c>
      <c r="F43" s="3">
        <v>553</v>
      </c>
      <c r="G43" s="3">
        <v>123</v>
      </c>
      <c r="H43" s="3">
        <v>167</v>
      </c>
      <c r="I43" s="3">
        <v>30</v>
      </c>
      <c r="J43" s="3">
        <v>2</v>
      </c>
      <c r="K43" s="3">
        <v>22</v>
      </c>
      <c r="L43" s="3">
        <v>77</v>
      </c>
      <c r="M43" s="3">
        <v>80</v>
      </c>
      <c r="N43" s="3">
        <v>85</v>
      </c>
      <c r="O43" s="3" t="s">
        <v>30</v>
      </c>
      <c r="P43" s="3" t="s">
        <v>64</v>
      </c>
      <c r="Q43" s="3" t="s">
        <v>40</v>
      </c>
      <c r="R43" s="3" t="s">
        <v>41</v>
      </c>
      <c r="S43" s="3" t="s">
        <v>36</v>
      </c>
      <c r="T43" s="3" t="s">
        <v>33</v>
      </c>
      <c r="U43" s="6">
        <f t="shared" si="7"/>
        <v>0.30198915009041594</v>
      </c>
      <c r="V43" s="6">
        <f t="shared" si="8"/>
        <v>0.40723981900452488</v>
      </c>
      <c r="W43" s="6">
        <f t="shared" si="9"/>
        <v>0.48282097649186256</v>
      </c>
      <c r="X43" s="6">
        <f t="shared" si="5"/>
        <v>0.8900607954963875</v>
      </c>
      <c r="Y43" s="6">
        <f t="shared" si="10"/>
        <v>0.1263823064770932</v>
      </c>
      <c r="Z43" s="6">
        <f t="shared" si="11"/>
        <v>0.13322884012539185</v>
      </c>
      <c r="AA43" s="6">
        <f t="shared" si="6"/>
        <v>0.18083182640144663</v>
      </c>
    </row>
    <row r="44" spans="1:27" x14ac:dyDescent="0.2">
      <c r="A44" s="2" t="s">
        <v>97</v>
      </c>
      <c r="B44" s="2">
        <v>1995</v>
      </c>
      <c r="C44" s="2">
        <v>1</v>
      </c>
      <c r="D44" s="2" t="s">
        <v>71</v>
      </c>
      <c r="E44" s="2" t="s">
        <v>6</v>
      </c>
      <c r="F44" s="2">
        <v>460</v>
      </c>
      <c r="G44" s="2">
        <v>76</v>
      </c>
      <c r="H44" s="2">
        <v>149</v>
      </c>
      <c r="I44" s="2">
        <v>22</v>
      </c>
      <c r="J44" s="2">
        <v>4</v>
      </c>
      <c r="K44" s="2">
        <v>5</v>
      </c>
      <c r="L44" s="2">
        <v>63</v>
      </c>
      <c r="M44" s="2">
        <v>74</v>
      </c>
      <c r="N44" s="2">
        <v>50</v>
      </c>
      <c r="O44" s="2" t="s">
        <v>32</v>
      </c>
      <c r="P44" s="2" t="s">
        <v>28</v>
      </c>
      <c r="Q44" s="2" t="s">
        <v>28</v>
      </c>
      <c r="R44" s="2" t="s">
        <v>41</v>
      </c>
      <c r="S44" s="2" t="s">
        <v>35</v>
      </c>
      <c r="T44" s="2" t="s">
        <v>32</v>
      </c>
      <c r="U44" s="6">
        <f t="shared" si="7"/>
        <v>0.32391304347826089</v>
      </c>
      <c r="V44" s="6">
        <f t="shared" si="8"/>
        <v>0.4175824175824176</v>
      </c>
      <c r="W44" s="6">
        <f t="shared" si="9"/>
        <v>0.42173913043478262</v>
      </c>
      <c r="X44" s="6">
        <f t="shared" si="5"/>
        <v>0.83932154801720027</v>
      </c>
      <c r="Y44" s="6">
        <f t="shared" si="10"/>
        <v>0.13857677902621723</v>
      </c>
      <c r="Z44" s="6">
        <f t="shared" si="11"/>
        <v>9.8039215686274508E-2</v>
      </c>
      <c r="AA44" s="6">
        <f t="shared" si="6"/>
        <v>9.7826086956521729E-2</v>
      </c>
    </row>
    <row r="45" spans="1:27" x14ac:dyDescent="0.2">
      <c r="A45" s="3" t="s">
        <v>110</v>
      </c>
      <c r="B45" s="3">
        <v>1995</v>
      </c>
      <c r="C45" s="3">
        <v>1</v>
      </c>
      <c r="D45" s="3" t="s">
        <v>79</v>
      </c>
      <c r="E45" s="3" t="s">
        <v>3</v>
      </c>
      <c r="F45" s="3">
        <v>506</v>
      </c>
      <c r="G45" s="3">
        <v>109</v>
      </c>
      <c r="H45" s="3">
        <v>149</v>
      </c>
      <c r="I45" s="3">
        <v>30</v>
      </c>
      <c r="J45" s="3">
        <v>7</v>
      </c>
      <c r="K45" s="3">
        <v>33</v>
      </c>
      <c r="L45" s="3">
        <v>104</v>
      </c>
      <c r="M45" s="3">
        <v>120</v>
      </c>
      <c r="N45" s="3">
        <v>83</v>
      </c>
      <c r="O45" s="3" t="s">
        <v>64</v>
      </c>
      <c r="P45" s="3" t="s">
        <v>32</v>
      </c>
      <c r="Q45" s="3" t="s">
        <v>28</v>
      </c>
      <c r="R45" s="3" t="s">
        <v>33</v>
      </c>
      <c r="S45" s="3" t="s">
        <v>38</v>
      </c>
      <c r="T45" s="3" t="s">
        <v>41</v>
      </c>
      <c r="U45" s="6">
        <f t="shared" si="7"/>
        <v>0.29446640316205536</v>
      </c>
      <c r="V45" s="6">
        <f t="shared" si="8"/>
        <v>0.45053272450532722</v>
      </c>
      <c r="W45" s="6">
        <f t="shared" si="9"/>
        <v>0.57707509881422925</v>
      </c>
      <c r="X45" s="6">
        <f t="shared" si="5"/>
        <v>1.0276078233195565</v>
      </c>
      <c r="Y45" s="6">
        <f t="shared" si="10"/>
        <v>0.19169329073482427</v>
      </c>
      <c r="Z45" s="6">
        <f t="shared" si="11"/>
        <v>0.14091680814940577</v>
      </c>
      <c r="AA45" s="6">
        <f t="shared" si="6"/>
        <v>0.28260869565217389</v>
      </c>
    </row>
    <row r="46" spans="1:27" x14ac:dyDescent="0.2">
      <c r="A46" s="2" t="s">
        <v>153</v>
      </c>
      <c r="B46" s="2">
        <v>1995</v>
      </c>
      <c r="C46" s="2">
        <v>1</v>
      </c>
      <c r="D46" s="2" t="s">
        <v>164</v>
      </c>
      <c r="E46" s="2" t="s">
        <v>3</v>
      </c>
      <c r="F46" s="2">
        <v>527</v>
      </c>
      <c r="G46" s="2">
        <v>82</v>
      </c>
      <c r="H46" s="2">
        <v>163</v>
      </c>
      <c r="I46" s="2">
        <v>34</v>
      </c>
      <c r="J46" s="2">
        <v>2</v>
      </c>
      <c r="K46" s="2">
        <v>32</v>
      </c>
      <c r="L46" s="2">
        <v>90</v>
      </c>
      <c r="M46" s="2">
        <v>30</v>
      </c>
      <c r="N46" s="2">
        <v>87</v>
      </c>
      <c r="O46" s="2" t="s">
        <v>31</v>
      </c>
      <c r="P46" s="2" t="s">
        <v>33</v>
      </c>
      <c r="Q46" s="2" t="s">
        <v>33</v>
      </c>
      <c r="R46" s="2" t="s">
        <v>36</v>
      </c>
      <c r="S46" s="2" t="s">
        <v>44</v>
      </c>
      <c r="T46" s="2" t="s">
        <v>32</v>
      </c>
      <c r="U46" s="6">
        <f t="shared" si="7"/>
        <v>0.30929791271347251</v>
      </c>
      <c r="V46" s="6">
        <f t="shared" si="8"/>
        <v>0.34973637961335674</v>
      </c>
      <c r="W46" s="6">
        <f t="shared" si="9"/>
        <v>0.56356736242884253</v>
      </c>
      <c r="X46" s="6">
        <f t="shared" si="5"/>
        <v>0.91330374204219922</v>
      </c>
      <c r="Y46" s="6">
        <f t="shared" si="10"/>
        <v>5.385996409335727E-2</v>
      </c>
      <c r="Z46" s="6">
        <f t="shared" si="11"/>
        <v>0.14169381107491857</v>
      </c>
      <c r="AA46" s="6">
        <f t="shared" si="6"/>
        <v>0.25426944971537002</v>
      </c>
    </row>
    <row r="47" spans="1:27" x14ac:dyDescent="0.2">
      <c r="A47" s="3" t="s">
        <v>106</v>
      </c>
      <c r="B47" s="3">
        <v>1995</v>
      </c>
      <c r="C47" s="3">
        <v>1</v>
      </c>
      <c r="D47" s="3" t="s">
        <v>29</v>
      </c>
      <c r="E47" s="3" t="s">
        <v>3</v>
      </c>
      <c r="F47" s="3">
        <v>254</v>
      </c>
      <c r="G47" s="3">
        <v>37</v>
      </c>
      <c r="H47" s="3">
        <v>67</v>
      </c>
      <c r="I47" s="3">
        <v>15</v>
      </c>
      <c r="J47" s="3">
        <v>1</v>
      </c>
      <c r="K47" s="3">
        <v>2</v>
      </c>
      <c r="L47" s="3">
        <v>18</v>
      </c>
      <c r="M47" s="3">
        <v>33</v>
      </c>
      <c r="N47" s="3">
        <v>28</v>
      </c>
      <c r="O47" s="3" t="s">
        <v>31</v>
      </c>
      <c r="P47" s="3" t="s">
        <v>34</v>
      </c>
      <c r="Q47" s="3" t="s">
        <v>28</v>
      </c>
      <c r="R47" s="3" t="s">
        <v>31</v>
      </c>
      <c r="S47" s="3" t="s">
        <v>30</v>
      </c>
      <c r="T47" s="3" t="s">
        <v>39</v>
      </c>
      <c r="U47" s="6">
        <f t="shared" si="7"/>
        <v>0.26377952755905509</v>
      </c>
      <c r="V47" s="6">
        <f t="shared" si="8"/>
        <v>0.35714285714285715</v>
      </c>
      <c r="W47" s="6">
        <f t="shared" si="9"/>
        <v>0.3543307086614173</v>
      </c>
      <c r="X47" s="6">
        <f t="shared" si="5"/>
        <v>0.71147356580427445</v>
      </c>
      <c r="Y47" s="6">
        <f t="shared" si="10"/>
        <v>0.11498257839721254</v>
      </c>
      <c r="Z47" s="6">
        <f t="shared" si="11"/>
        <v>9.9290780141843976E-2</v>
      </c>
      <c r="AA47" s="6">
        <f t="shared" si="6"/>
        <v>9.055118110236221E-2</v>
      </c>
    </row>
    <row r="48" spans="1:27" x14ac:dyDescent="0.2">
      <c r="A48" s="2" t="s">
        <v>120</v>
      </c>
      <c r="B48" s="2">
        <v>1995</v>
      </c>
      <c r="C48" s="2">
        <v>1</v>
      </c>
      <c r="D48" s="2" t="s">
        <v>53</v>
      </c>
      <c r="E48" s="2" t="s">
        <v>3</v>
      </c>
      <c r="F48" s="2">
        <v>410</v>
      </c>
      <c r="G48" s="2">
        <v>79</v>
      </c>
      <c r="H48" s="2">
        <v>113</v>
      </c>
      <c r="I48" s="2">
        <v>19</v>
      </c>
      <c r="J48" s="2">
        <v>4</v>
      </c>
      <c r="K48" s="2">
        <v>29</v>
      </c>
      <c r="L48" s="2">
        <v>88</v>
      </c>
      <c r="M48" s="2">
        <v>74</v>
      </c>
      <c r="N48" s="2">
        <v>108</v>
      </c>
      <c r="O48" s="2" t="s">
        <v>32</v>
      </c>
      <c r="P48" s="2" t="s">
        <v>34</v>
      </c>
      <c r="Q48" s="2" t="s">
        <v>30</v>
      </c>
      <c r="R48" s="2" t="s">
        <v>32</v>
      </c>
      <c r="S48" s="2" t="s">
        <v>40</v>
      </c>
      <c r="T48" s="2" t="s">
        <v>37</v>
      </c>
      <c r="U48" s="6">
        <f t="shared" si="7"/>
        <v>0.275609756097561</v>
      </c>
      <c r="V48" s="6">
        <f t="shared" si="8"/>
        <v>0.39235412474849096</v>
      </c>
      <c r="W48" s="6">
        <f t="shared" si="9"/>
        <v>0.5536585365853659</v>
      </c>
      <c r="X48" s="6">
        <f t="shared" si="5"/>
        <v>0.94601266133385686</v>
      </c>
      <c r="Y48" s="6">
        <f t="shared" si="10"/>
        <v>0.15289256198347106</v>
      </c>
      <c r="Z48" s="6">
        <f t="shared" si="11"/>
        <v>0.20849420849420849</v>
      </c>
      <c r="AA48" s="6">
        <f t="shared" si="6"/>
        <v>0.2780487804878049</v>
      </c>
    </row>
    <row r="49" spans="1:27" x14ac:dyDescent="0.2">
      <c r="A49" s="3" t="s">
        <v>98</v>
      </c>
      <c r="B49" s="3">
        <v>1995</v>
      </c>
      <c r="C49" s="3">
        <v>1</v>
      </c>
      <c r="D49" s="3" t="s">
        <v>88</v>
      </c>
      <c r="E49" s="3" t="s">
        <v>3</v>
      </c>
      <c r="F49" s="3">
        <v>535</v>
      </c>
      <c r="G49" s="3">
        <v>82</v>
      </c>
      <c r="H49" s="3">
        <v>197</v>
      </c>
      <c r="I49" s="3">
        <v>33</v>
      </c>
      <c r="J49" s="3">
        <v>1</v>
      </c>
      <c r="K49" s="3">
        <v>9</v>
      </c>
      <c r="L49" s="3">
        <v>90</v>
      </c>
      <c r="M49" s="3">
        <v>35</v>
      </c>
      <c r="N49" s="3">
        <v>15</v>
      </c>
      <c r="O49" s="3" t="s">
        <v>37</v>
      </c>
      <c r="P49" s="3" t="s">
        <v>30</v>
      </c>
      <c r="Q49" s="3" t="s">
        <v>28</v>
      </c>
      <c r="R49" s="3" t="s">
        <v>36</v>
      </c>
      <c r="S49" s="3" t="s">
        <v>54</v>
      </c>
      <c r="T49" s="3" t="s">
        <v>42</v>
      </c>
      <c r="U49" s="6">
        <f t="shared" si="7"/>
        <v>0.36822429906542054</v>
      </c>
      <c r="V49" s="6">
        <f t="shared" si="8"/>
        <v>0.41396933560477001</v>
      </c>
      <c r="W49" s="6">
        <f t="shared" si="9"/>
        <v>0.48411214953271026</v>
      </c>
      <c r="X49" s="6">
        <f t="shared" si="5"/>
        <v>0.89808148513748032</v>
      </c>
      <c r="Y49" s="6">
        <f t="shared" si="10"/>
        <v>6.1403508771929821E-2</v>
      </c>
      <c r="Z49" s="6">
        <f t="shared" si="11"/>
        <v>2.7272727272727271E-2</v>
      </c>
      <c r="AA49" s="6">
        <f t="shared" si="6"/>
        <v>0.11588785046728972</v>
      </c>
    </row>
    <row r="50" spans="1:27" x14ac:dyDescent="0.2">
      <c r="A50" s="2" t="s">
        <v>132</v>
      </c>
      <c r="B50" s="2">
        <v>1995</v>
      </c>
      <c r="C50" s="2">
        <v>1</v>
      </c>
      <c r="D50" s="2" t="s">
        <v>91</v>
      </c>
      <c r="E50" s="2" t="s">
        <v>6</v>
      </c>
      <c r="F50" s="2"/>
      <c r="G50" s="2"/>
      <c r="H50" s="2"/>
      <c r="I50" s="2"/>
      <c r="J50" s="2"/>
      <c r="K50" s="2"/>
      <c r="L50" s="2"/>
      <c r="M50" s="2"/>
      <c r="N50" s="2"/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T50" s="2" t="s">
        <v>30</v>
      </c>
      <c r="U50" s="6" t="e">
        <f t="shared" si="7"/>
        <v>#DIV/0!</v>
      </c>
      <c r="V50" s="6" t="e">
        <f t="shared" si="8"/>
        <v>#VALUE!</v>
      </c>
      <c r="W50" s="6" t="e">
        <f t="shared" si="9"/>
        <v>#DIV/0!</v>
      </c>
      <c r="X50" s="6" t="e">
        <f t="shared" si="5"/>
        <v>#VALUE!</v>
      </c>
      <c r="Y50" s="6" t="e">
        <f t="shared" si="10"/>
        <v>#DIV/0!</v>
      </c>
      <c r="Z50" s="6" t="e">
        <f t="shared" si="11"/>
        <v>#DIV/0!</v>
      </c>
      <c r="AA50" s="6" t="e">
        <f t="shared" si="6"/>
        <v>#DIV/0!</v>
      </c>
    </row>
    <row r="51" spans="1:27" x14ac:dyDescent="0.2">
      <c r="A51" s="3" t="s">
        <v>112</v>
      </c>
      <c r="B51" s="3">
        <v>1995</v>
      </c>
      <c r="C51" s="3">
        <v>1</v>
      </c>
      <c r="D51" s="3" t="s">
        <v>53</v>
      </c>
      <c r="E51" s="3" t="s">
        <v>3</v>
      </c>
      <c r="F51" s="3">
        <v>496</v>
      </c>
      <c r="G51" s="3">
        <v>98</v>
      </c>
      <c r="H51" s="3">
        <v>158</v>
      </c>
      <c r="I51" s="3">
        <v>29</v>
      </c>
      <c r="J51" s="3">
        <v>6</v>
      </c>
      <c r="K51" s="3">
        <v>15</v>
      </c>
      <c r="L51" s="3">
        <v>66</v>
      </c>
      <c r="M51" s="3">
        <v>61</v>
      </c>
      <c r="N51" s="3">
        <v>49</v>
      </c>
      <c r="O51" s="3" t="s">
        <v>31</v>
      </c>
      <c r="P51" s="3" t="s">
        <v>34</v>
      </c>
      <c r="Q51" s="3" t="s">
        <v>34</v>
      </c>
      <c r="R51" s="3" t="s">
        <v>33</v>
      </c>
      <c r="S51" s="3" t="s">
        <v>36</v>
      </c>
      <c r="T51" s="3" t="s">
        <v>36</v>
      </c>
      <c r="U51" s="6">
        <f t="shared" si="7"/>
        <v>0.31854838709677419</v>
      </c>
      <c r="V51" s="6">
        <f t="shared" si="8"/>
        <v>0.39575971731448761</v>
      </c>
      <c r="W51" s="6">
        <f t="shared" si="9"/>
        <v>0.49193548387096775</v>
      </c>
      <c r="X51" s="6">
        <f t="shared" si="5"/>
        <v>0.88769520118545531</v>
      </c>
      <c r="Y51" s="6">
        <f t="shared" si="10"/>
        <v>0.10951526032315978</v>
      </c>
      <c r="Z51" s="6">
        <f t="shared" si="11"/>
        <v>8.990825688073395E-2</v>
      </c>
      <c r="AA51" s="6">
        <f t="shared" si="6"/>
        <v>0.17338709677419356</v>
      </c>
    </row>
    <row r="52" spans="1:27" x14ac:dyDescent="0.2">
      <c r="A52" s="2" t="s">
        <v>154</v>
      </c>
      <c r="B52" s="2">
        <v>1995</v>
      </c>
      <c r="C52" s="2">
        <v>1</v>
      </c>
      <c r="D52" s="2" t="s">
        <v>66</v>
      </c>
      <c r="E52" s="2" t="s">
        <v>6</v>
      </c>
      <c r="F52" s="2">
        <v>481</v>
      </c>
      <c r="G52" s="2">
        <v>93</v>
      </c>
      <c r="H52" s="2">
        <v>149</v>
      </c>
      <c r="I52" s="2">
        <v>22</v>
      </c>
      <c r="J52" s="2">
        <v>13</v>
      </c>
      <c r="K52" s="2">
        <v>7</v>
      </c>
      <c r="L52" s="2">
        <v>53</v>
      </c>
      <c r="M52" s="2">
        <v>40</v>
      </c>
      <c r="N52" s="2">
        <v>49</v>
      </c>
      <c r="O52" s="2" t="s">
        <v>36</v>
      </c>
      <c r="P52" s="2" t="s">
        <v>30</v>
      </c>
      <c r="Q52" s="2" t="s">
        <v>33</v>
      </c>
      <c r="R52" s="2" t="s">
        <v>34</v>
      </c>
      <c r="S52" s="2" t="s">
        <v>36</v>
      </c>
      <c r="T52" s="2" t="s">
        <v>39</v>
      </c>
      <c r="U52" s="6">
        <f t="shared" si="7"/>
        <v>0.30977130977130979</v>
      </c>
      <c r="V52" s="6">
        <f t="shared" si="8"/>
        <v>0.36911487758945388</v>
      </c>
      <c r="W52" s="6">
        <f t="shared" si="9"/>
        <v>0.45322245322245325</v>
      </c>
      <c r="X52" s="6">
        <f t="shared" si="5"/>
        <v>0.82233733081190707</v>
      </c>
      <c r="Y52" s="6">
        <f t="shared" si="10"/>
        <v>7.6775431861804216E-2</v>
      </c>
      <c r="Z52" s="6">
        <f t="shared" si="11"/>
        <v>9.2452830188679239E-2</v>
      </c>
      <c r="AA52" s="6">
        <f t="shared" si="6"/>
        <v>0.14345114345114346</v>
      </c>
    </row>
    <row r="53" spans="1:27" x14ac:dyDescent="0.2">
      <c r="A53" s="3" t="s">
        <v>123</v>
      </c>
      <c r="B53" s="3">
        <v>1995</v>
      </c>
      <c r="C53" s="3">
        <v>1</v>
      </c>
      <c r="D53" s="3" t="s">
        <v>91</v>
      </c>
      <c r="E53" s="3" t="s">
        <v>6</v>
      </c>
      <c r="F53" s="3">
        <v>511</v>
      </c>
      <c r="G53" s="3">
        <v>121</v>
      </c>
      <c r="H53" s="3">
        <v>182</v>
      </c>
      <c r="I53" s="3">
        <v>52</v>
      </c>
      <c r="J53" s="3">
        <v>0</v>
      </c>
      <c r="K53" s="3">
        <v>29</v>
      </c>
      <c r="L53" s="3">
        <v>113</v>
      </c>
      <c r="M53" s="3">
        <v>116</v>
      </c>
      <c r="N53" s="3">
        <v>87</v>
      </c>
      <c r="O53" s="3" t="s">
        <v>52</v>
      </c>
      <c r="P53" s="3" t="s">
        <v>39</v>
      </c>
      <c r="Q53" s="3" t="s">
        <v>28</v>
      </c>
      <c r="R53" s="3" t="s">
        <v>33</v>
      </c>
      <c r="S53" s="3" t="s">
        <v>40</v>
      </c>
      <c r="T53" s="3" t="s">
        <v>37</v>
      </c>
      <c r="U53" s="6">
        <f t="shared" si="7"/>
        <v>0.35616438356164382</v>
      </c>
      <c r="V53" s="6">
        <f t="shared" si="8"/>
        <v>0.4939209726443769</v>
      </c>
      <c r="W53" s="6">
        <f t="shared" si="9"/>
        <v>0.62818003913894327</v>
      </c>
      <c r="X53" s="6">
        <f t="shared" si="5"/>
        <v>1.1221010117833201</v>
      </c>
      <c r="Y53" s="6">
        <f t="shared" si="10"/>
        <v>0.1850079744816587</v>
      </c>
      <c r="Z53" s="6">
        <f t="shared" si="11"/>
        <v>0.14548494983277591</v>
      </c>
      <c r="AA53" s="6">
        <f t="shared" si="6"/>
        <v>0.27201565557729945</v>
      </c>
    </row>
    <row r="54" spans="1:27" x14ac:dyDescent="0.2">
      <c r="A54" s="2" t="s">
        <v>114</v>
      </c>
      <c r="B54" s="2">
        <v>1995</v>
      </c>
      <c r="C54" s="2">
        <v>1</v>
      </c>
      <c r="D54" s="2" t="s">
        <v>85</v>
      </c>
      <c r="E54" s="2" t="s">
        <v>3</v>
      </c>
      <c r="F54" s="2">
        <v>528</v>
      </c>
      <c r="G54" s="2">
        <v>85</v>
      </c>
      <c r="H54" s="2">
        <v>148</v>
      </c>
      <c r="I54" s="2">
        <v>27</v>
      </c>
      <c r="J54" s="2">
        <v>1</v>
      </c>
      <c r="K54" s="2">
        <v>27</v>
      </c>
      <c r="L54" s="2">
        <v>93</v>
      </c>
      <c r="M54" s="2">
        <v>65</v>
      </c>
      <c r="N54" s="2">
        <v>99</v>
      </c>
      <c r="O54" s="2" t="s">
        <v>36</v>
      </c>
      <c r="P54" s="2" t="s">
        <v>32</v>
      </c>
      <c r="Q54" s="2" t="s">
        <v>28</v>
      </c>
      <c r="R54" s="2" t="s">
        <v>36</v>
      </c>
      <c r="S54" s="2" t="s">
        <v>52</v>
      </c>
      <c r="T54" s="2" t="s">
        <v>34</v>
      </c>
      <c r="U54" s="6">
        <f t="shared" si="7"/>
        <v>0.28030303030303028</v>
      </c>
      <c r="V54" s="6">
        <f t="shared" si="8"/>
        <v>0.36721311475409835</v>
      </c>
      <c r="W54" s="6">
        <f t="shared" si="9"/>
        <v>0.48863636363636365</v>
      </c>
      <c r="X54" s="6">
        <f t="shared" si="5"/>
        <v>0.85584947839046199</v>
      </c>
      <c r="Y54" s="6">
        <f t="shared" si="10"/>
        <v>0.10961214165261383</v>
      </c>
      <c r="Z54" s="6">
        <f t="shared" si="11"/>
        <v>0.15789473684210525</v>
      </c>
      <c r="AA54" s="6">
        <f t="shared" si="6"/>
        <v>0.20833333333333337</v>
      </c>
    </row>
    <row r="55" spans="1:27" x14ac:dyDescent="0.2">
      <c r="A55" s="3" t="s">
        <v>180</v>
      </c>
      <c r="B55" s="3">
        <v>1995</v>
      </c>
      <c r="C55" s="3">
        <v>1</v>
      </c>
      <c r="D55" s="3" t="s">
        <v>80</v>
      </c>
      <c r="E55" s="3" t="s">
        <v>3</v>
      </c>
      <c r="F55" s="3">
        <v>66</v>
      </c>
      <c r="G55" s="3">
        <v>2</v>
      </c>
      <c r="H55" s="3">
        <v>6</v>
      </c>
      <c r="I55" s="3">
        <v>0</v>
      </c>
      <c r="J55" s="3">
        <v>0</v>
      </c>
      <c r="K55" s="3">
        <v>0</v>
      </c>
      <c r="L55" s="3">
        <v>4</v>
      </c>
      <c r="M55" s="3">
        <v>0</v>
      </c>
      <c r="N55" s="3">
        <v>33</v>
      </c>
      <c r="O55" s="3" t="s">
        <v>28</v>
      </c>
      <c r="P55" s="3" t="s">
        <v>28</v>
      </c>
      <c r="Q55" s="3" t="s">
        <v>32</v>
      </c>
      <c r="R55" s="3" t="s">
        <v>30</v>
      </c>
      <c r="S55" s="3" t="s">
        <v>30</v>
      </c>
      <c r="T55" s="3" t="s">
        <v>30</v>
      </c>
      <c r="U55" s="6">
        <f t="shared" si="7"/>
        <v>9.0909090909090912E-2</v>
      </c>
      <c r="V55" s="6">
        <f t="shared" si="8"/>
        <v>8.9552238805970144E-2</v>
      </c>
      <c r="W55" s="6">
        <f t="shared" si="9"/>
        <v>9.0909090909090912E-2</v>
      </c>
      <c r="X55" s="6">
        <f t="shared" si="5"/>
        <v>0.18046132971506107</v>
      </c>
      <c r="Y55" s="6">
        <f t="shared" si="10"/>
        <v>0</v>
      </c>
      <c r="Z55" s="6">
        <f t="shared" si="11"/>
        <v>0.33333333333333331</v>
      </c>
      <c r="AA55" s="6">
        <f t="shared" si="6"/>
        <v>0</v>
      </c>
    </row>
    <row r="56" spans="1:27" x14ac:dyDescent="0.2">
      <c r="A56" s="2" t="s">
        <v>163</v>
      </c>
      <c r="B56" s="2">
        <v>1995</v>
      </c>
      <c r="C56" s="2">
        <v>1</v>
      </c>
      <c r="D56" s="2" t="s">
        <v>80</v>
      </c>
      <c r="E56" s="2" t="s">
        <v>3</v>
      </c>
      <c r="F56" s="2">
        <v>434</v>
      </c>
      <c r="G56" s="2">
        <v>82</v>
      </c>
      <c r="H56" s="2">
        <v>150</v>
      </c>
      <c r="I56" s="2">
        <v>17</v>
      </c>
      <c r="J56" s="2">
        <v>0</v>
      </c>
      <c r="K56" s="2">
        <v>32</v>
      </c>
      <c r="L56" s="2">
        <v>93</v>
      </c>
      <c r="M56" s="2">
        <v>39</v>
      </c>
      <c r="N56" s="2">
        <v>80</v>
      </c>
      <c r="O56" s="2" t="s">
        <v>37</v>
      </c>
      <c r="P56" s="2" t="s">
        <v>30</v>
      </c>
      <c r="Q56" s="2" t="s">
        <v>28</v>
      </c>
      <c r="R56" s="2" t="s">
        <v>30</v>
      </c>
      <c r="S56" s="2" t="s">
        <v>37</v>
      </c>
      <c r="T56" s="2" t="s">
        <v>31</v>
      </c>
      <c r="U56" s="6">
        <f t="shared" si="7"/>
        <v>0.34562211981566821</v>
      </c>
      <c r="V56" s="6">
        <f t="shared" si="8"/>
        <v>0.41237113402061853</v>
      </c>
      <c r="W56" s="6">
        <f t="shared" si="9"/>
        <v>0.60599078341013823</v>
      </c>
      <c r="X56" s="6">
        <f t="shared" si="5"/>
        <v>1.0183619174307568</v>
      </c>
      <c r="Y56" s="6">
        <f t="shared" si="10"/>
        <v>8.2452431289640596E-2</v>
      </c>
      <c r="Z56" s="6">
        <f t="shared" si="11"/>
        <v>0.1556420233463035</v>
      </c>
      <c r="AA56" s="6">
        <f t="shared" si="6"/>
        <v>0.26036866359447003</v>
      </c>
    </row>
    <row r="57" spans="1:27" x14ac:dyDescent="0.2">
      <c r="A57" s="3" t="s">
        <v>104</v>
      </c>
      <c r="B57" s="3">
        <v>1995</v>
      </c>
      <c r="C57" s="3">
        <v>1</v>
      </c>
      <c r="D57" s="3" t="s">
        <v>81</v>
      </c>
      <c r="E57" s="3" t="s">
        <v>6</v>
      </c>
      <c r="F57" s="3">
        <v>538</v>
      </c>
      <c r="G57" s="3">
        <v>83</v>
      </c>
      <c r="H57" s="3">
        <v>169</v>
      </c>
      <c r="I57" s="3">
        <v>39</v>
      </c>
      <c r="J57" s="3">
        <v>0</v>
      </c>
      <c r="K57" s="3">
        <v>23</v>
      </c>
      <c r="L57" s="3">
        <v>99</v>
      </c>
      <c r="M57" s="3">
        <v>56</v>
      </c>
      <c r="N57" s="3">
        <v>89</v>
      </c>
      <c r="O57" s="3" t="s">
        <v>45</v>
      </c>
      <c r="P57" s="3" t="s">
        <v>34</v>
      </c>
      <c r="Q57" s="3" t="s">
        <v>28</v>
      </c>
      <c r="R57" s="3" t="s">
        <v>32</v>
      </c>
      <c r="S57" s="3" t="s">
        <v>44</v>
      </c>
      <c r="T57" s="3" t="s">
        <v>42</v>
      </c>
      <c r="U57" s="6">
        <f t="shared" si="7"/>
        <v>0.31412639405204462</v>
      </c>
      <c r="V57" s="6">
        <f t="shared" si="8"/>
        <v>0.39677419354838711</v>
      </c>
      <c r="W57" s="6">
        <f t="shared" si="9"/>
        <v>0.51486988847583648</v>
      </c>
      <c r="X57" s="6">
        <f t="shared" si="5"/>
        <v>0.91164408202422353</v>
      </c>
      <c r="Y57" s="6">
        <f t="shared" si="10"/>
        <v>9.4276094276094277E-2</v>
      </c>
      <c r="Z57" s="6">
        <f t="shared" si="11"/>
        <v>0.1419457735247209</v>
      </c>
      <c r="AA57" s="6">
        <f t="shared" si="6"/>
        <v>0.20074349442379186</v>
      </c>
    </row>
    <row r="58" spans="1:27" x14ac:dyDescent="0.2">
      <c r="A58" s="2" t="s">
        <v>95</v>
      </c>
      <c r="B58" s="2">
        <v>1995</v>
      </c>
      <c r="C58" s="2">
        <v>1</v>
      </c>
      <c r="D58" s="2" t="s">
        <v>78</v>
      </c>
      <c r="E58" s="2" t="s">
        <v>6</v>
      </c>
      <c r="F58" s="2">
        <v>550</v>
      </c>
      <c r="G58" s="2">
        <v>71</v>
      </c>
      <c r="H58" s="2">
        <v>144</v>
      </c>
      <c r="I58" s="2">
        <v>33</v>
      </c>
      <c r="J58" s="2">
        <v>2</v>
      </c>
      <c r="K58" s="2">
        <v>17</v>
      </c>
      <c r="L58" s="2">
        <v>88</v>
      </c>
      <c r="M58" s="2">
        <v>52</v>
      </c>
      <c r="N58" s="2">
        <v>59</v>
      </c>
      <c r="O58" s="2" t="s">
        <v>36</v>
      </c>
      <c r="P58" s="2" t="s">
        <v>31</v>
      </c>
      <c r="Q58" s="2" t="s">
        <v>30</v>
      </c>
      <c r="R58" s="2" t="s">
        <v>39</v>
      </c>
      <c r="S58" s="2" t="s">
        <v>44</v>
      </c>
      <c r="T58" s="2" t="s">
        <v>36</v>
      </c>
      <c r="U58" s="6">
        <f t="shared" si="7"/>
        <v>0.26181818181818184</v>
      </c>
      <c r="V58" s="6">
        <f t="shared" si="8"/>
        <v>0.3300970873786408</v>
      </c>
      <c r="W58" s="6">
        <f t="shared" si="9"/>
        <v>0.42181818181818181</v>
      </c>
      <c r="X58" s="6">
        <f t="shared" si="5"/>
        <v>0.75191526919682261</v>
      </c>
      <c r="Y58" s="6">
        <f t="shared" si="10"/>
        <v>8.6378737541528236E-2</v>
      </c>
      <c r="Z58" s="6">
        <f t="shared" si="11"/>
        <v>9.688013136288999E-2</v>
      </c>
      <c r="AA58" s="6">
        <f t="shared" si="6"/>
        <v>0.15999999999999998</v>
      </c>
    </row>
    <row r="59" spans="1:27" x14ac:dyDescent="0.2">
      <c r="A59" s="3" t="s">
        <v>155</v>
      </c>
      <c r="B59" s="3">
        <v>1995</v>
      </c>
      <c r="C59" s="3">
        <v>1</v>
      </c>
      <c r="D59" s="3" t="s">
        <v>90</v>
      </c>
      <c r="E59" s="3" t="s">
        <v>6</v>
      </c>
      <c r="F59" s="3">
        <v>492</v>
      </c>
      <c r="G59" s="3">
        <v>56</v>
      </c>
      <c r="H59" s="3">
        <v>149</v>
      </c>
      <c r="I59" s="3">
        <v>32</v>
      </c>
      <c r="J59" s="3">
        <v>2</v>
      </c>
      <c r="K59" s="3">
        <v>12</v>
      </c>
      <c r="L59" s="3">
        <v>67</v>
      </c>
      <c r="M59" s="3">
        <v>16</v>
      </c>
      <c r="N59" s="3">
        <v>48</v>
      </c>
      <c r="O59" s="3" t="s">
        <v>31</v>
      </c>
      <c r="P59" s="3" t="s">
        <v>33</v>
      </c>
      <c r="Q59" s="3" t="s">
        <v>28</v>
      </c>
      <c r="R59" s="3" t="s">
        <v>32</v>
      </c>
      <c r="S59" s="3" t="s">
        <v>40</v>
      </c>
      <c r="T59" s="3" t="s">
        <v>31</v>
      </c>
      <c r="U59" s="6">
        <f t="shared" si="7"/>
        <v>0.30284552845528456</v>
      </c>
      <c r="V59" s="6">
        <f t="shared" si="8"/>
        <v>0.32947976878612717</v>
      </c>
      <c r="W59" s="6">
        <f t="shared" si="9"/>
        <v>0.44918699186991867</v>
      </c>
      <c r="X59" s="6">
        <f t="shared" si="5"/>
        <v>0.77866676065604579</v>
      </c>
      <c r="Y59" s="6">
        <f t="shared" si="10"/>
        <v>3.1496062992125984E-2</v>
      </c>
      <c r="Z59" s="6">
        <f t="shared" si="11"/>
        <v>8.8888888888888892E-2</v>
      </c>
      <c r="AA59" s="6">
        <f t="shared" si="6"/>
        <v>0.14634146341463411</v>
      </c>
    </row>
    <row r="60" spans="1:27" x14ac:dyDescent="0.2">
      <c r="A60" s="2" t="s">
        <v>151</v>
      </c>
      <c r="B60" s="2">
        <v>1995</v>
      </c>
      <c r="C60" s="2">
        <v>1</v>
      </c>
      <c r="D60" s="2" t="s">
        <v>69</v>
      </c>
      <c r="E60" s="2" t="s">
        <v>6</v>
      </c>
      <c r="F60" s="2">
        <v>493</v>
      </c>
      <c r="G60" s="2">
        <v>102</v>
      </c>
      <c r="H60" s="2">
        <v>152</v>
      </c>
      <c r="I60" s="2">
        <v>27</v>
      </c>
      <c r="J60" s="2">
        <v>0</v>
      </c>
      <c r="K60" s="2">
        <v>40</v>
      </c>
      <c r="L60" s="2">
        <v>111</v>
      </c>
      <c r="M60" s="2">
        <v>136</v>
      </c>
      <c r="N60" s="2">
        <v>74</v>
      </c>
      <c r="O60" s="2" t="s">
        <v>48</v>
      </c>
      <c r="P60" s="2" t="s">
        <v>36</v>
      </c>
      <c r="Q60" s="2" t="s">
        <v>28</v>
      </c>
      <c r="R60" s="2" t="s">
        <v>38</v>
      </c>
      <c r="S60" s="2" t="s">
        <v>43</v>
      </c>
      <c r="T60" s="2" t="s">
        <v>34</v>
      </c>
      <c r="U60" s="6">
        <f t="shared" si="7"/>
        <v>0.30831643002028397</v>
      </c>
      <c r="V60" s="6">
        <f t="shared" si="8"/>
        <v>0.47781065088757396</v>
      </c>
      <c r="W60" s="6">
        <f t="shared" si="9"/>
        <v>0.60649087221095332</v>
      </c>
      <c r="X60" s="6">
        <f t="shared" si="5"/>
        <v>1.0843015230985273</v>
      </c>
      <c r="Y60" s="6">
        <f t="shared" si="10"/>
        <v>0.21621621621621623</v>
      </c>
      <c r="Z60" s="6">
        <f t="shared" si="11"/>
        <v>0.13051146384479717</v>
      </c>
      <c r="AA60" s="6">
        <f t="shared" si="6"/>
        <v>0.29817444219066935</v>
      </c>
    </row>
    <row r="61" spans="1:27" x14ac:dyDescent="0.2">
      <c r="A61" s="3" t="s">
        <v>127</v>
      </c>
      <c r="B61" s="3">
        <v>1996</v>
      </c>
      <c r="C61" s="3">
        <v>1</v>
      </c>
      <c r="D61" s="3" t="s">
        <v>78</v>
      </c>
      <c r="E61" s="3" t="s">
        <v>6</v>
      </c>
      <c r="F61" s="3">
        <v>588</v>
      </c>
      <c r="G61" s="3">
        <v>132</v>
      </c>
      <c r="H61" s="3">
        <v>193</v>
      </c>
      <c r="I61" s="3">
        <v>43</v>
      </c>
      <c r="J61" s="3">
        <v>4</v>
      </c>
      <c r="K61" s="3">
        <v>22</v>
      </c>
      <c r="L61" s="3">
        <v>94</v>
      </c>
      <c r="M61" s="3">
        <v>90</v>
      </c>
      <c r="N61" s="3">
        <v>65</v>
      </c>
      <c r="O61" s="3" t="s">
        <v>37</v>
      </c>
      <c r="P61" s="3" t="s">
        <v>30</v>
      </c>
      <c r="Q61" s="3" t="s">
        <v>39</v>
      </c>
      <c r="R61" s="3" t="s">
        <v>38</v>
      </c>
      <c r="S61" s="3" t="s">
        <v>43</v>
      </c>
      <c r="T61" s="3" t="s">
        <v>33</v>
      </c>
      <c r="U61" s="6">
        <f t="shared" si="7"/>
        <v>0.32823129251700678</v>
      </c>
      <c r="V61" s="6">
        <f t="shared" si="8"/>
        <v>0.41940085592011411</v>
      </c>
      <c r="W61" s="6">
        <f t="shared" si="9"/>
        <v>0.52721088435374153</v>
      </c>
      <c r="X61" s="6">
        <f t="shared" si="5"/>
        <v>0.94661174027385564</v>
      </c>
      <c r="Y61" s="6">
        <f t="shared" si="10"/>
        <v>0.13274336283185842</v>
      </c>
      <c r="Z61" s="6">
        <f t="shared" si="11"/>
        <v>9.9540581929555894E-2</v>
      </c>
      <c r="AA61" s="6">
        <f t="shared" si="6"/>
        <v>0.19897959183673475</v>
      </c>
    </row>
    <row r="62" spans="1:27" x14ac:dyDescent="0.2">
      <c r="A62" s="2" t="s">
        <v>128</v>
      </c>
      <c r="B62" s="2">
        <v>1996</v>
      </c>
      <c r="C62" s="2">
        <v>1</v>
      </c>
      <c r="D62" s="2" t="s">
        <v>78</v>
      </c>
      <c r="E62" s="2" t="s">
        <v>6</v>
      </c>
      <c r="F62" s="2">
        <v>579</v>
      </c>
      <c r="G62" s="2">
        <v>117</v>
      </c>
      <c r="H62" s="2">
        <v>172</v>
      </c>
      <c r="I62" s="2">
        <v>37</v>
      </c>
      <c r="J62" s="2">
        <v>5</v>
      </c>
      <c r="K62" s="2">
        <v>50</v>
      </c>
      <c r="L62" s="2">
        <v>110</v>
      </c>
      <c r="M62" s="2">
        <v>76</v>
      </c>
      <c r="N62" s="2">
        <v>106</v>
      </c>
      <c r="O62" s="2" t="s">
        <v>30</v>
      </c>
      <c r="P62" s="2" t="s">
        <v>64</v>
      </c>
      <c r="Q62" s="2" t="s">
        <v>36</v>
      </c>
      <c r="R62" s="2" t="s">
        <v>33</v>
      </c>
      <c r="S62" s="2" t="s">
        <v>40</v>
      </c>
      <c r="T62" s="2" t="s">
        <v>42</v>
      </c>
      <c r="U62" s="6">
        <f t="shared" si="7"/>
        <v>0.29706390328151988</v>
      </c>
      <c r="V62" s="6">
        <f t="shared" si="8"/>
        <v>0.3973607038123167</v>
      </c>
      <c r="W62" s="6">
        <f t="shared" si="9"/>
        <v>0.63730569948186533</v>
      </c>
      <c r="X62" s="6">
        <f t="shared" si="5"/>
        <v>1.0346664032941821</v>
      </c>
      <c r="Y62" s="6">
        <f t="shared" si="10"/>
        <v>0.11603053435114503</v>
      </c>
      <c r="Z62" s="6">
        <f t="shared" si="11"/>
        <v>0.15474452554744525</v>
      </c>
      <c r="AA62" s="6">
        <f t="shared" si="6"/>
        <v>0.34024179620034545</v>
      </c>
    </row>
    <row r="63" spans="1:27" x14ac:dyDescent="0.2">
      <c r="A63" s="3" t="s">
        <v>136</v>
      </c>
      <c r="B63" s="3">
        <v>1996</v>
      </c>
      <c r="C63" s="3">
        <v>1</v>
      </c>
      <c r="D63" s="3" t="s">
        <v>66</v>
      </c>
      <c r="E63" s="3" t="s">
        <v>6</v>
      </c>
      <c r="F63" s="3">
        <v>602</v>
      </c>
      <c r="G63" s="3">
        <v>124</v>
      </c>
      <c r="H63" s="3">
        <v>187</v>
      </c>
      <c r="I63" s="3">
        <v>38</v>
      </c>
      <c r="J63" s="3">
        <v>3</v>
      </c>
      <c r="K63" s="3">
        <v>48</v>
      </c>
      <c r="L63" s="3">
        <v>148</v>
      </c>
      <c r="M63" s="3">
        <v>99</v>
      </c>
      <c r="N63" s="3">
        <v>87</v>
      </c>
      <c r="O63" s="3" t="s">
        <v>44</v>
      </c>
      <c r="P63" s="3" t="s">
        <v>41</v>
      </c>
      <c r="Q63" s="3" t="s">
        <v>28</v>
      </c>
      <c r="R63" s="3" t="s">
        <v>41</v>
      </c>
      <c r="S63" s="3" t="s">
        <v>54</v>
      </c>
      <c r="T63" s="3" t="s">
        <v>41</v>
      </c>
      <c r="U63" s="6">
        <f t="shared" si="7"/>
        <v>0.31063122923588038</v>
      </c>
      <c r="V63" s="6">
        <f t="shared" si="8"/>
        <v>0.42191780821917807</v>
      </c>
      <c r="W63" s="6">
        <f t="shared" si="9"/>
        <v>0.62292358803986714</v>
      </c>
      <c r="X63" s="6">
        <f t="shared" si="5"/>
        <v>1.0448413962590453</v>
      </c>
      <c r="Y63" s="6">
        <f t="shared" si="10"/>
        <v>0.14122681883024252</v>
      </c>
      <c r="Z63" s="6">
        <f t="shared" si="11"/>
        <v>0.1262699564586357</v>
      </c>
      <c r="AA63" s="6">
        <f t="shared" si="6"/>
        <v>0.31229235880398676</v>
      </c>
    </row>
    <row r="64" spans="1:27" x14ac:dyDescent="0.2">
      <c r="A64" s="2" t="s">
        <v>129</v>
      </c>
      <c r="B64" s="2">
        <v>1996</v>
      </c>
      <c r="C64" s="2">
        <v>1</v>
      </c>
      <c r="D64" s="2" t="s">
        <v>164</v>
      </c>
      <c r="E64" s="2" t="s">
        <v>3</v>
      </c>
      <c r="F64" s="2">
        <v>633</v>
      </c>
      <c r="G64" s="2">
        <v>114</v>
      </c>
      <c r="H64" s="2">
        <v>198</v>
      </c>
      <c r="I64" s="2">
        <v>39</v>
      </c>
      <c r="J64" s="2">
        <v>3</v>
      </c>
      <c r="K64" s="2">
        <v>31</v>
      </c>
      <c r="L64" s="2">
        <v>141</v>
      </c>
      <c r="M64" s="2">
        <v>45</v>
      </c>
      <c r="N64" s="2">
        <v>105</v>
      </c>
      <c r="O64" s="2" t="s">
        <v>33</v>
      </c>
      <c r="P64" s="2" t="s">
        <v>36</v>
      </c>
      <c r="Q64" s="2" t="s">
        <v>28</v>
      </c>
      <c r="R64" s="2" t="s">
        <v>37</v>
      </c>
      <c r="S64" s="2" t="s">
        <v>45</v>
      </c>
      <c r="T64" s="2" t="s">
        <v>42</v>
      </c>
      <c r="U64" s="6">
        <f t="shared" si="7"/>
        <v>0.3127962085308057</v>
      </c>
      <c r="V64" s="6">
        <f t="shared" si="8"/>
        <v>0.36246418338108882</v>
      </c>
      <c r="W64" s="6">
        <f t="shared" si="9"/>
        <v>0.53080568720379151</v>
      </c>
      <c r="X64" s="6">
        <f t="shared" si="5"/>
        <v>0.89326987058488028</v>
      </c>
      <c r="Y64" s="6">
        <f t="shared" si="10"/>
        <v>6.637168141592921E-2</v>
      </c>
      <c r="Z64" s="6">
        <f t="shared" si="11"/>
        <v>0.14227642276422764</v>
      </c>
      <c r="AA64" s="6">
        <f t="shared" si="6"/>
        <v>0.21800947867298581</v>
      </c>
    </row>
    <row r="65" spans="1:27" x14ac:dyDescent="0.2">
      <c r="A65" s="3" t="s">
        <v>130</v>
      </c>
      <c r="B65" s="3">
        <v>1996</v>
      </c>
      <c r="C65" s="3">
        <v>1</v>
      </c>
      <c r="D65" s="3" t="s">
        <v>82</v>
      </c>
      <c r="E65" s="3" t="s">
        <v>3</v>
      </c>
      <c r="F65" s="3">
        <v>605</v>
      </c>
      <c r="G65" s="3">
        <v>113</v>
      </c>
      <c r="H65" s="3">
        <v>174</v>
      </c>
      <c r="I65" s="3">
        <v>24</v>
      </c>
      <c r="J65" s="3">
        <v>4</v>
      </c>
      <c r="K65" s="3">
        <v>15</v>
      </c>
      <c r="L65" s="3">
        <v>75</v>
      </c>
      <c r="M65" s="3">
        <v>75</v>
      </c>
      <c r="N65" s="3">
        <v>72</v>
      </c>
      <c r="O65" s="3" t="s">
        <v>28</v>
      </c>
      <c r="P65" s="3" t="s">
        <v>62</v>
      </c>
      <c r="Q65" s="3" t="s">
        <v>39</v>
      </c>
      <c r="R65" s="3" t="s">
        <v>39</v>
      </c>
      <c r="S65" s="3" t="s">
        <v>37</v>
      </c>
      <c r="T65" s="3" t="s">
        <v>33</v>
      </c>
      <c r="U65" s="6">
        <f t="shared" si="7"/>
        <v>0.28760330578512394</v>
      </c>
      <c r="V65" s="6">
        <f t="shared" si="8"/>
        <v>0.38601398601398601</v>
      </c>
      <c r="W65" s="6">
        <f t="shared" si="9"/>
        <v>0.41487603305785126</v>
      </c>
      <c r="X65" s="6">
        <f t="shared" si="5"/>
        <v>0.80089001907183732</v>
      </c>
      <c r="Y65" s="6">
        <f t="shared" si="10"/>
        <v>0.11029411764705882</v>
      </c>
      <c r="Z65" s="6">
        <f t="shared" si="11"/>
        <v>0.10635155096011817</v>
      </c>
      <c r="AA65" s="6">
        <f t="shared" si="6"/>
        <v>0.12727272727272732</v>
      </c>
    </row>
    <row r="66" spans="1:27" x14ac:dyDescent="0.2">
      <c r="A66" s="2" t="s">
        <v>97</v>
      </c>
      <c r="B66" s="2">
        <v>1996</v>
      </c>
      <c r="C66" s="2">
        <v>1</v>
      </c>
      <c r="D66" s="2" t="s">
        <v>71</v>
      </c>
      <c r="E66" s="2" t="s">
        <v>6</v>
      </c>
      <c r="F66" s="2">
        <v>501</v>
      </c>
      <c r="G66" s="2">
        <v>80</v>
      </c>
      <c r="H66" s="2">
        <v>156</v>
      </c>
      <c r="I66" s="2">
        <v>29</v>
      </c>
      <c r="J66" s="2">
        <v>2</v>
      </c>
      <c r="K66" s="2">
        <v>2</v>
      </c>
      <c r="L66" s="2">
        <v>41</v>
      </c>
      <c r="M66" s="2">
        <v>67</v>
      </c>
      <c r="N66" s="2">
        <v>32</v>
      </c>
      <c r="O66" s="2" t="s">
        <v>41</v>
      </c>
      <c r="P66" s="2" t="s">
        <v>28</v>
      </c>
      <c r="Q66" s="2" t="s">
        <v>30</v>
      </c>
      <c r="R66" s="2" t="s">
        <v>32</v>
      </c>
      <c r="S66" s="2" t="s">
        <v>37</v>
      </c>
      <c r="T66" s="2" t="s">
        <v>32</v>
      </c>
      <c r="U66" s="6">
        <f t="shared" ref="U66:U97" si="12">H66/F66</f>
        <v>0.31137724550898205</v>
      </c>
      <c r="V66" s="6">
        <f t="shared" ref="V66:V97" si="13">(H66+M66+O66+P66)/(F66+M66+O66+P66+R66)</f>
        <v>0.39655172413793105</v>
      </c>
      <c r="W66" s="6">
        <f t="shared" ref="W66:W97" si="14">((H66-I66-J66-K66)+(2*I66)+(3*J66)+(4*K66))/F66</f>
        <v>0.38922155688622756</v>
      </c>
      <c r="X66" s="6">
        <f t="shared" si="5"/>
        <v>0.78577328102415867</v>
      </c>
      <c r="Y66" s="6">
        <f t="shared" ref="Y66:Y97" si="15">M66/(M66+F66)</f>
        <v>0.11795774647887323</v>
      </c>
      <c r="Z66" s="6">
        <f t="shared" ref="Z66:Z97" si="16">N66/(N66+F66)</f>
        <v>6.0037523452157598E-2</v>
      </c>
      <c r="AA66" s="6">
        <f t="shared" si="6"/>
        <v>7.7844311377245512E-2</v>
      </c>
    </row>
    <row r="67" spans="1:27" x14ac:dyDescent="0.2">
      <c r="A67" s="3" t="s">
        <v>110</v>
      </c>
      <c r="B67" s="3">
        <v>1996</v>
      </c>
      <c r="C67" s="3">
        <v>1</v>
      </c>
      <c r="D67" s="3" t="s">
        <v>79</v>
      </c>
      <c r="E67" s="3" t="s">
        <v>3</v>
      </c>
      <c r="F67" s="3">
        <v>517</v>
      </c>
      <c r="G67" s="3">
        <v>122</v>
      </c>
      <c r="H67" s="3">
        <v>159</v>
      </c>
      <c r="I67" s="3">
        <v>27</v>
      </c>
      <c r="J67" s="3">
        <v>3</v>
      </c>
      <c r="K67" s="3">
        <v>42</v>
      </c>
      <c r="L67" s="3">
        <v>129</v>
      </c>
      <c r="M67" s="3">
        <v>151</v>
      </c>
      <c r="N67" s="3">
        <v>76</v>
      </c>
      <c r="O67" s="3" t="s">
        <v>73</v>
      </c>
      <c r="P67" s="3" t="s">
        <v>30</v>
      </c>
      <c r="Q67" s="3" t="s">
        <v>28</v>
      </c>
      <c r="R67" s="3" t="s">
        <v>36</v>
      </c>
      <c r="S67" s="3" t="s">
        <v>40</v>
      </c>
      <c r="T67" s="3" t="s">
        <v>41</v>
      </c>
      <c r="U67" s="6">
        <f t="shared" si="12"/>
        <v>0.30754352030947774</v>
      </c>
      <c r="V67" s="6">
        <f t="shared" si="13"/>
        <v>0.48368794326241132</v>
      </c>
      <c r="W67" s="6">
        <f t="shared" si="14"/>
        <v>0.61508704061895547</v>
      </c>
      <c r="X67" s="6">
        <f t="shared" ref="X67:X130" si="17">V67+W67</f>
        <v>1.0987749838813667</v>
      </c>
      <c r="Y67" s="6">
        <f t="shared" si="15"/>
        <v>0.22604790419161677</v>
      </c>
      <c r="Z67" s="6">
        <f t="shared" si="16"/>
        <v>0.12816188870151771</v>
      </c>
      <c r="AA67" s="6">
        <f t="shared" ref="AA67:AA130" si="18">W67-U67</f>
        <v>0.30754352030947774</v>
      </c>
    </row>
    <row r="68" spans="1:27" x14ac:dyDescent="0.2">
      <c r="A68" s="2" t="s">
        <v>122</v>
      </c>
      <c r="B68" s="2">
        <v>1996</v>
      </c>
      <c r="C68" s="2">
        <v>1</v>
      </c>
      <c r="D68" s="2" t="s">
        <v>83</v>
      </c>
      <c r="E68" s="2" t="s">
        <v>3</v>
      </c>
      <c r="F68" s="2">
        <v>682</v>
      </c>
      <c r="G68" s="2">
        <v>117</v>
      </c>
      <c r="H68" s="2">
        <v>227</v>
      </c>
      <c r="I68" s="2">
        <v>31</v>
      </c>
      <c r="J68" s="2">
        <v>21</v>
      </c>
      <c r="K68" s="2">
        <v>9</v>
      </c>
      <c r="L68" s="2">
        <v>69</v>
      </c>
      <c r="M68" s="2">
        <v>33</v>
      </c>
      <c r="N68" s="2">
        <v>40</v>
      </c>
      <c r="O68" s="2" t="s">
        <v>39</v>
      </c>
      <c r="P68" s="2" t="s">
        <v>30</v>
      </c>
      <c r="Q68" s="2" t="s">
        <v>34</v>
      </c>
      <c r="R68" s="2" t="s">
        <v>32</v>
      </c>
      <c r="S68" s="2" t="s">
        <v>39</v>
      </c>
      <c r="T68" s="2" t="s">
        <v>39</v>
      </c>
      <c r="U68" s="6">
        <f t="shared" si="12"/>
        <v>0.33284457478005863</v>
      </c>
      <c r="V68" s="6">
        <f t="shared" si="13"/>
        <v>0.36899862825788754</v>
      </c>
      <c r="W68" s="6">
        <f t="shared" si="14"/>
        <v>0.47947214076246336</v>
      </c>
      <c r="X68" s="6">
        <f t="shared" si="17"/>
        <v>0.8484707690203509</v>
      </c>
      <c r="Y68" s="6">
        <f t="shared" si="15"/>
        <v>4.6153846153846156E-2</v>
      </c>
      <c r="Z68" s="6">
        <f t="shared" si="16"/>
        <v>5.5401662049861494E-2</v>
      </c>
      <c r="AA68" s="6">
        <f t="shared" si="18"/>
        <v>0.14662756598240473</v>
      </c>
    </row>
    <row r="69" spans="1:27" x14ac:dyDescent="0.2">
      <c r="A69" s="3" t="s">
        <v>170</v>
      </c>
      <c r="B69" s="3">
        <v>1996</v>
      </c>
      <c r="C69" s="3">
        <v>1</v>
      </c>
      <c r="D69" s="3" t="s">
        <v>85</v>
      </c>
      <c r="E69" s="3" t="s">
        <v>3</v>
      </c>
      <c r="F69" s="3">
        <v>598</v>
      </c>
      <c r="G69" s="3">
        <v>114</v>
      </c>
      <c r="H69" s="3">
        <v>185</v>
      </c>
      <c r="I69" s="3">
        <v>32</v>
      </c>
      <c r="J69" s="3">
        <v>5</v>
      </c>
      <c r="K69" s="3">
        <v>30</v>
      </c>
      <c r="L69" s="3">
        <v>110</v>
      </c>
      <c r="M69" s="3">
        <v>87</v>
      </c>
      <c r="N69" s="3">
        <v>88</v>
      </c>
      <c r="O69" s="3" t="s">
        <v>28</v>
      </c>
      <c r="P69" s="3" t="s">
        <v>28</v>
      </c>
      <c r="Q69" s="3" t="s">
        <v>30</v>
      </c>
      <c r="R69" s="3" t="s">
        <v>41</v>
      </c>
      <c r="S69" s="3" t="s">
        <v>43</v>
      </c>
      <c r="T69" s="3" t="s">
        <v>32</v>
      </c>
      <c r="U69" s="6">
        <f t="shared" si="12"/>
        <v>0.30936454849498329</v>
      </c>
      <c r="V69" s="6">
        <f t="shared" si="13"/>
        <v>0.39306358381502893</v>
      </c>
      <c r="W69" s="6">
        <f t="shared" si="14"/>
        <v>0.53010033444816052</v>
      </c>
      <c r="X69" s="6">
        <f t="shared" si="17"/>
        <v>0.92316391826318944</v>
      </c>
      <c r="Y69" s="6">
        <f t="shared" si="15"/>
        <v>0.12700729927007298</v>
      </c>
      <c r="Z69" s="6">
        <f t="shared" si="16"/>
        <v>0.1282798833819242</v>
      </c>
      <c r="AA69" s="6">
        <f t="shared" si="18"/>
        <v>0.22073578595317722</v>
      </c>
    </row>
    <row r="70" spans="1:27" x14ac:dyDescent="0.2">
      <c r="A70" s="2" t="s">
        <v>112</v>
      </c>
      <c r="B70" s="2">
        <v>1996</v>
      </c>
      <c r="C70" s="2">
        <v>1</v>
      </c>
      <c r="D70" s="2" t="s">
        <v>53</v>
      </c>
      <c r="E70" s="2" t="s">
        <v>3</v>
      </c>
      <c r="F70" s="2">
        <v>517</v>
      </c>
      <c r="G70" s="2">
        <v>117</v>
      </c>
      <c r="H70" s="2">
        <v>154</v>
      </c>
      <c r="I70" s="2">
        <v>32</v>
      </c>
      <c r="J70" s="2">
        <v>4</v>
      </c>
      <c r="K70" s="2">
        <v>33</v>
      </c>
      <c r="L70" s="2">
        <v>89</v>
      </c>
      <c r="M70" s="2">
        <v>96</v>
      </c>
      <c r="N70" s="2">
        <v>52</v>
      </c>
      <c r="O70" s="2" t="s">
        <v>34</v>
      </c>
      <c r="P70" s="2" t="s">
        <v>41</v>
      </c>
      <c r="Q70" s="2" t="s">
        <v>28</v>
      </c>
      <c r="R70" s="2" t="s">
        <v>41</v>
      </c>
      <c r="S70" s="2" t="s">
        <v>54</v>
      </c>
      <c r="T70" s="2" t="s">
        <v>36</v>
      </c>
      <c r="U70" s="6">
        <f t="shared" si="12"/>
        <v>0.2978723404255319</v>
      </c>
      <c r="V70" s="6">
        <f t="shared" si="13"/>
        <v>0.41269841269841268</v>
      </c>
      <c r="W70" s="6">
        <f t="shared" si="14"/>
        <v>0.5667311411992263</v>
      </c>
      <c r="X70" s="6">
        <f t="shared" si="17"/>
        <v>0.97942955389763897</v>
      </c>
      <c r="Y70" s="6">
        <f t="shared" si="15"/>
        <v>0.15660685154975529</v>
      </c>
      <c r="Z70" s="6">
        <f t="shared" si="16"/>
        <v>9.1388400702987704E-2</v>
      </c>
      <c r="AA70" s="6">
        <f t="shared" si="18"/>
        <v>0.2688588007736944</v>
      </c>
    </row>
    <row r="71" spans="1:27" x14ac:dyDescent="0.2">
      <c r="A71" s="3" t="s">
        <v>154</v>
      </c>
      <c r="B71" s="3">
        <v>1996</v>
      </c>
      <c r="C71" s="3">
        <v>1</v>
      </c>
      <c r="D71" s="3" t="s">
        <v>66</v>
      </c>
      <c r="E71" s="3" t="s">
        <v>6</v>
      </c>
      <c r="F71" s="3">
        <v>662</v>
      </c>
      <c r="G71" s="3">
        <v>132</v>
      </c>
      <c r="H71" s="3">
        <v>210</v>
      </c>
      <c r="I71" s="3">
        <v>35</v>
      </c>
      <c r="J71" s="3">
        <v>4</v>
      </c>
      <c r="K71" s="3">
        <v>14</v>
      </c>
      <c r="L71" s="3">
        <v>67</v>
      </c>
      <c r="M71" s="3">
        <v>61</v>
      </c>
      <c r="N71" s="3">
        <v>82</v>
      </c>
      <c r="O71" s="3" t="s">
        <v>34</v>
      </c>
      <c r="P71" s="3" t="s">
        <v>28</v>
      </c>
      <c r="Q71" s="3" t="s">
        <v>41</v>
      </c>
      <c r="R71" s="3" t="s">
        <v>36</v>
      </c>
      <c r="S71" s="3" t="s">
        <v>41</v>
      </c>
      <c r="T71" s="3" t="s">
        <v>39</v>
      </c>
      <c r="U71" s="6">
        <f t="shared" si="12"/>
        <v>0.31722054380664655</v>
      </c>
      <c r="V71" s="6">
        <f t="shared" si="13"/>
        <v>0.37431693989071041</v>
      </c>
      <c r="W71" s="6">
        <f t="shared" si="14"/>
        <v>0.44561933534743203</v>
      </c>
      <c r="X71" s="6">
        <f t="shared" si="17"/>
        <v>0.8199362752381425</v>
      </c>
      <c r="Y71" s="6">
        <f t="shared" si="15"/>
        <v>8.4370677731673588E-2</v>
      </c>
      <c r="Z71" s="6">
        <f t="shared" si="16"/>
        <v>0.11021505376344086</v>
      </c>
      <c r="AA71" s="6">
        <f t="shared" si="18"/>
        <v>0.12839879154078548</v>
      </c>
    </row>
    <row r="72" spans="1:27" x14ac:dyDescent="0.2">
      <c r="A72" s="2" t="s">
        <v>114</v>
      </c>
      <c r="B72" s="2">
        <v>1996</v>
      </c>
      <c r="C72" s="2">
        <v>1</v>
      </c>
      <c r="D72" s="2" t="s">
        <v>85</v>
      </c>
      <c r="E72" s="2" t="s">
        <v>3</v>
      </c>
      <c r="F72" s="2">
        <v>617</v>
      </c>
      <c r="G72" s="2">
        <v>81</v>
      </c>
      <c r="H72" s="2">
        <v>182</v>
      </c>
      <c r="I72" s="2">
        <v>37</v>
      </c>
      <c r="J72" s="2">
        <v>1</v>
      </c>
      <c r="K72" s="2">
        <v>28</v>
      </c>
      <c r="L72" s="2">
        <v>107</v>
      </c>
      <c r="M72" s="2">
        <v>68</v>
      </c>
      <c r="N72" s="2">
        <v>116</v>
      </c>
      <c r="O72" s="2" t="s">
        <v>38</v>
      </c>
      <c r="P72" s="2" t="s">
        <v>31</v>
      </c>
      <c r="Q72" s="2" t="s">
        <v>28</v>
      </c>
      <c r="R72" s="2" t="s">
        <v>33</v>
      </c>
      <c r="S72" s="2" t="s">
        <v>54</v>
      </c>
      <c r="T72" s="2" t="s">
        <v>34</v>
      </c>
      <c r="U72" s="6">
        <f t="shared" si="12"/>
        <v>0.29497568881685576</v>
      </c>
      <c r="V72" s="6">
        <f t="shared" si="13"/>
        <v>0.37553342816500712</v>
      </c>
      <c r="W72" s="6">
        <f t="shared" si="14"/>
        <v>0.49432739059967584</v>
      </c>
      <c r="X72" s="6">
        <f t="shared" si="17"/>
        <v>0.86986081876468302</v>
      </c>
      <c r="Y72" s="6">
        <f t="shared" si="15"/>
        <v>9.9270072992700728E-2</v>
      </c>
      <c r="Z72" s="6">
        <f t="shared" si="16"/>
        <v>0.15825375170532061</v>
      </c>
      <c r="AA72" s="6">
        <f t="shared" si="18"/>
        <v>0.19935170178282008</v>
      </c>
    </row>
    <row r="73" spans="1:27" x14ac:dyDescent="0.2">
      <c r="A73" s="3" t="s">
        <v>150</v>
      </c>
      <c r="B73" s="3">
        <v>1996</v>
      </c>
      <c r="C73" s="3">
        <v>1</v>
      </c>
      <c r="D73" s="3" t="s">
        <v>66</v>
      </c>
      <c r="E73" s="3" t="s">
        <v>6</v>
      </c>
      <c r="F73" s="3"/>
      <c r="G73" s="3"/>
      <c r="H73" s="3"/>
      <c r="I73" s="3"/>
      <c r="J73" s="3"/>
      <c r="K73" s="3"/>
      <c r="L73" s="3"/>
      <c r="M73" s="3"/>
      <c r="N73" s="3"/>
      <c r="O73" s="3" t="s">
        <v>26</v>
      </c>
      <c r="P73" s="3" t="s">
        <v>26</v>
      </c>
      <c r="Q73" s="3" t="s">
        <v>26</v>
      </c>
      <c r="R73" s="3" t="s">
        <v>26</v>
      </c>
      <c r="S73" s="3" t="s">
        <v>26</v>
      </c>
      <c r="T73" s="3" t="s">
        <v>30</v>
      </c>
      <c r="U73" s="6" t="e">
        <f t="shared" si="12"/>
        <v>#DIV/0!</v>
      </c>
      <c r="V73" s="6" t="e">
        <f t="shared" si="13"/>
        <v>#VALUE!</v>
      </c>
      <c r="W73" s="6" t="e">
        <f t="shared" si="14"/>
        <v>#DIV/0!</v>
      </c>
      <c r="X73" s="6" t="e">
        <f t="shared" si="17"/>
        <v>#VALUE!</v>
      </c>
      <c r="Y73" s="6" t="e">
        <f t="shared" si="15"/>
        <v>#DIV/0!</v>
      </c>
      <c r="Z73" s="6" t="e">
        <f t="shared" si="16"/>
        <v>#DIV/0!</v>
      </c>
      <c r="AA73" s="6" t="e">
        <f t="shared" si="18"/>
        <v>#DIV/0!</v>
      </c>
    </row>
    <row r="74" spans="1:27" x14ac:dyDescent="0.2">
      <c r="A74" s="2" t="s">
        <v>163</v>
      </c>
      <c r="B74" s="2">
        <v>1996</v>
      </c>
      <c r="C74" s="2">
        <v>1</v>
      </c>
      <c r="D74" s="2" t="s">
        <v>80</v>
      </c>
      <c r="E74" s="2" t="s">
        <v>3</v>
      </c>
      <c r="F74" s="2">
        <v>547</v>
      </c>
      <c r="G74" s="2">
        <v>87</v>
      </c>
      <c r="H74" s="2">
        <v>184</v>
      </c>
      <c r="I74" s="2">
        <v>16</v>
      </c>
      <c r="J74" s="2">
        <v>0</v>
      </c>
      <c r="K74" s="2">
        <v>36</v>
      </c>
      <c r="L74" s="2">
        <v>105</v>
      </c>
      <c r="M74" s="2">
        <v>81</v>
      </c>
      <c r="N74" s="2">
        <v>93</v>
      </c>
      <c r="O74" s="2" t="s">
        <v>49</v>
      </c>
      <c r="P74" s="2" t="s">
        <v>30</v>
      </c>
      <c r="Q74" s="2" t="s">
        <v>28</v>
      </c>
      <c r="R74" s="2" t="s">
        <v>31</v>
      </c>
      <c r="S74" s="2" t="s">
        <v>49</v>
      </c>
      <c r="T74" s="2" t="s">
        <v>31</v>
      </c>
      <c r="U74" s="6">
        <f t="shared" si="12"/>
        <v>0.33638025594149906</v>
      </c>
      <c r="V74" s="6">
        <f t="shared" si="13"/>
        <v>0.44018404907975461</v>
      </c>
      <c r="W74" s="6">
        <f t="shared" si="14"/>
        <v>0.56307129798903111</v>
      </c>
      <c r="X74" s="6">
        <f t="shared" si="17"/>
        <v>1.0032553470687857</v>
      </c>
      <c r="Y74" s="6">
        <f t="shared" si="15"/>
        <v>0.12898089171974522</v>
      </c>
      <c r="Z74" s="6">
        <f t="shared" si="16"/>
        <v>0.14531250000000001</v>
      </c>
      <c r="AA74" s="6">
        <f t="shared" si="18"/>
        <v>0.22669104204753204</v>
      </c>
    </row>
    <row r="75" spans="1:27" x14ac:dyDescent="0.2">
      <c r="A75" s="3" t="s">
        <v>95</v>
      </c>
      <c r="B75" s="3">
        <v>1996</v>
      </c>
      <c r="C75" s="3">
        <v>1</v>
      </c>
      <c r="D75" s="3" t="s">
        <v>78</v>
      </c>
      <c r="E75" s="3" t="s">
        <v>6</v>
      </c>
      <c r="F75" s="3">
        <v>640</v>
      </c>
      <c r="G75" s="3">
        <v>94</v>
      </c>
      <c r="H75" s="3">
        <v>178</v>
      </c>
      <c r="I75" s="3">
        <v>40</v>
      </c>
      <c r="J75" s="3">
        <v>1</v>
      </c>
      <c r="K75" s="3">
        <v>26</v>
      </c>
      <c r="L75" s="3">
        <v>102</v>
      </c>
      <c r="M75" s="3">
        <v>59</v>
      </c>
      <c r="N75" s="3">
        <v>78</v>
      </c>
      <c r="O75" s="3" t="s">
        <v>34</v>
      </c>
      <c r="P75" s="3" t="s">
        <v>33</v>
      </c>
      <c r="Q75" s="3" t="s">
        <v>28</v>
      </c>
      <c r="R75" s="3" t="s">
        <v>33</v>
      </c>
      <c r="S75" s="3" t="s">
        <v>58</v>
      </c>
      <c r="T75" s="3" t="s">
        <v>36</v>
      </c>
      <c r="U75" s="6">
        <f t="shared" si="12"/>
        <v>0.27812500000000001</v>
      </c>
      <c r="V75" s="6">
        <f t="shared" si="13"/>
        <v>0.3436619718309859</v>
      </c>
      <c r="W75" s="6">
        <f t="shared" si="14"/>
        <v>0.46562500000000001</v>
      </c>
      <c r="X75" s="6">
        <f t="shared" si="17"/>
        <v>0.80928697183098586</v>
      </c>
      <c r="Y75" s="6">
        <f t="shared" si="15"/>
        <v>8.4406294706723894E-2</v>
      </c>
      <c r="Z75" s="6">
        <f t="shared" si="16"/>
        <v>0.10863509749303621</v>
      </c>
      <c r="AA75" s="6">
        <f t="shared" si="18"/>
        <v>0.1875</v>
      </c>
    </row>
    <row r="76" spans="1:27" x14ac:dyDescent="0.2">
      <c r="A76" s="2" t="s">
        <v>155</v>
      </c>
      <c r="B76" s="2">
        <v>1996</v>
      </c>
      <c r="C76" s="2">
        <v>1</v>
      </c>
      <c r="D76" s="2" t="s">
        <v>90</v>
      </c>
      <c r="E76" s="2" t="s">
        <v>6</v>
      </c>
      <c r="F76" s="2">
        <v>639</v>
      </c>
      <c r="G76" s="2">
        <v>116</v>
      </c>
      <c r="H76" s="2">
        <v>192</v>
      </c>
      <c r="I76" s="2">
        <v>47</v>
      </c>
      <c r="J76" s="2">
        <v>3</v>
      </c>
      <c r="K76" s="2">
        <v>19</v>
      </c>
      <c r="L76" s="2">
        <v>86</v>
      </c>
      <c r="M76" s="2">
        <v>38</v>
      </c>
      <c r="N76" s="2">
        <v>55</v>
      </c>
      <c r="O76" s="2" t="s">
        <v>41</v>
      </c>
      <c r="P76" s="2" t="s">
        <v>33</v>
      </c>
      <c r="Q76" s="2" t="s">
        <v>28</v>
      </c>
      <c r="R76" s="2" t="s">
        <v>33</v>
      </c>
      <c r="S76" s="2" t="s">
        <v>44</v>
      </c>
      <c r="T76" s="2" t="s">
        <v>31</v>
      </c>
      <c r="U76" s="6">
        <f t="shared" si="12"/>
        <v>0.30046948356807512</v>
      </c>
      <c r="V76" s="6">
        <f t="shared" si="13"/>
        <v>0.34826589595375723</v>
      </c>
      <c r="W76" s="6">
        <f t="shared" si="14"/>
        <v>0.47261345852895148</v>
      </c>
      <c r="X76" s="6">
        <f t="shared" si="17"/>
        <v>0.82087935448270866</v>
      </c>
      <c r="Y76" s="6">
        <f t="shared" si="15"/>
        <v>5.6129985228951254E-2</v>
      </c>
      <c r="Z76" s="6">
        <f t="shared" si="16"/>
        <v>7.9250720461095103E-2</v>
      </c>
      <c r="AA76" s="6">
        <f t="shared" si="18"/>
        <v>0.17214397496087636</v>
      </c>
    </row>
    <row r="77" spans="1:27" x14ac:dyDescent="0.2">
      <c r="A77" s="3" t="s">
        <v>135</v>
      </c>
      <c r="B77" s="3">
        <v>1996</v>
      </c>
      <c r="C77" s="3">
        <v>1</v>
      </c>
      <c r="D77" s="3" t="s">
        <v>85</v>
      </c>
      <c r="E77" s="3" t="s">
        <v>3</v>
      </c>
      <c r="F77" s="3">
        <v>78</v>
      </c>
      <c r="G77" s="3">
        <v>3</v>
      </c>
      <c r="H77" s="3">
        <v>17</v>
      </c>
      <c r="I77" s="3">
        <v>3</v>
      </c>
      <c r="J77" s="3">
        <v>0</v>
      </c>
      <c r="K77" s="3">
        <v>1</v>
      </c>
      <c r="L77" s="3">
        <v>12</v>
      </c>
      <c r="M77" s="3">
        <v>3</v>
      </c>
      <c r="N77" s="3">
        <v>26</v>
      </c>
      <c r="O77" s="3" t="s">
        <v>28</v>
      </c>
      <c r="P77" s="3" t="s">
        <v>30</v>
      </c>
      <c r="Q77" s="3" t="s">
        <v>44</v>
      </c>
      <c r="R77" s="3" t="s">
        <v>30</v>
      </c>
      <c r="S77" s="3" t="s">
        <v>28</v>
      </c>
      <c r="T77" s="3" t="s">
        <v>30</v>
      </c>
      <c r="U77" s="6">
        <f t="shared" si="12"/>
        <v>0.21794871794871795</v>
      </c>
      <c r="V77" s="6">
        <f t="shared" si="13"/>
        <v>0.25301204819277107</v>
      </c>
      <c r="W77" s="6">
        <f t="shared" si="14"/>
        <v>0.29487179487179488</v>
      </c>
      <c r="X77" s="6">
        <f t="shared" si="17"/>
        <v>0.54788384306456595</v>
      </c>
      <c r="Y77" s="6">
        <f t="shared" si="15"/>
        <v>3.7037037037037035E-2</v>
      </c>
      <c r="Z77" s="6">
        <f t="shared" si="16"/>
        <v>0.25</v>
      </c>
      <c r="AA77" s="6">
        <f t="shared" si="18"/>
        <v>7.6923076923076927E-2</v>
      </c>
    </row>
    <row r="78" spans="1:27" x14ac:dyDescent="0.2">
      <c r="A78" s="2" t="s">
        <v>157</v>
      </c>
      <c r="B78" s="2">
        <v>1996</v>
      </c>
      <c r="C78" s="2">
        <v>1</v>
      </c>
      <c r="D78" s="2" t="s">
        <v>68</v>
      </c>
      <c r="E78" s="2" t="s">
        <v>6</v>
      </c>
      <c r="F78" s="2">
        <v>635</v>
      </c>
      <c r="G78" s="2">
        <v>118</v>
      </c>
      <c r="H78" s="2">
        <v>207</v>
      </c>
      <c r="I78" s="2">
        <v>29</v>
      </c>
      <c r="J78" s="2">
        <v>1</v>
      </c>
      <c r="K78" s="2">
        <v>44</v>
      </c>
      <c r="L78" s="2">
        <v>143</v>
      </c>
      <c r="M78" s="2">
        <v>95</v>
      </c>
      <c r="N78" s="2">
        <v>154</v>
      </c>
      <c r="O78" s="2" t="s">
        <v>52</v>
      </c>
      <c r="P78" s="2" t="s">
        <v>43</v>
      </c>
      <c r="Q78" s="2" t="s">
        <v>28</v>
      </c>
      <c r="R78" s="2" t="s">
        <v>39</v>
      </c>
      <c r="S78" s="2" t="s">
        <v>47</v>
      </c>
      <c r="T78" s="2" t="s">
        <v>34</v>
      </c>
      <c r="U78" s="6">
        <f t="shared" si="12"/>
        <v>0.32598425196850395</v>
      </c>
      <c r="V78" s="6">
        <f t="shared" si="13"/>
        <v>0.43450064850843062</v>
      </c>
      <c r="W78" s="6">
        <f t="shared" si="14"/>
        <v>0.58267716535433067</v>
      </c>
      <c r="X78" s="6">
        <f t="shared" si="17"/>
        <v>1.0171778138627614</v>
      </c>
      <c r="Y78" s="6">
        <f t="shared" si="15"/>
        <v>0.13013698630136986</v>
      </c>
      <c r="Z78" s="6">
        <f t="shared" si="16"/>
        <v>0.19518377693282637</v>
      </c>
      <c r="AA78" s="6">
        <f t="shared" si="18"/>
        <v>0.25669291338582673</v>
      </c>
    </row>
    <row r="79" spans="1:27" x14ac:dyDescent="0.2">
      <c r="A79" s="3" t="s">
        <v>127</v>
      </c>
      <c r="B79" s="3">
        <v>1997</v>
      </c>
      <c r="C79" s="3">
        <v>1</v>
      </c>
      <c r="D79" s="3" t="s">
        <v>78</v>
      </c>
      <c r="E79" s="3" t="s">
        <v>6</v>
      </c>
      <c r="F79" s="3">
        <v>412</v>
      </c>
      <c r="G79" s="3">
        <v>64</v>
      </c>
      <c r="H79" s="3">
        <v>137</v>
      </c>
      <c r="I79" s="3">
        <v>23</v>
      </c>
      <c r="J79" s="3">
        <v>2</v>
      </c>
      <c r="K79" s="3">
        <v>14</v>
      </c>
      <c r="L79" s="3">
        <v>60</v>
      </c>
      <c r="M79" s="3">
        <v>40</v>
      </c>
      <c r="N79" s="3">
        <v>43</v>
      </c>
      <c r="O79" s="3" t="s">
        <v>31</v>
      </c>
      <c r="P79" s="3" t="s">
        <v>34</v>
      </c>
      <c r="Q79" s="3" t="s">
        <v>41</v>
      </c>
      <c r="R79" s="3" t="s">
        <v>41</v>
      </c>
      <c r="S79" s="3" t="s">
        <v>37</v>
      </c>
      <c r="T79" s="3" t="s">
        <v>33</v>
      </c>
      <c r="U79" s="6">
        <f t="shared" si="12"/>
        <v>0.33252427184466021</v>
      </c>
      <c r="V79" s="6">
        <f t="shared" si="13"/>
        <v>0.39224137931034481</v>
      </c>
      <c r="W79" s="6">
        <f t="shared" si="14"/>
        <v>0.5</v>
      </c>
      <c r="X79" s="6">
        <f t="shared" si="17"/>
        <v>0.89224137931034475</v>
      </c>
      <c r="Y79" s="6">
        <f t="shared" si="15"/>
        <v>8.8495575221238937E-2</v>
      </c>
      <c r="Z79" s="6">
        <f t="shared" si="16"/>
        <v>9.4505494505494503E-2</v>
      </c>
      <c r="AA79" s="6">
        <f t="shared" si="18"/>
        <v>0.16747572815533979</v>
      </c>
    </row>
    <row r="80" spans="1:27" x14ac:dyDescent="0.2">
      <c r="A80" s="2" t="s">
        <v>128</v>
      </c>
      <c r="B80" s="2">
        <v>1997</v>
      </c>
      <c r="C80" s="2">
        <v>1</v>
      </c>
      <c r="D80" s="2" t="s">
        <v>78</v>
      </c>
      <c r="E80" s="2" t="s">
        <v>6</v>
      </c>
      <c r="F80" s="2">
        <v>590</v>
      </c>
      <c r="G80" s="2">
        <v>97</v>
      </c>
      <c r="H80" s="2">
        <v>170</v>
      </c>
      <c r="I80" s="2">
        <v>39</v>
      </c>
      <c r="J80" s="2">
        <v>7</v>
      </c>
      <c r="K80" s="2">
        <v>18</v>
      </c>
      <c r="L80" s="2">
        <v>73</v>
      </c>
      <c r="M80" s="2">
        <v>84</v>
      </c>
      <c r="N80" s="2">
        <v>105</v>
      </c>
      <c r="O80" s="2" t="s">
        <v>36</v>
      </c>
      <c r="P80" s="2" t="s">
        <v>52</v>
      </c>
      <c r="Q80" s="2" t="s">
        <v>31</v>
      </c>
      <c r="R80" s="2" t="s">
        <v>30</v>
      </c>
      <c r="S80" s="2" t="s">
        <v>30</v>
      </c>
      <c r="T80" s="2" t="s">
        <v>41</v>
      </c>
      <c r="U80" s="6">
        <f t="shared" si="12"/>
        <v>0.28813559322033899</v>
      </c>
      <c r="V80" s="6">
        <f t="shared" si="13"/>
        <v>0.39857142857142858</v>
      </c>
      <c r="W80" s="6">
        <f t="shared" si="14"/>
        <v>0.46949152542372879</v>
      </c>
      <c r="X80" s="6">
        <f t="shared" si="17"/>
        <v>0.86806295399515743</v>
      </c>
      <c r="Y80" s="6">
        <f t="shared" si="15"/>
        <v>0.12462908011869436</v>
      </c>
      <c r="Z80" s="6">
        <f t="shared" si="16"/>
        <v>0.15107913669064749</v>
      </c>
      <c r="AA80" s="6">
        <f t="shared" si="18"/>
        <v>0.1813559322033898</v>
      </c>
    </row>
    <row r="81" spans="1:27" x14ac:dyDescent="0.2">
      <c r="A81" s="3" t="s">
        <v>152</v>
      </c>
      <c r="B81" s="3">
        <v>1997</v>
      </c>
      <c r="C81" s="3">
        <v>1</v>
      </c>
      <c r="D81" s="3" t="s">
        <v>82</v>
      </c>
      <c r="E81" s="3" t="s">
        <v>3</v>
      </c>
      <c r="F81" s="3">
        <v>566</v>
      </c>
      <c r="G81" s="3">
        <v>109</v>
      </c>
      <c r="H81" s="3">
        <v>162</v>
      </c>
      <c r="I81" s="3">
        <v>40</v>
      </c>
      <c r="J81" s="3">
        <v>2</v>
      </c>
      <c r="K81" s="3">
        <v>43</v>
      </c>
      <c r="L81" s="3">
        <v>135</v>
      </c>
      <c r="M81" s="3">
        <v>127</v>
      </c>
      <c r="N81" s="3">
        <v>122</v>
      </c>
      <c r="O81" s="3" t="s">
        <v>62</v>
      </c>
      <c r="P81" s="3" t="s">
        <v>50</v>
      </c>
      <c r="Q81" s="3" t="s">
        <v>28</v>
      </c>
      <c r="R81" s="3" t="s">
        <v>39</v>
      </c>
      <c r="S81" s="3" t="s">
        <v>37</v>
      </c>
      <c r="T81" s="3" t="s">
        <v>34</v>
      </c>
      <c r="U81" s="6">
        <f t="shared" si="12"/>
        <v>0.28621908127208479</v>
      </c>
      <c r="V81" s="6">
        <f t="shared" si="13"/>
        <v>0.44623655913978494</v>
      </c>
      <c r="W81" s="6">
        <f t="shared" si="14"/>
        <v>0.59187279151943462</v>
      </c>
      <c r="X81" s="6">
        <f t="shared" si="17"/>
        <v>1.0381093506592196</v>
      </c>
      <c r="Y81" s="6">
        <f t="shared" si="15"/>
        <v>0.18326118326118326</v>
      </c>
      <c r="Z81" s="6">
        <f t="shared" si="16"/>
        <v>0.17732558139534885</v>
      </c>
      <c r="AA81" s="6">
        <f t="shared" si="18"/>
        <v>0.30565371024734983</v>
      </c>
    </row>
    <row r="82" spans="1:27" x14ac:dyDescent="0.2">
      <c r="A82" s="2" t="s">
        <v>130</v>
      </c>
      <c r="B82" s="2">
        <v>1997</v>
      </c>
      <c r="C82" s="2">
        <v>1</v>
      </c>
      <c r="D82" s="2" t="s">
        <v>82</v>
      </c>
      <c r="E82" s="2" t="s">
        <v>3</v>
      </c>
      <c r="F82" s="2">
        <v>619</v>
      </c>
      <c r="G82" s="2">
        <v>146</v>
      </c>
      <c r="H82" s="2">
        <v>191</v>
      </c>
      <c r="I82" s="2">
        <v>37</v>
      </c>
      <c r="J82" s="2">
        <v>8</v>
      </c>
      <c r="K82" s="2">
        <v>22</v>
      </c>
      <c r="L82" s="2">
        <v>81</v>
      </c>
      <c r="M82" s="2">
        <v>84</v>
      </c>
      <c r="N82" s="2">
        <v>107</v>
      </c>
      <c r="O82" s="2" t="s">
        <v>36</v>
      </c>
      <c r="P82" s="2" t="s">
        <v>72</v>
      </c>
      <c r="Q82" s="2" t="s">
        <v>28</v>
      </c>
      <c r="R82" s="2" t="s">
        <v>41</v>
      </c>
      <c r="S82" s="2" t="s">
        <v>28</v>
      </c>
      <c r="T82" s="2" t="s">
        <v>33</v>
      </c>
      <c r="U82" s="6">
        <f t="shared" si="12"/>
        <v>0.30856219709208399</v>
      </c>
      <c r="V82" s="6">
        <f t="shared" si="13"/>
        <v>0.42</v>
      </c>
      <c r="W82" s="6">
        <f t="shared" si="14"/>
        <v>0.50080775444264947</v>
      </c>
      <c r="X82" s="6">
        <f t="shared" si="17"/>
        <v>0.9208077544426494</v>
      </c>
      <c r="Y82" s="6">
        <f t="shared" si="15"/>
        <v>0.11948790896159317</v>
      </c>
      <c r="Z82" s="6">
        <f t="shared" si="16"/>
        <v>0.14738292011019283</v>
      </c>
      <c r="AA82" s="6">
        <f t="shared" si="18"/>
        <v>0.19224555735056548</v>
      </c>
    </row>
    <row r="83" spans="1:27" x14ac:dyDescent="0.2">
      <c r="A83" s="3" t="s">
        <v>118</v>
      </c>
      <c r="B83" s="3">
        <v>1997</v>
      </c>
      <c r="C83" s="3">
        <v>1</v>
      </c>
      <c r="D83" s="3" t="s">
        <v>85</v>
      </c>
      <c r="E83" s="3" t="s">
        <v>3</v>
      </c>
      <c r="F83" s="3">
        <v>519</v>
      </c>
      <c r="G83" s="3">
        <v>90</v>
      </c>
      <c r="H83" s="3">
        <v>160</v>
      </c>
      <c r="I83" s="3">
        <v>31</v>
      </c>
      <c r="J83" s="3">
        <v>4</v>
      </c>
      <c r="K83" s="3">
        <v>17</v>
      </c>
      <c r="L83" s="3">
        <v>70</v>
      </c>
      <c r="M83" s="3">
        <v>70</v>
      </c>
      <c r="N83" s="3">
        <v>101</v>
      </c>
      <c r="O83" s="3" t="s">
        <v>36</v>
      </c>
      <c r="P83" s="3" t="s">
        <v>54</v>
      </c>
      <c r="Q83" s="3" t="s">
        <v>32</v>
      </c>
      <c r="R83" s="3" t="s">
        <v>42</v>
      </c>
      <c r="S83" s="3" t="s">
        <v>35</v>
      </c>
      <c r="T83" s="3" t="s">
        <v>36</v>
      </c>
      <c r="U83" s="6">
        <f t="shared" si="12"/>
        <v>0.30828516377649323</v>
      </c>
      <c r="V83" s="6">
        <f t="shared" si="13"/>
        <v>0.41025641025641024</v>
      </c>
      <c r="W83" s="6">
        <f t="shared" si="14"/>
        <v>0.48169556840077071</v>
      </c>
      <c r="X83" s="6">
        <f t="shared" si="17"/>
        <v>0.89195197865718101</v>
      </c>
      <c r="Y83" s="6">
        <f t="shared" si="15"/>
        <v>0.11884550084889643</v>
      </c>
      <c r="Z83" s="6">
        <f t="shared" si="16"/>
        <v>0.16290322580645161</v>
      </c>
      <c r="AA83" s="6">
        <f t="shared" si="18"/>
        <v>0.17341040462427748</v>
      </c>
    </row>
    <row r="84" spans="1:27" x14ac:dyDescent="0.2">
      <c r="A84" s="2" t="s">
        <v>110</v>
      </c>
      <c r="B84" s="2">
        <v>1997</v>
      </c>
      <c r="C84" s="2">
        <v>1</v>
      </c>
      <c r="D84" s="2" t="s">
        <v>79</v>
      </c>
      <c r="E84" s="2" t="s">
        <v>3</v>
      </c>
      <c r="F84" s="2">
        <v>532</v>
      </c>
      <c r="G84" s="2">
        <v>123</v>
      </c>
      <c r="H84" s="2">
        <v>155</v>
      </c>
      <c r="I84" s="2">
        <v>26</v>
      </c>
      <c r="J84" s="2">
        <v>5</v>
      </c>
      <c r="K84" s="2">
        <v>40</v>
      </c>
      <c r="L84" s="2">
        <v>101</v>
      </c>
      <c r="M84" s="2">
        <v>145</v>
      </c>
      <c r="N84" s="2">
        <v>87</v>
      </c>
      <c r="O84" s="2" t="s">
        <v>72</v>
      </c>
      <c r="P84" s="2" t="s">
        <v>39</v>
      </c>
      <c r="Q84" s="2" t="s">
        <v>28</v>
      </c>
      <c r="R84" s="2" t="s">
        <v>32</v>
      </c>
      <c r="S84" s="2" t="s">
        <v>35</v>
      </c>
      <c r="T84" s="2" t="s">
        <v>41</v>
      </c>
      <c r="U84" s="6">
        <f t="shared" si="12"/>
        <v>0.29135338345864664</v>
      </c>
      <c r="V84" s="6">
        <f t="shared" si="13"/>
        <v>0.47237569060773482</v>
      </c>
      <c r="W84" s="6">
        <f t="shared" si="14"/>
        <v>0.58458646616541354</v>
      </c>
      <c r="X84" s="6">
        <f t="shared" si="17"/>
        <v>1.0569621567731484</v>
      </c>
      <c r="Y84" s="6">
        <f t="shared" si="15"/>
        <v>0.21418020679468242</v>
      </c>
      <c r="Z84" s="6">
        <f t="shared" si="16"/>
        <v>0.14054927302100162</v>
      </c>
      <c r="AA84" s="6">
        <f t="shared" si="18"/>
        <v>0.2932330827067669</v>
      </c>
    </row>
    <row r="85" spans="1:27" x14ac:dyDescent="0.2">
      <c r="A85" s="3" t="s">
        <v>119</v>
      </c>
      <c r="B85" s="3">
        <v>1997</v>
      </c>
      <c r="C85" s="3">
        <v>1</v>
      </c>
      <c r="D85" s="3" t="s">
        <v>88</v>
      </c>
      <c r="E85" s="3" t="s">
        <v>3</v>
      </c>
      <c r="F85" s="3">
        <v>486</v>
      </c>
      <c r="G85" s="3">
        <v>92</v>
      </c>
      <c r="H85" s="3">
        <v>141</v>
      </c>
      <c r="I85" s="3">
        <v>28</v>
      </c>
      <c r="J85" s="3">
        <v>0</v>
      </c>
      <c r="K85" s="3">
        <v>26</v>
      </c>
      <c r="L85" s="3">
        <v>90</v>
      </c>
      <c r="M85" s="3">
        <v>80</v>
      </c>
      <c r="N85" s="3">
        <v>118</v>
      </c>
      <c r="O85" s="3" t="s">
        <v>42</v>
      </c>
      <c r="P85" s="3" t="s">
        <v>34</v>
      </c>
      <c r="Q85" s="3" t="s">
        <v>28</v>
      </c>
      <c r="R85" s="3" t="s">
        <v>41</v>
      </c>
      <c r="S85" s="3" t="s">
        <v>38</v>
      </c>
      <c r="T85" s="3" t="s">
        <v>32</v>
      </c>
      <c r="U85" s="6">
        <f t="shared" si="12"/>
        <v>0.29012345679012347</v>
      </c>
      <c r="V85" s="6">
        <f t="shared" si="13"/>
        <v>0.39829059829059826</v>
      </c>
      <c r="W85" s="6">
        <f t="shared" si="14"/>
        <v>0.50823045267489708</v>
      </c>
      <c r="X85" s="6">
        <f t="shared" si="17"/>
        <v>0.90652105096549529</v>
      </c>
      <c r="Y85" s="6">
        <f t="shared" si="15"/>
        <v>0.14134275618374559</v>
      </c>
      <c r="Z85" s="6">
        <f t="shared" si="16"/>
        <v>0.19536423841059603</v>
      </c>
      <c r="AA85" s="6">
        <f t="shared" si="18"/>
        <v>0.21810699588477361</v>
      </c>
    </row>
    <row r="86" spans="1:27" x14ac:dyDescent="0.2">
      <c r="A86" s="2" t="s">
        <v>138</v>
      </c>
      <c r="B86" s="2">
        <v>1997</v>
      </c>
      <c r="C86" s="2">
        <v>1</v>
      </c>
      <c r="D86" s="2" t="s">
        <v>91</v>
      </c>
      <c r="E86" s="2" t="s">
        <v>6</v>
      </c>
      <c r="F86" s="2">
        <v>608</v>
      </c>
      <c r="G86" s="2">
        <v>125</v>
      </c>
      <c r="H86" s="2">
        <v>185</v>
      </c>
      <c r="I86" s="2">
        <v>34</v>
      </c>
      <c r="J86" s="2">
        <v>3</v>
      </c>
      <c r="K86" s="2">
        <v>56</v>
      </c>
      <c r="L86" s="2">
        <v>147</v>
      </c>
      <c r="M86" s="2">
        <v>76</v>
      </c>
      <c r="N86" s="2">
        <v>121</v>
      </c>
      <c r="O86" s="2" t="s">
        <v>63</v>
      </c>
      <c r="P86" s="2" t="s">
        <v>39</v>
      </c>
      <c r="Q86" s="2" t="s">
        <v>28</v>
      </c>
      <c r="R86" s="2" t="s">
        <v>38</v>
      </c>
      <c r="S86" s="2" t="s">
        <v>38</v>
      </c>
      <c r="T86" s="2" t="s">
        <v>39</v>
      </c>
      <c r="U86" s="6">
        <f t="shared" si="12"/>
        <v>0.30427631578947367</v>
      </c>
      <c r="V86" s="6">
        <f t="shared" si="13"/>
        <v>0.40165061898211829</v>
      </c>
      <c r="W86" s="6">
        <f t="shared" si="14"/>
        <v>0.64638157894736847</v>
      </c>
      <c r="X86" s="6">
        <f t="shared" si="17"/>
        <v>1.0480321979294867</v>
      </c>
      <c r="Y86" s="6">
        <f t="shared" si="15"/>
        <v>0.1111111111111111</v>
      </c>
      <c r="Z86" s="6">
        <f t="shared" si="16"/>
        <v>0.16598079561042525</v>
      </c>
      <c r="AA86" s="6">
        <f t="shared" si="18"/>
        <v>0.3421052631578948</v>
      </c>
    </row>
    <row r="87" spans="1:27" x14ac:dyDescent="0.2">
      <c r="A87" s="3" t="s">
        <v>98</v>
      </c>
      <c r="B87" s="3">
        <v>1997</v>
      </c>
      <c r="C87" s="3">
        <v>1</v>
      </c>
      <c r="D87" s="3" t="s">
        <v>88</v>
      </c>
      <c r="E87" s="3" t="s">
        <v>3</v>
      </c>
      <c r="F87" s="3">
        <v>592</v>
      </c>
      <c r="G87" s="3">
        <v>97</v>
      </c>
      <c r="H87" s="3">
        <v>220</v>
      </c>
      <c r="I87" s="3">
        <v>49</v>
      </c>
      <c r="J87" s="3">
        <v>2</v>
      </c>
      <c r="K87" s="3">
        <v>17</v>
      </c>
      <c r="L87" s="3">
        <v>119</v>
      </c>
      <c r="M87" s="3">
        <v>43</v>
      </c>
      <c r="N87" s="3">
        <v>28</v>
      </c>
      <c r="O87" s="3" t="s">
        <v>38</v>
      </c>
      <c r="P87" s="3" t="s">
        <v>34</v>
      </c>
      <c r="Q87" s="3" t="s">
        <v>30</v>
      </c>
      <c r="R87" s="3" t="s">
        <v>38</v>
      </c>
      <c r="S87" s="3" t="s">
        <v>38</v>
      </c>
      <c r="T87" s="3" t="s">
        <v>37</v>
      </c>
      <c r="U87" s="6">
        <f t="shared" si="12"/>
        <v>0.3716216216216216</v>
      </c>
      <c r="V87" s="6">
        <f t="shared" si="13"/>
        <v>0.41993957703927492</v>
      </c>
      <c r="W87" s="6">
        <f t="shared" si="14"/>
        <v>0.54729729729729726</v>
      </c>
      <c r="X87" s="6">
        <f t="shared" si="17"/>
        <v>0.96723687433657224</v>
      </c>
      <c r="Y87" s="6">
        <f t="shared" si="15"/>
        <v>6.7716535433070865E-2</v>
      </c>
      <c r="Z87" s="6">
        <f t="shared" si="16"/>
        <v>4.5161290322580643E-2</v>
      </c>
      <c r="AA87" s="6">
        <f t="shared" si="18"/>
        <v>0.17567567567567566</v>
      </c>
    </row>
    <row r="88" spans="1:27" x14ac:dyDescent="0.2">
      <c r="A88" s="2" t="s">
        <v>132</v>
      </c>
      <c r="B88" s="2">
        <v>1997</v>
      </c>
      <c r="C88" s="2">
        <v>1</v>
      </c>
      <c r="D88" s="2" t="s">
        <v>91</v>
      </c>
      <c r="E88" s="2" t="s">
        <v>6</v>
      </c>
      <c r="F88" s="2"/>
      <c r="G88" s="2"/>
      <c r="H88" s="2"/>
      <c r="I88" s="2"/>
      <c r="J88" s="2"/>
      <c r="K88" s="2"/>
      <c r="L88" s="2"/>
      <c r="M88" s="2"/>
      <c r="N88" s="2"/>
      <c r="O88" s="2" t="s">
        <v>26</v>
      </c>
      <c r="P88" s="2" t="s">
        <v>26</v>
      </c>
      <c r="Q88" s="2" t="s">
        <v>26</v>
      </c>
      <c r="R88" s="2" t="s">
        <v>26</v>
      </c>
      <c r="S88" s="2" t="s">
        <v>26</v>
      </c>
      <c r="T88" s="2" t="s">
        <v>30</v>
      </c>
      <c r="U88" s="6" t="e">
        <f t="shared" si="12"/>
        <v>#DIV/0!</v>
      </c>
      <c r="V88" s="6" t="e">
        <f t="shared" si="13"/>
        <v>#VALUE!</v>
      </c>
      <c r="W88" s="6" t="e">
        <f t="shared" si="14"/>
        <v>#DIV/0!</v>
      </c>
      <c r="X88" s="6" t="e">
        <f t="shared" si="17"/>
        <v>#VALUE!</v>
      </c>
      <c r="Y88" s="6" t="e">
        <f t="shared" si="15"/>
        <v>#DIV/0!</v>
      </c>
      <c r="Z88" s="6" t="e">
        <f t="shared" si="16"/>
        <v>#DIV/0!</v>
      </c>
      <c r="AA88" s="6" t="e">
        <f t="shared" si="18"/>
        <v>#DIV/0!</v>
      </c>
    </row>
    <row r="89" spans="1:27" x14ac:dyDescent="0.2">
      <c r="A89" s="3" t="s">
        <v>148</v>
      </c>
      <c r="B89" s="3">
        <v>1997</v>
      </c>
      <c r="C89" s="3">
        <v>1</v>
      </c>
      <c r="D89" s="3" t="s">
        <v>60</v>
      </c>
      <c r="E89" s="3" t="s">
        <v>3</v>
      </c>
      <c r="F89" s="3">
        <v>465</v>
      </c>
      <c r="G89" s="3">
        <v>94</v>
      </c>
      <c r="H89" s="3">
        <v>137</v>
      </c>
      <c r="I89" s="3">
        <v>36</v>
      </c>
      <c r="J89" s="3">
        <v>3</v>
      </c>
      <c r="K89" s="3">
        <v>31</v>
      </c>
      <c r="L89" s="3">
        <v>98</v>
      </c>
      <c r="M89" s="3">
        <v>95</v>
      </c>
      <c r="N89" s="3">
        <v>125</v>
      </c>
      <c r="O89" s="3" t="s">
        <v>37</v>
      </c>
      <c r="P89" s="3" t="s">
        <v>28</v>
      </c>
      <c r="Q89" s="3" t="s">
        <v>28</v>
      </c>
      <c r="R89" s="3" t="s">
        <v>32</v>
      </c>
      <c r="S89" s="3" t="s">
        <v>42</v>
      </c>
      <c r="T89" s="3" t="s">
        <v>39</v>
      </c>
      <c r="U89" s="6">
        <f t="shared" si="12"/>
        <v>0.29462365591397849</v>
      </c>
      <c r="V89" s="6">
        <f t="shared" si="13"/>
        <v>0.42086956521739133</v>
      </c>
      <c r="W89" s="6">
        <f t="shared" si="14"/>
        <v>0.5849462365591398</v>
      </c>
      <c r="X89" s="6">
        <f t="shared" si="17"/>
        <v>1.0058158017765311</v>
      </c>
      <c r="Y89" s="6">
        <f t="shared" si="15"/>
        <v>0.16964285714285715</v>
      </c>
      <c r="Z89" s="6">
        <f t="shared" si="16"/>
        <v>0.21186440677966101</v>
      </c>
      <c r="AA89" s="6">
        <f t="shared" si="18"/>
        <v>0.29032258064516131</v>
      </c>
    </row>
    <row r="90" spans="1:27" x14ac:dyDescent="0.2">
      <c r="A90" s="2" t="s">
        <v>113</v>
      </c>
      <c r="B90" s="2">
        <v>1997</v>
      </c>
      <c r="C90" s="2">
        <v>1</v>
      </c>
      <c r="D90" s="2" t="s">
        <v>85</v>
      </c>
      <c r="E90" s="2" t="s">
        <v>3</v>
      </c>
      <c r="F90" s="2">
        <v>67</v>
      </c>
      <c r="G90" s="2">
        <v>3</v>
      </c>
      <c r="H90" s="2">
        <v>7</v>
      </c>
      <c r="I90" s="2">
        <v>2</v>
      </c>
      <c r="J90" s="2">
        <v>0</v>
      </c>
      <c r="K90" s="2">
        <v>0</v>
      </c>
      <c r="L90" s="2">
        <v>4</v>
      </c>
      <c r="M90" s="2">
        <v>5</v>
      </c>
      <c r="N90" s="2">
        <v>21</v>
      </c>
      <c r="O90" s="2" t="s">
        <v>28</v>
      </c>
      <c r="P90" s="2" t="s">
        <v>28</v>
      </c>
      <c r="Q90" s="2" t="s">
        <v>36</v>
      </c>
      <c r="R90" s="2" t="s">
        <v>28</v>
      </c>
      <c r="S90" s="2" t="s">
        <v>28</v>
      </c>
      <c r="T90" s="2" t="s">
        <v>30</v>
      </c>
      <c r="U90" s="6">
        <f t="shared" si="12"/>
        <v>0.1044776119402985</v>
      </c>
      <c r="V90" s="6">
        <f t="shared" si="13"/>
        <v>0.16666666666666666</v>
      </c>
      <c r="W90" s="6">
        <f t="shared" si="14"/>
        <v>0.13432835820895522</v>
      </c>
      <c r="X90" s="6">
        <f t="shared" si="17"/>
        <v>0.30099502487562191</v>
      </c>
      <c r="Y90" s="6">
        <f t="shared" si="15"/>
        <v>6.9444444444444448E-2</v>
      </c>
      <c r="Z90" s="6">
        <f t="shared" si="16"/>
        <v>0.23863636363636365</v>
      </c>
      <c r="AA90" s="6">
        <f t="shared" si="18"/>
        <v>2.9850746268656719E-2</v>
      </c>
    </row>
    <row r="91" spans="1:27" x14ac:dyDescent="0.2">
      <c r="A91" s="3" t="s">
        <v>123</v>
      </c>
      <c r="B91" s="3">
        <v>1997</v>
      </c>
      <c r="C91" s="3">
        <v>1</v>
      </c>
      <c r="D91" s="3" t="s">
        <v>91</v>
      </c>
      <c r="E91" s="3" t="s">
        <v>6</v>
      </c>
      <c r="F91" s="3">
        <v>542</v>
      </c>
      <c r="G91" s="3">
        <v>104</v>
      </c>
      <c r="H91" s="3">
        <v>179</v>
      </c>
      <c r="I91" s="3">
        <v>35</v>
      </c>
      <c r="J91" s="3">
        <v>1</v>
      </c>
      <c r="K91" s="3">
        <v>28</v>
      </c>
      <c r="L91" s="3">
        <v>108</v>
      </c>
      <c r="M91" s="3">
        <v>119</v>
      </c>
      <c r="N91" s="3">
        <v>86</v>
      </c>
      <c r="O91" s="3" t="s">
        <v>40</v>
      </c>
      <c r="P91" s="3" t="s">
        <v>40</v>
      </c>
      <c r="Q91" s="3" t="s">
        <v>28</v>
      </c>
      <c r="R91" s="3" t="s">
        <v>36</v>
      </c>
      <c r="S91" s="3" t="s">
        <v>49</v>
      </c>
      <c r="T91" s="3" t="s">
        <v>37</v>
      </c>
      <c r="U91" s="6">
        <f t="shared" si="12"/>
        <v>0.33025830258302585</v>
      </c>
      <c r="V91" s="6">
        <f t="shared" si="13"/>
        <v>0.4644412191582003</v>
      </c>
      <c r="W91" s="6">
        <f t="shared" si="14"/>
        <v>0.55350553505535061</v>
      </c>
      <c r="X91" s="6">
        <f t="shared" si="17"/>
        <v>1.017946754213551</v>
      </c>
      <c r="Y91" s="6">
        <f t="shared" si="15"/>
        <v>0.1800302571860817</v>
      </c>
      <c r="Z91" s="6">
        <f t="shared" si="16"/>
        <v>0.13694267515923567</v>
      </c>
      <c r="AA91" s="6">
        <f t="shared" si="18"/>
        <v>0.22324723247232475</v>
      </c>
    </row>
    <row r="92" spans="1:27" x14ac:dyDescent="0.2">
      <c r="A92" s="2" t="s">
        <v>149</v>
      </c>
      <c r="B92" s="2">
        <v>1997</v>
      </c>
      <c r="C92" s="2">
        <v>1</v>
      </c>
      <c r="D92" s="2" t="s">
        <v>71</v>
      </c>
      <c r="E92" s="2" t="s">
        <v>6</v>
      </c>
      <c r="F92" s="2">
        <v>594</v>
      </c>
      <c r="G92" s="2">
        <v>96</v>
      </c>
      <c r="H92" s="2">
        <v>176</v>
      </c>
      <c r="I92" s="2">
        <v>31</v>
      </c>
      <c r="J92" s="2">
        <v>2</v>
      </c>
      <c r="K92" s="2">
        <v>44</v>
      </c>
      <c r="L92" s="2">
        <v>141</v>
      </c>
      <c r="M92" s="2">
        <v>75</v>
      </c>
      <c r="N92" s="2">
        <v>75</v>
      </c>
      <c r="O92" s="2" t="s">
        <v>43</v>
      </c>
      <c r="P92" s="2" t="s">
        <v>34</v>
      </c>
      <c r="Q92" s="2" t="s">
        <v>28</v>
      </c>
      <c r="R92" s="2" t="s">
        <v>35</v>
      </c>
      <c r="S92" s="2" t="s">
        <v>44</v>
      </c>
      <c r="T92" s="2" t="s">
        <v>34</v>
      </c>
      <c r="U92" s="6">
        <f t="shared" si="12"/>
        <v>0.29629629629629628</v>
      </c>
      <c r="V92" s="6">
        <f t="shared" si="13"/>
        <v>0.38340486409155938</v>
      </c>
      <c r="W92" s="6">
        <f t="shared" si="14"/>
        <v>0.57744107744107742</v>
      </c>
      <c r="X92" s="6">
        <f t="shared" si="17"/>
        <v>0.9608459415326368</v>
      </c>
      <c r="Y92" s="6">
        <f t="shared" si="15"/>
        <v>0.11210762331838565</v>
      </c>
      <c r="Z92" s="6">
        <f t="shared" si="16"/>
        <v>0.11210762331838565</v>
      </c>
      <c r="AA92" s="6">
        <f t="shared" si="18"/>
        <v>0.28114478114478114</v>
      </c>
    </row>
    <row r="93" spans="1:27" x14ac:dyDescent="0.2">
      <c r="A93" s="3" t="s">
        <v>108</v>
      </c>
      <c r="B93" s="3">
        <v>1997</v>
      </c>
      <c r="C93" s="3">
        <v>1</v>
      </c>
      <c r="D93" s="3" t="s">
        <v>71</v>
      </c>
      <c r="E93" s="3" t="s">
        <v>6</v>
      </c>
      <c r="F93" s="3">
        <v>553</v>
      </c>
      <c r="G93" s="3">
        <v>89</v>
      </c>
      <c r="H93" s="3">
        <v>179</v>
      </c>
      <c r="I93" s="3">
        <v>42</v>
      </c>
      <c r="J93" s="3">
        <v>0</v>
      </c>
      <c r="K93" s="3">
        <v>21</v>
      </c>
      <c r="L93" s="3">
        <v>117</v>
      </c>
      <c r="M93" s="3">
        <v>75</v>
      </c>
      <c r="N93" s="3">
        <v>92</v>
      </c>
      <c r="O93" s="3" t="s">
        <v>39</v>
      </c>
      <c r="P93" s="3" t="s">
        <v>28</v>
      </c>
      <c r="Q93" s="3" t="s">
        <v>28</v>
      </c>
      <c r="R93" s="3" t="s">
        <v>42</v>
      </c>
      <c r="S93" s="3" t="s">
        <v>50</v>
      </c>
      <c r="T93" s="3" t="s">
        <v>42</v>
      </c>
      <c r="U93" s="6">
        <f t="shared" si="12"/>
        <v>0.32368896925858953</v>
      </c>
      <c r="V93" s="6">
        <f t="shared" si="13"/>
        <v>0.40620155038759692</v>
      </c>
      <c r="W93" s="6">
        <f t="shared" si="14"/>
        <v>0.51356238698010848</v>
      </c>
      <c r="X93" s="6">
        <f t="shared" si="17"/>
        <v>0.91976393736770534</v>
      </c>
      <c r="Y93" s="6">
        <f t="shared" si="15"/>
        <v>0.11942675159235669</v>
      </c>
      <c r="Z93" s="6">
        <f t="shared" si="16"/>
        <v>0.14263565891472868</v>
      </c>
      <c r="AA93" s="6">
        <f t="shared" si="18"/>
        <v>0.18987341772151894</v>
      </c>
    </row>
    <row r="94" spans="1:27" x14ac:dyDescent="0.2">
      <c r="A94" s="2" t="s">
        <v>163</v>
      </c>
      <c r="B94" s="2">
        <v>1997</v>
      </c>
      <c r="C94" s="2">
        <v>1</v>
      </c>
      <c r="D94" s="2" t="s">
        <v>80</v>
      </c>
      <c r="E94" s="2" t="s">
        <v>3</v>
      </c>
      <c r="F94" s="2">
        <v>556</v>
      </c>
      <c r="G94" s="2">
        <v>104</v>
      </c>
      <c r="H94" s="2">
        <v>201</v>
      </c>
      <c r="I94" s="2">
        <v>32</v>
      </c>
      <c r="J94" s="2">
        <v>1</v>
      </c>
      <c r="K94" s="2">
        <v>40</v>
      </c>
      <c r="L94" s="2">
        <v>124</v>
      </c>
      <c r="M94" s="2">
        <v>69</v>
      </c>
      <c r="N94" s="2">
        <v>77</v>
      </c>
      <c r="O94" s="2" t="s">
        <v>40</v>
      </c>
      <c r="P94" s="2" t="s">
        <v>34</v>
      </c>
      <c r="Q94" s="2" t="s">
        <v>28</v>
      </c>
      <c r="R94" s="2" t="s">
        <v>32</v>
      </c>
      <c r="S94" s="2" t="s">
        <v>52</v>
      </c>
      <c r="T94" s="2" t="s">
        <v>31</v>
      </c>
      <c r="U94" s="6">
        <f t="shared" si="12"/>
        <v>0.36151079136690645</v>
      </c>
      <c r="V94" s="6">
        <f t="shared" si="13"/>
        <v>0.44099378881987578</v>
      </c>
      <c r="W94" s="6">
        <f t="shared" si="14"/>
        <v>0.63848920863309355</v>
      </c>
      <c r="X94" s="6">
        <f t="shared" si="17"/>
        <v>1.0794829974529694</v>
      </c>
      <c r="Y94" s="6">
        <f t="shared" si="15"/>
        <v>0.1104</v>
      </c>
      <c r="Z94" s="6">
        <f t="shared" si="16"/>
        <v>0.12164296998420221</v>
      </c>
      <c r="AA94" s="6">
        <f t="shared" si="18"/>
        <v>0.2769784172661871</v>
      </c>
    </row>
    <row r="95" spans="1:27" x14ac:dyDescent="0.2">
      <c r="A95" s="3" t="s">
        <v>95</v>
      </c>
      <c r="B95" s="3">
        <v>1997</v>
      </c>
      <c r="C95" s="3">
        <v>1</v>
      </c>
      <c r="D95" s="3" t="s">
        <v>78</v>
      </c>
      <c r="E95" s="3" t="s">
        <v>6</v>
      </c>
      <c r="F95" s="3">
        <v>615</v>
      </c>
      <c r="G95" s="3">
        <v>79</v>
      </c>
      <c r="H95" s="3">
        <v>166</v>
      </c>
      <c r="I95" s="3">
        <v>30</v>
      </c>
      <c r="J95" s="3">
        <v>0</v>
      </c>
      <c r="K95" s="3">
        <v>17</v>
      </c>
      <c r="L95" s="3">
        <v>84</v>
      </c>
      <c r="M95" s="3">
        <v>56</v>
      </c>
      <c r="N95" s="3">
        <v>73</v>
      </c>
      <c r="O95" s="3" t="s">
        <v>34</v>
      </c>
      <c r="P95" s="3" t="s">
        <v>32</v>
      </c>
      <c r="Q95" s="3" t="s">
        <v>28</v>
      </c>
      <c r="R95" s="3" t="s">
        <v>37</v>
      </c>
      <c r="S95" s="3" t="s">
        <v>52</v>
      </c>
      <c r="T95" s="3" t="s">
        <v>32</v>
      </c>
      <c r="U95" s="6">
        <f t="shared" si="12"/>
        <v>0.26991869918699185</v>
      </c>
      <c r="V95" s="6">
        <f t="shared" si="13"/>
        <v>0.33381712626995647</v>
      </c>
      <c r="W95" s="6">
        <f t="shared" si="14"/>
        <v>0.40162601626016259</v>
      </c>
      <c r="X95" s="6">
        <f t="shared" si="17"/>
        <v>0.73544314253011911</v>
      </c>
      <c r="Y95" s="6">
        <f t="shared" si="15"/>
        <v>8.3457526080476907E-2</v>
      </c>
      <c r="Z95" s="6">
        <f t="shared" si="16"/>
        <v>0.10610465116279069</v>
      </c>
      <c r="AA95" s="6">
        <f t="shared" si="18"/>
        <v>0.13170731707317074</v>
      </c>
    </row>
    <row r="96" spans="1:27" x14ac:dyDescent="0.2">
      <c r="A96" s="2" t="s">
        <v>173</v>
      </c>
      <c r="B96" s="2">
        <v>1997</v>
      </c>
      <c r="C96" s="2">
        <v>1</v>
      </c>
      <c r="D96" s="2" t="s">
        <v>91</v>
      </c>
      <c r="E96" s="2" t="s">
        <v>6</v>
      </c>
      <c r="F96" s="2">
        <v>587</v>
      </c>
      <c r="G96" s="2">
        <v>100</v>
      </c>
      <c r="H96" s="2">
        <v>176</v>
      </c>
      <c r="I96" s="2">
        <v>40</v>
      </c>
      <c r="J96" s="2">
        <v>3</v>
      </c>
      <c r="K96" s="2">
        <v>23</v>
      </c>
      <c r="L96" s="2">
        <v>84</v>
      </c>
      <c r="M96" s="2">
        <v>41</v>
      </c>
      <c r="N96" s="2">
        <v>99</v>
      </c>
      <c r="O96" s="2" t="s">
        <v>30</v>
      </c>
      <c r="P96" s="2" t="s">
        <v>32</v>
      </c>
      <c r="Q96" s="2" t="s">
        <v>33</v>
      </c>
      <c r="R96" s="2" t="s">
        <v>30</v>
      </c>
      <c r="S96" s="2" t="s">
        <v>43</v>
      </c>
      <c r="T96" s="2" t="s">
        <v>36</v>
      </c>
      <c r="U96" s="6">
        <f t="shared" si="12"/>
        <v>0.29982964224872233</v>
      </c>
      <c r="V96" s="6">
        <f t="shared" si="13"/>
        <v>0.35118110236220473</v>
      </c>
      <c r="W96" s="6">
        <f t="shared" si="14"/>
        <v>0.49574105621805792</v>
      </c>
      <c r="X96" s="6">
        <f t="shared" si="17"/>
        <v>0.84692215858026265</v>
      </c>
      <c r="Y96" s="6">
        <f t="shared" si="15"/>
        <v>6.5286624203821655E-2</v>
      </c>
      <c r="Z96" s="6">
        <f t="shared" si="16"/>
        <v>0.14431486880466474</v>
      </c>
      <c r="AA96" s="6">
        <f t="shared" si="18"/>
        <v>0.19591141396933559</v>
      </c>
    </row>
    <row r="97" spans="1:27" x14ac:dyDescent="0.2">
      <c r="A97" s="3" t="s">
        <v>155</v>
      </c>
      <c r="B97" s="3">
        <v>1997</v>
      </c>
      <c r="C97" s="3">
        <v>1</v>
      </c>
      <c r="D97" s="3" t="s">
        <v>90</v>
      </c>
      <c r="E97" s="3" t="s">
        <v>6</v>
      </c>
      <c r="F97" s="3">
        <v>597</v>
      </c>
      <c r="G97" s="3">
        <v>98</v>
      </c>
      <c r="H97" s="3">
        <v>187</v>
      </c>
      <c r="I97" s="3">
        <v>34</v>
      </c>
      <c r="J97" s="3">
        <v>4</v>
      </c>
      <c r="K97" s="3">
        <v>20</v>
      </c>
      <c r="L97" s="3">
        <v>77</v>
      </c>
      <c r="M97" s="3">
        <v>38</v>
      </c>
      <c r="N97" s="3">
        <v>89</v>
      </c>
      <c r="O97" s="3" t="s">
        <v>41</v>
      </c>
      <c r="P97" s="3" t="s">
        <v>39</v>
      </c>
      <c r="Q97" s="3" t="s">
        <v>30</v>
      </c>
      <c r="R97" s="3" t="s">
        <v>33</v>
      </c>
      <c r="S97" s="3" t="s">
        <v>45</v>
      </c>
      <c r="T97" s="3" t="s">
        <v>31</v>
      </c>
      <c r="U97" s="6">
        <f t="shared" si="12"/>
        <v>0.31323283082077052</v>
      </c>
      <c r="V97" s="6">
        <f t="shared" si="13"/>
        <v>0.3669724770642202</v>
      </c>
      <c r="W97" s="6">
        <f t="shared" si="14"/>
        <v>0.48408710217755446</v>
      </c>
      <c r="X97" s="6">
        <f t="shared" si="17"/>
        <v>0.85105957924177467</v>
      </c>
      <c r="Y97" s="6">
        <f t="shared" si="15"/>
        <v>5.9842519685039369E-2</v>
      </c>
      <c r="Z97" s="6">
        <f t="shared" si="16"/>
        <v>0.12973760932944606</v>
      </c>
      <c r="AA97" s="6">
        <f t="shared" si="18"/>
        <v>0.17085427135678394</v>
      </c>
    </row>
    <row r="98" spans="1:27" x14ac:dyDescent="0.2">
      <c r="A98" s="2" t="s">
        <v>144</v>
      </c>
      <c r="B98" s="2">
        <v>1997</v>
      </c>
      <c r="C98" s="2">
        <v>1</v>
      </c>
      <c r="D98" s="2" t="s">
        <v>164</v>
      </c>
      <c r="E98" s="2" t="s">
        <v>3</v>
      </c>
      <c r="F98" s="2">
        <v>568</v>
      </c>
      <c r="G98" s="2">
        <v>143</v>
      </c>
      <c r="H98" s="2">
        <v>208</v>
      </c>
      <c r="I98" s="2">
        <v>46</v>
      </c>
      <c r="J98" s="2">
        <v>4</v>
      </c>
      <c r="K98" s="2">
        <v>49</v>
      </c>
      <c r="L98" s="2">
        <v>130</v>
      </c>
      <c r="M98" s="2">
        <v>78</v>
      </c>
      <c r="N98" s="2">
        <v>90</v>
      </c>
      <c r="O98" s="2" t="s">
        <v>43</v>
      </c>
      <c r="P98" s="2" t="s">
        <v>43</v>
      </c>
      <c r="Q98" s="2" t="s">
        <v>28</v>
      </c>
      <c r="R98" s="2" t="s">
        <v>33</v>
      </c>
      <c r="S98" s="2" t="s">
        <v>44</v>
      </c>
      <c r="T98" s="2" t="s">
        <v>42</v>
      </c>
      <c r="U98" s="6">
        <f t="shared" ref="U98:U129" si="19">H98/F98</f>
        <v>0.36619718309859156</v>
      </c>
      <c r="V98" s="6">
        <f t="shared" ref="V98:V129" si="20">(H98+M98+O98+P98)/(F98+M98+O98+P98+R98)</f>
        <v>0.46312684365781709</v>
      </c>
      <c r="W98" s="6">
        <f t="shared" ref="W98:W129" si="21">((H98-I98-J98-K98)+(2*I98)+(3*J98)+(4*K98))/F98</f>
        <v>0.72007042253521125</v>
      </c>
      <c r="X98" s="6">
        <f t="shared" si="17"/>
        <v>1.1831972661930283</v>
      </c>
      <c r="Y98" s="6">
        <f t="shared" ref="Y98:Y129" si="22">M98/(M98+F98)</f>
        <v>0.12074303405572756</v>
      </c>
      <c r="Z98" s="6">
        <f t="shared" ref="Z98:Z129" si="23">N98/(N98+F98)</f>
        <v>0.13677811550151975</v>
      </c>
      <c r="AA98" s="6">
        <f t="shared" si="18"/>
        <v>0.35387323943661969</v>
      </c>
    </row>
    <row r="99" spans="1:27" x14ac:dyDescent="0.2">
      <c r="A99" s="3" t="s">
        <v>127</v>
      </c>
      <c r="B99" s="3">
        <v>1998</v>
      </c>
      <c r="C99" s="3">
        <v>1</v>
      </c>
      <c r="D99" s="3" t="s">
        <v>78</v>
      </c>
      <c r="E99" s="3" t="s">
        <v>6</v>
      </c>
      <c r="F99" s="3">
        <v>588</v>
      </c>
      <c r="G99" s="3">
        <v>86</v>
      </c>
      <c r="H99" s="3">
        <v>166</v>
      </c>
      <c r="I99" s="3">
        <v>36</v>
      </c>
      <c r="J99" s="3">
        <v>1</v>
      </c>
      <c r="K99" s="3">
        <v>14</v>
      </c>
      <c r="L99" s="3">
        <v>56</v>
      </c>
      <c r="M99" s="3">
        <v>59</v>
      </c>
      <c r="N99" s="3">
        <v>70</v>
      </c>
      <c r="O99" s="3" t="s">
        <v>34</v>
      </c>
      <c r="P99" s="3" t="s">
        <v>31</v>
      </c>
      <c r="Q99" s="3" t="s">
        <v>34</v>
      </c>
      <c r="R99" s="3" t="s">
        <v>32</v>
      </c>
      <c r="S99" s="3" t="s">
        <v>40</v>
      </c>
      <c r="T99" s="3" t="s">
        <v>33</v>
      </c>
      <c r="U99" s="6">
        <f t="shared" si="19"/>
        <v>0.28231292517006801</v>
      </c>
      <c r="V99" s="6">
        <f t="shared" si="20"/>
        <v>0.35007610350076102</v>
      </c>
      <c r="W99" s="6">
        <f t="shared" si="21"/>
        <v>0.41836734693877553</v>
      </c>
      <c r="X99" s="6">
        <f t="shared" si="17"/>
        <v>0.76844345043953655</v>
      </c>
      <c r="Y99" s="6">
        <f t="shared" si="22"/>
        <v>9.1190108191653782E-2</v>
      </c>
      <c r="Z99" s="6">
        <f t="shared" si="23"/>
        <v>0.10638297872340426</v>
      </c>
      <c r="AA99" s="6">
        <f t="shared" si="18"/>
        <v>0.13605442176870752</v>
      </c>
    </row>
    <row r="100" spans="1:27" x14ac:dyDescent="0.2">
      <c r="A100" s="2" t="s">
        <v>130</v>
      </c>
      <c r="B100" s="2">
        <v>1998</v>
      </c>
      <c r="C100" s="2">
        <v>1</v>
      </c>
      <c r="D100" s="2" t="s">
        <v>82</v>
      </c>
      <c r="E100" s="2" t="s">
        <v>3</v>
      </c>
      <c r="F100" s="2">
        <v>646</v>
      </c>
      <c r="G100" s="2">
        <v>123</v>
      </c>
      <c r="H100" s="2">
        <v>210</v>
      </c>
      <c r="I100" s="2">
        <v>51</v>
      </c>
      <c r="J100" s="2">
        <v>2</v>
      </c>
      <c r="K100" s="2">
        <v>20</v>
      </c>
      <c r="L100" s="2">
        <v>88</v>
      </c>
      <c r="M100" s="2">
        <v>64</v>
      </c>
      <c r="N100" s="2">
        <v>113</v>
      </c>
      <c r="O100" s="2" t="s">
        <v>36</v>
      </c>
      <c r="P100" s="2" t="s">
        <v>63</v>
      </c>
      <c r="Q100" s="2" t="s">
        <v>30</v>
      </c>
      <c r="R100" s="2" t="s">
        <v>33</v>
      </c>
      <c r="S100" s="2" t="s">
        <v>37</v>
      </c>
      <c r="T100" s="2" t="s">
        <v>33</v>
      </c>
      <c r="U100" s="6">
        <f t="shared" si="19"/>
        <v>0.32507739938080493</v>
      </c>
      <c r="V100" s="6">
        <f t="shared" si="20"/>
        <v>0.40780619111709288</v>
      </c>
      <c r="W100" s="6">
        <f t="shared" si="21"/>
        <v>0.50309597523219818</v>
      </c>
      <c r="X100" s="6">
        <f t="shared" si="17"/>
        <v>0.91090216634929111</v>
      </c>
      <c r="Y100" s="6">
        <f t="shared" si="22"/>
        <v>9.014084507042254E-2</v>
      </c>
      <c r="Z100" s="6">
        <f t="shared" si="23"/>
        <v>0.14888010540184454</v>
      </c>
      <c r="AA100" s="6">
        <f t="shared" si="18"/>
        <v>0.17801857585139325</v>
      </c>
    </row>
    <row r="101" spans="1:27" x14ac:dyDescent="0.2">
      <c r="A101" s="3" t="s">
        <v>110</v>
      </c>
      <c r="B101" s="3">
        <v>1998</v>
      </c>
      <c r="C101" s="3">
        <v>1</v>
      </c>
      <c r="D101" s="3" t="s">
        <v>79</v>
      </c>
      <c r="E101" s="3" t="s">
        <v>3</v>
      </c>
      <c r="F101" s="3">
        <v>552</v>
      </c>
      <c r="G101" s="3">
        <v>120</v>
      </c>
      <c r="H101" s="3">
        <v>167</v>
      </c>
      <c r="I101" s="3">
        <v>44</v>
      </c>
      <c r="J101" s="3">
        <v>7</v>
      </c>
      <c r="K101" s="3">
        <v>37</v>
      </c>
      <c r="L101" s="3">
        <v>122</v>
      </c>
      <c r="M101" s="3">
        <v>130</v>
      </c>
      <c r="N101" s="3">
        <v>92</v>
      </c>
      <c r="O101" s="3" t="s">
        <v>48</v>
      </c>
      <c r="P101" s="3" t="s">
        <v>39</v>
      </c>
      <c r="Q101" s="3" t="s">
        <v>30</v>
      </c>
      <c r="R101" s="3" t="s">
        <v>36</v>
      </c>
      <c r="S101" s="3" t="s">
        <v>44</v>
      </c>
      <c r="T101" s="3" t="s">
        <v>41</v>
      </c>
      <c r="U101" s="6">
        <f t="shared" si="19"/>
        <v>0.30253623188405798</v>
      </c>
      <c r="V101" s="6">
        <f t="shared" si="20"/>
        <v>0.46068965517241378</v>
      </c>
      <c r="W101" s="6">
        <f t="shared" si="21"/>
        <v>0.60869565217391308</v>
      </c>
      <c r="X101" s="6">
        <f t="shared" si="17"/>
        <v>1.0693853073463269</v>
      </c>
      <c r="Y101" s="6">
        <f t="shared" si="22"/>
        <v>0.1906158357771261</v>
      </c>
      <c r="Z101" s="6">
        <f t="shared" si="23"/>
        <v>0.14285714285714285</v>
      </c>
      <c r="AA101" s="6">
        <f t="shared" si="18"/>
        <v>0.3061594202898551</v>
      </c>
    </row>
    <row r="102" spans="1:27" x14ac:dyDescent="0.2">
      <c r="A102" s="2" t="s">
        <v>137</v>
      </c>
      <c r="B102" s="2">
        <v>1998</v>
      </c>
      <c r="C102" s="2">
        <v>1</v>
      </c>
      <c r="D102" s="2" t="s">
        <v>90</v>
      </c>
      <c r="E102" s="2" t="s">
        <v>6</v>
      </c>
      <c r="F102" s="2">
        <v>606</v>
      </c>
      <c r="G102" s="2">
        <v>110</v>
      </c>
      <c r="H102" s="2">
        <v>193</v>
      </c>
      <c r="I102" s="2">
        <v>50</v>
      </c>
      <c r="J102" s="2">
        <v>2</v>
      </c>
      <c r="K102" s="2">
        <v>45</v>
      </c>
      <c r="L102" s="2">
        <v>157</v>
      </c>
      <c r="M102" s="2">
        <v>46</v>
      </c>
      <c r="N102" s="2">
        <v>126</v>
      </c>
      <c r="O102" s="2" t="s">
        <v>42</v>
      </c>
      <c r="P102" s="2" t="s">
        <v>36</v>
      </c>
      <c r="Q102" s="2" t="s">
        <v>28</v>
      </c>
      <c r="R102" s="2" t="s">
        <v>40</v>
      </c>
      <c r="S102" s="2" t="s">
        <v>54</v>
      </c>
      <c r="T102" s="2" t="s">
        <v>42</v>
      </c>
      <c r="U102" s="6">
        <f t="shared" si="19"/>
        <v>0.31848184818481851</v>
      </c>
      <c r="V102" s="6">
        <f t="shared" si="20"/>
        <v>0.37463126843657818</v>
      </c>
      <c r="W102" s="6">
        <f t="shared" si="21"/>
        <v>0.63036303630363033</v>
      </c>
      <c r="X102" s="6">
        <f t="shared" si="17"/>
        <v>1.0049943047402086</v>
      </c>
      <c r="Y102" s="6">
        <f t="shared" si="22"/>
        <v>7.0552147239263799E-2</v>
      </c>
      <c r="Z102" s="6">
        <f t="shared" si="23"/>
        <v>0.1721311475409836</v>
      </c>
      <c r="AA102" s="6">
        <f t="shared" si="18"/>
        <v>0.31188118811881183</v>
      </c>
    </row>
    <row r="103" spans="1:27" x14ac:dyDescent="0.2">
      <c r="A103" s="3" t="s">
        <v>138</v>
      </c>
      <c r="B103" s="3">
        <v>1998</v>
      </c>
      <c r="C103" s="3">
        <v>1</v>
      </c>
      <c r="D103" s="3" t="s">
        <v>91</v>
      </c>
      <c r="E103" s="3" t="s">
        <v>6</v>
      </c>
      <c r="F103" s="3">
        <v>633</v>
      </c>
      <c r="G103" s="3">
        <v>120</v>
      </c>
      <c r="H103" s="3">
        <v>180</v>
      </c>
      <c r="I103" s="3">
        <v>33</v>
      </c>
      <c r="J103" s="3">
        <v>3</v>
      </c>
      <c r="K103" s="3">
        <v>56</v>
      </c>
      <c r="L103" s="3">
        <v>146</v>
      </c>
      <c r="M103" s="3">
        <v>76</v>
      </c>
      <c r="N103" s="3">
        <v>121</v>
      </c>
      <c r="O103" s="3" t="s">
        <v>40</v>
      </c>
      <c r="P103" s="3" t="s">
        <v>41</v>
      </c>
      <c r="Q103" s="3" t="s">
        <v>28</v>
      </c>
      <c r="R103" s="3" t="s">
        <v>33</v>
      </c>
      <c r="S103" s="3" t="s">
        <v>43</v>
      </c>
      <c r="T103" s="3" t="s">
        <v>39</v>
      </c>
      <c r="U103" s="6">
        <f t="shared" si="19"/>
        <v>0.28436018957345971</v>
      </c>
      <c r="V103" s="6">
        <f t="shared" si="20"/>
        <v>0.37482900136798908</v>
      </c>
      <c r="W103" s="6">
        <f t="shared" si="21"/>
        <v>0.61137440758293837</v>
      </c>
      <c r="X103" s="6">
        <f t="shared" si="17"/>
        <v>0.98620340895092751</v>
      </c>
      <c r="Y103" s="6">
        <f t="shared" si="22"/>
        <v>0.10719322990126939</v>
      </c>
      <c r="Z103" s="6">
        <f t="shared" si="23"/>
        <v>0.16047745358090185</v>
      </c>
      <c r="AA103" s="6">
        <f t="shared" si="18"/>
        <v>0.32701421800947866</v>
      </c>
    </row>
    <row r="104" spans="1:27" x14ac:dyDescent="0.2">
      <c r="A104" s="2" t="s">
        <v>98</v>
      </c>
      <c r="B104" s="2">
        <v>1998</v>
      </c>
      <c r="C104" s="2">
        <v>1</v>
      </c>
      <c r="D104" s="2" t="s">
        <v>88</v>
      </c>
      <c r="E104" s="2" t="s">
        <v>3</v>
      </c>
      <c r="F104" s="2">
        <v>461</v>
      </c>
      <c r="G104" s="2">
        <v>65</v>
      </c>
      <c r="H104" s="2">
        <v>148</v>
      </c>
      <c r="I104" s="2">
        <v>35</v>
      </c>
      <c r="J104" s="2">
        <v>0</v>
      </c>
      <c r="K104" s="2">
        <v>16</v>
      </c>
      <c r="L104" s="2">
        <v>69</v>
      </c>
      <c r="M104" s="2">
        <v>35</v>
      </c>
      <c r="N104" s="2">
        <v>18</v>
      </c>
      <c r="O104" s="2" t="s">
        <v>36</v>
      </c>
      <c r="P104" s="2" t="s">
        <v>30</v>
      </c>
      <c r="Q104" s="2" t="s">
        <v>28</v>
      </c>
      <c r="R104" s="2" t="s">
        <v>39</v>
      </c>
      <c r="S104" s="2" t="s">
        <v>43</v>
      </c>
      <c r="T104" s="2" t="s">
        <v>42</v>
      </c>
      <c r="U104" s="6">
        <f t="shared" si="19"/>
        <v>0.32104121475054231</v>
      </c>
      <c r="V104" s="6">
        <f t="shared" si="20"/>
        <v>0.37181996086105673</v>
      </c>
      <c r="W104" s="6">
        <f t="shared" si="21"/>
        <v>0.50108459869848154</v>
      </c>
      <c r="X104" s="6">
        <f t="shared" si="17"/>
        <v>0.87290455955953827</v>
      </c>
      <c r="Y104" s="6">
        <f t="shared" si="22"/>
        <v>7.0564516129032265E-2</v>
      </c>
      <c r="Z104" s="6">
        <f t="shared" si="23"/>
        <v>3.7578288100208766E-2</v>
      </c>
      <c r="AA104" s="6">
        <f t="shared" si="18"/>
        <v>0.18004338394793923</v>
      </c>
    </row>
    <row r="105" spans="1:27" x14ac:dyDescent="0.2">
      <c r="A105" s="3" t="s">
        <v>170</v>
      </c>
      <c r="B105" s="3">
        <v>1998</v>
      </c>
      <c r="C105" s="3">
        <v>1</v>
      </c>
      <c r="D105" s="3" t="s">
        <v>85</v>
      </c>
      <c r="E105" s="3" t="s">
        <v>3</v>
      </c>
      <c r="F105" s="3">
        <v>601</v>
      </c>
      <c r="G105" s="3">
        <v>123</v>
      </c>
      <c r="H105" s="3">
        <v>188</v>
      </c>
      <c r="I105" s="3">
        <v>29</v>
      </c>
      <c r="J105" s="3">
        <v>5</v>
      </c>
      <c r="K105" s="3">
        <v>34</v>
      </c>
      <c r="L105" s="3">
        <v>107</v>
      </c>
      <c r="M105" s="3">
        <v>96</v>
      </c>
      <c r="N105" s="3">
        <v>93</v>
      </c>
      <c r="O105" s="3" t="s">
        <v>30</v>
      </c>
      <c r="P105" s="3" t="s">
        <v>30</v>
      </c>
      <c r="Q105" s="3" t="s">
        <v>30</v>
      </c>
      <c r="R105" s="3" t="s">
        <v>39</v>
      </c>
      <c r="S105" s="3" t="s">
        <v>47</v>
      </c>
      <c r="T105" s="3" t="s">
        <v>32</v>
      </c>
      <c r="U105" s="6">
        <f t="shared" si="19"/>
        <v>0.31281198003327787</v>
      </c>
      <c r="V105" s="6">
        <f t="shared" si="20"/>
        <v>0.4045261669024045</v>
      </c>
      <c r="W105" s="6">
        <f t="shared" si="21"/>
        <v>0.54742096505823623</v>
      </c>
      <c r="X105" s="6">
        <f t="shared" si="17"/>
        <v>0.95194713196064074</v>
      </c>
      <c r="Y105" s="6">
        <f t="shared" si="22"/>
        <v>0.13773314203730272</v>
      </c>
      <c r="Z105" s="6">
        <f t="shared" si="23"/>
        <v>0.1340057636887608</v>
      </c>
      <c r="AA105" s="6">
        <f t="shared" si="18"/>
        <v>0.23460898502495836</v>
      </c>
    </row>
    <row r="106" spans="1:27" x14ac:dyDescent="0.2">
      <c r="A106" s="2" t="s">
        <v>154</v>
      </c>
      <c r="B106" s="2">
        <v>1998</v>
      </c>
      <c r="C106" s="2">
        <v>1</v>
      </c>
      <c r="D106" s="2" t="s">
        <v>66</v>
      </c>
      <c r="E106" s="2" t="s">
        <v>6</v>
      </c>
      <c r="F106" s="2">
        <v>600</v>
      </c>
      <c r="G106" s="2">
        <v>101</v>
      </c>
      <c r="H106" s="2">
        <v>169</v>
      </c>
      <c r="I106" s="2">
        <v>31</v>
      </c>
      <c r="J106" s="2">
        <v>6</v>
      </c>
      <c r="K106" s="2">
        <v>12</v>
      </c>
      <c r="L106" s="2">
        <v>64</v>
      </c>
      <c r="M106" s="2">
        <v>87</v>
      </c>
      <c r="N106" s="2">
        <v>80</v>
      </c>
      <c r="O106" s="2" t="s">
        <v>30</v>
      </c>
      <c r="P106" s="2" t="s">
        <v>31</v>
      </c>
      <c r="Q106" s="2" t="s">
        <v>34</v>
      </c>
      <c r="R106" s="2" t="s">
        <v>36</v>
      </c>
      <c r="S106" s="2" t="s">
        <v>41</v>
      </c>
      <c r="T106" s="2" t="s">
        <v>41</v>
      </c>
      <c r="U106" s="6">
        <f t="shared" si="19"/>
        <v>0.28166666666666668</v>
      </c>
      <c r="V106" s="6">
        <f t="shared" si="20"/>
        <v>0.37212643678160917</v>
      </c>
      <c r="W106" s="6">
        <f t="shared" si="21"/>
        <v>0.41333333333333333</v>
      </c>
      <c r="X106" s="6">
        <f t="shared" si="17"/>
        <v>0.7854597701149425</v>
      </c>
      <c r="Y106" s="6">
        <f t="shared" si="22"/>
        <v>0.12663755458515283</v>
      </c>
      <c r="Z106" s="6">
        <f t="shared" si="23"/>
        <v>0.11764705882352941</v>
      </c>
      <c r="AA106" s="6">
        <f t="shared" si="18"/>
        <v>0.13166666666666665</v>
      </c>
    </row>
    <row r="107" spans="1:27" x14ac:dyDescent="0.2">
      <c r="A107" s="3" t="s">
        <v>113</v>
      </c>
      <c r="B107" s="3">
        <v>1998</v>
      </c>
      <c r="C107" s="3">
        <v>1</v>
      </c>
      <c r="D107" s="3" t="s">
        <v>85</v>
      </c>
      <c r="E107" s="3" t="s">
        <v>3</v>
      </c>
      <c r="F107" s="3">
        <v>75</v>
      </c>
      <c r="G107" s="3">
        <v>4</v>
      </c>
      <c r="H107" s="3">
        <v>18</v>
      </c>
      <c r="I107" s="3">
        <v>3</v>
      </c>
      <c r="J107" s="3">
        <v>0</v>
      </c>
      <c r="K107" s="3">
        <v>0</v>
      </c>
      <c r="L107" s="3">
        <v>4</v>
      </c>
      <c r="M107" s="3">
        <v>4</v>
      </c>
      <c r="N107" s="3">
        <v>18</v>
      </c>
      <c r="O107" s="3" t="s">
        <v>28</v>
      </c>
      <c r="P107" s="3" t="s">
        <v>28</v>
      </c>
      <c r="Q107" s="3" t="s">
        <v>36</v>
      </c>
      <c r="R107" s="3" t="s">
        <v>28</v>
      </c>
      <c r="S107" s="3" t="s">
        <v>28</v>
      </c>
      <c r="T107" s="3" t="s">
        <v>30</v>
      </c>
      <c r="U107" s="6">
        <f t="shared" si="19"/>
        <v>0.24</v>
      </c>
      <c r="V107" s="6">
        <f t="shared" si="20"/>
        <v>0.27848101265822783</v>
      </c>
      <c r="W107" s="6">
        <f t="shared" si="21"/>
        <v>0.28000000000000003</v>
      </c>
      <c r="X107" s="6">
        <f t="shared" si="17"/>
        <v>0.5584810126582278</v>
      </c>
      <c r="Y107" s="6">
        <f t="shared" si="22"/>
        <v>5.0632911392405063E-2</v>
      </c>
      <c r="Z107" s="6">
        <f t="shared" si="23"/>
        <v>0.19354838709677419</v>
      </c>
      <c r="AA107" s="6">
        <f t="shared" si="18"/>
        <v>4.0000000000000036E-2</v>
      </c>
    </row>
    <row r="108" spans="1:27" x14ac:dyDescent="0.2">
      <c r="A108" s="2" t="s">
        <v>115</v>
      </c>
      <c r="B108" s="2">
        <v>1998</v>
      </c>
      <c r="C108" s="2">
        <v>1</v>
      </c>
      <c r="D108" s="2" t="s">
        <v>60</v>
      </c>
      <c r="E108" s="2" t="s">
        <v>3</v>
      </c>
      <c r="F108" s="2">
        <v>509</v>
      </c>
      <c r="G108" s="2">
        <v>130</v>
      </c>
      <c r="H108" s="2">
        <v>152</v>
      </c>
      <c r="I108" s="2">
        <v>21</v>
      </c>
      <c r="J108" s="2">
        <v>0</v>
      </c>
      <c r="K108" s="2">
        <v>70</v>
      </c>
      <c r="L108" s="2">
        <v>147</v>
      </c>
      <c r="M108" s="2">
        <v>162</v>
      </c>
      <c r="N108" s="2">
        <v>155</v>
      </c>
      <c r="O108" s="2" t="s">
        <v>58</v>
      </c>
      <c r="P108" s="2" t="s">
        <v>36</v>
      </c>
      <c r="Q108" s="2" t="s">
        <v>28</v>
      </c>
      <c r="R108" s="2" t="s">
        <v>33</v>
      </c>
      <c r="S108" s="2" t="s">
        <v>39</v>
      </c>
      <c r="T108" s="2" t="s">
        <v>34</v>
      </c>
      <c r="U108" s="6">
        <f t="shared" si="19"/>
        <v>0.29862475442043224</v>
      </c>
      <c r="V108" s="6">
        <f t="shared" si="20"/>
        <v>0.4908321579689704</v>
      </c>
      <c r="W108" s="6">
        <f t="shared" si="21"/>
        <v>0.75245579567779963</v>
      </c>
      <c r="X108" s="6">
        <f t="shared" si="17"/>
        <v>1.24328795364677</v>
      </c>
      <c r="Y108" s="6">
        <f t="shared" si="22"/>
        <v>0.24143070044709389</v>
      </c>
      <c r="Z108" s="6">
        <f t="shared" si="23"/>
        <v>0.23343373493975902</v>
      </c>
      <c r="AA108" s="6">
        <f t="shared" si="18"/>
        <v>0.4538310412573674</v>
      </c>
    </row>
    <row r="109" spans="1:27" x14ac:dyDescent="0.2">
      <c r="A109" s="3" t="s">
        <v>163</v>
      </c>
      <c r="B109" s="3">
        <v>1998</v>
      </c>
      <c r="C109" s="3">
        <v>1</v>
      </c>
      <c r="D109" s="3" t="s">
        <v>80</v>
      </c>
      <c r="E109" s="3" t="s">
        <v>3</v>
      </c>
      <c r="F109" s="3">
        <v>149</v>
      </c>
      <c r="G109" s="3">
        <v>20</v>
      </c>
      <c r="H109" s="3">
        <v>42</v>
      </c>
      <c r="I109" s="3">
        <v>5</v>
      </c>
      <c r="J109" s="3">
        <v>0</v>
      </c>
      <c r="K109" s="3">
        <v>9</v>
      </c>
      <c r="L109" s="3">
        <v>30</v>
      </c>
      <c r="M109" s="3">
        <v>11</v>
      </c>
      <c r="N109" s="3">
        <v>27</v>
      </c>
      <c r="O109" s="3" t="s">
        <v>33</v>
      </c>
      <c r="P109" s="3" t="s">
        <v>28</v>
      </c>
      <c r="Q109" s="3" t="s">
        <v>28</v>
      </c>
      <c r="R109" s="3" t="s">
        <v>30</v>
      </c>
      <c r="S109" s="3" t="s">
        <v>34</v>
      </c>
      <c r="T109" s="3" t="s">
        <v>31</v>
      </c>
      <c r="U109" s="6">
        <f t="shared" si="19"/>
        <v>0.28187919463087246</v>
      </c>
      <c r="V109" s="6">
        <f t="shared" si="20"/>
        <v>0.34545454545454546</v>
      </c>
      <c r="W109" s="6">
        <f t="shared" si="21"/>
        <v>0.49664429530201343</v>
      </c>
      <c r="X109" s="6">
        <f t="shared" si="17"/>
        <v>0.84209884075655883</v>
      </c>
      <c r="Y109" s="6">
        <f t="shared" si="22"/>
        <v>6.8750000000000006E-2</v>
      </c>
      <c r="Z109" s="6">
        <f t="shared" si="23"/>
        <v>0.15340909090909091</v>
      </c>
      <c r="AA109" s="6">
        <f t="shared" si="18"/>
        <v>0.21476510067114096</v>
      </c>
    </row>
    <row r="110" spans="1:27" x14ac:dyDescent="0.2">
      <c r="A110" s="2" t="s">
        <v>163</v>
      </c>
      <c r="B110" s="2">
        <v>1998</v>
      </c>
      <c r="C110" s="2">
        <v>2</v>
      </c>
      <c r="D110" s="2" t="s">
        <v>165</v>
      </c>
      <c r="E110" s="2" t="s">
        <v>3</v>
      </c>
      <c r="F110" s="2">
        <v>18</v>
      </c>
      <c r="G110" s="2">
        <v>1</v>
      </c>
      <c r="H110" s="2">
        <v>5</v>
      </c>
      <c r="I110" s="2">
        <v>0</v>
      </c>
      <c r="J110" s="2">
        <v>1</v>
      </c>
      <c r="K110" s="2">
        <v>0</v>
      </c>
      <c r="L110" s="2">
        <v>5</v>
      </c>
      <c r="M110" s="2">
        <v>0</v>
      </c>
      <c r="N110" s="2">
        <v>0</v>
      </c>
      <c r="O110" s="2" t="s">
        <v>28</v>
      </c>
      <c r="P110" s="2" t="s">
        <v>28</v>
      </c>
      <c r="Q110" s="2" t="s">
        <v>28</v>
      </c>
      <c r="R110" s="2" t="s">
        <v>30</v>
      </c>
      <c r="S110" s="2" t="s">
        <v>28</v>
      </c>
      <c r="T110" s="2" t="s">
        <v>31</v>
      </c>
      <c r="U110" s="6">
        <f t="shared" si="19"/>
        <v>0.27777777777777779</v>
      </c>
      <c r="V110" s="6">
        <f t="shared" si="20"/>
        <v>0.26315789473684209</v>
      </c>
      <c r="W110" s="6">
        <f t="shared" si="21"/>
        <v>0.3888888888888889</v>
      </c>
      <c r="X110" s="6">
        <f t="shared" si="17"/>
        <v>0.65204678362573099</v>
      </c>
      <c r="Y110" s="6">
        <f t="shared" si="22"/>
        <v>0</v>
      </c>
      <c r="Z110" s="6">
        <f t="shared" si="23"/>
        <v>0</v>
      </c>
      <c r="AA110" s="6">
        <f t="shared" si="18"/>
        <v>0.1111111111111111</v>
      </c>
    </row>
    <row r="111" spans="1:27" x14ac:dyDescent="0.2">
      <c r="A111" s="3" t="s">
        <v>163</v>
      </c>
      <c r="B111" s="3">
        <v>1998</v>
      </c>
      <c r="C111" s="3">
        <v>3</v>
      </c>
      <c r="D111" s="3" t="s">
        <v>83</v>
      </c>
      <c r="E111" s="3" t="s">
        <v>3</v>
      </c>
      <c r="F111" s="3">
        <v>394</v>
      </c>
      <c r="G111" s="3">
        <v>67</v>
      </c>
      <c r="H111" s="3">
        <v>137</v>
      </c>
      <c r="I111" s="3">
        <v>33</v>
      </c>
      <c r="J111" s="3">
        <v>0</v>
      </c>
      <c r="K111" s="3">
        <v>23</v>
      </c>
      <c r="L111" s="3">
        <v>76</v>
      </c>
      <c r="M111" s="3">
        <v>47</v>
      </c>
      <c r="N111" s="3">
        <v>53</v>
      </c>
      <c r="O111" s="3" t="s">
        <v>37</v>
      </c>
      <c r="P111" s="3" t="s">
        <v>31</v>
      </c>
      <c r="Q111" s="3" t="s">
        <v>28</v>
      </c>
      <c r="R111" s="3" t="s">
        <v>34</v>
      </c>
      <c r="S111" s="3" t="s">
        <v>38</v>
      </c>
      <c r="T111" s="3" t="s">
        <v>31</v>
      </c>
      <c r="U111" s="6">
        <f t="shared" si="19"/>
        <v>0.34771573604060912</v>
      </c>
      <c r="V111" s="6">
        <f t="shared" si="20"/>
        <v>0.42982456140350878</v>
      </c>
      <c r="W111" s="6">
        <f t="shared" si="21"/>
        <v>0.60659898477157359</v>
      </c>
      <c r="X111" s="6">
        <f t="shared" si="17"/>
        <v>1.0364235461750824</v>
      </c>
      <c r="Y111" s="6">
        <f t="shared" si="22"/>
        <v>0.10657596371882086</v>
      </c>
      <c r="Z111" s="6">
        <f t="shared" si="23"/>
        <v>0.11856823266219239</v>
      </c>
      <c r="AA111" s="6">
        <f t="shared" si="18"/>
        <v>0.25888324873096447</v>
      </c>
    </row>
    <row r="112" spans="1:27" x14ac:dyDescent="0.2">
      <c r="A112" s="2" t="s">
        <v>95</v>
      </c>
      <c r="B112" s="2">
        <v>1998</v>
      </c>
      <c r="C112" s="2">
        <v>1</v>
      </c>
      <c r="D112" s="2" t="s">
        <v>78</v>
      </c>
      <c r="E112" s="2" t="s">
        <v>6</v>
      </c>
      <c r="F112" s="2">
        <v>601</v>
      </c>
      <c r="G112" s="2">
        <v>65</v>
      </c>
      <c r="H112" s="2">
        <v>163</v>
      </c>
      <c r="I112" s="2">
        <v>27</v>
      </c>
      <c r="J112" s="2">
        <v>1</v>
      </c>
      <c r="K112" s="2">
        <v>14</v>
      </c>
      <c r="L112" s="2">
        <v>61</v>
      </c>
      <c r="M112" s="2">
        <v>51</v>
      </c>
      <c r="N112" s="2">
        <v>68</v>
      </c>
      <c r="O112" s="2" t="s">
        <v>28</v>
      </c>
      <c r="P112" s="2" t="s">
        <v>33</v>
      </c>
      <c r="Q112" s="2" t="s">
        <v>30</v>
      </c>
      <c r="R112" s="2" t="s">
        <v>31</v>
      </c>
      <c r="S112" s="2" t="s">
        <v>42</v>
      </c>
      <c r="T112" s="2" t="s">
        <v>32</v>
      </c>
      <c r="U112" s="6">
        <f t="shared" si="19"/>
        <v>0.27121464226289516</v>
      </c>
      <c r="V112" s="6">
        <f t="shared" si="20"/>
        <v>0.33130699088145898</v>
      </c>
      <c r="W112" s="6">
        <f t="shared" si="21"/>
        <v>0.38935108153078202</v>
      </c>
      <c r="X112" s="6">
        <f t="shared" si="17"/>
        <v>0.720658072412241</v>
      </c>
      <c r="Y112" s="6">
        <f t="shared" si="22"/>
        <v>7.8220858895705528E-2</v>
      </c>
      <c r="Z112" s="6">
        <f t="shared" si="23"/>
        <v>0.10164424514200299</v>
      </c>
      <c r="AA112" s="6">
        <f t="shared" si="18"/>
        <v>0.11813643926788686</v>
      </c>
    </row>
    <row r="113" spans="1:27" x14ac:dyDescent="0.2">
      <c r="A113" s="3" t="s">
        <v>173</v>
      </c>
      <c r="B113" s="3">
        <v>1998</v>
      </c>
      <c r="C113" s="3">
        <v>1</v>
      </c>
      <c r="D113" s="3" t="s">
        <v>91</v>
      </c>
      <c r="E113" s="3" t="s">
        <v>6</v>
      </c>
      <c r="F113" s="3">
        <v>686</v>
      </c>
      <c r="G113" s="3">
        <v>123</v>
      </c>
      <c r="H113" s="3">
        <v>213</v>
      </c>
      <c r="I113" s="3">
        <v>35</v>
      </c>
      <c r="J113" s="3">
        <v>5</v>
      </c>
      <c r="K113" s="3">
        <v>42</v>
      </c>
      <c r="L113" s="3">
        <v>124</v>
      </c>
      <c r="M113" s="3">
        <v>45</v>
      </c>
      <c r="N113" s="3">
        <v>121</v>
      </c>
      <c r="O113" s="3" t="s">
        <v>28</v>
      </c>
      <c r="P113" s="3" t="s">
        <v>37</v>
      </c>
      <c r="Q113" s="3" t="s">
        <v>34</v>
      </c>
      <c r="R113" s="3" t="s">
        <v>33</v>
      </c>
      <c r="S113" s="3" t="s">
        <v>38</v>
      </c>
      <c r="T113" s="3" t="s">
        <v>36</v>
      </c>
      <c r="U113" s="6">
        <f t="shared" si="19"/>
        <v>0.31049562682215742</v>
      </c>
      <c r="V113" s="6">
        <f t="shared" si="20"/>
        <v>0.3597315436241611</v>
      </c>
      <c r="W113" s="6">
        <f t="shared" si="21"/>
        <v>0.55976676384839652</v>
      </c>
      <c r="X113" s="6">
        <f t="shared" si="17"/>
        <v>0.91949830747255756</v>
      </c>
      <c r="Y113" s="6">
        <f t="shared" si="22"/>
        <v>6.1559507523939808E-2</v>
      </c>
      <c r="Z113" s="6">
        <f t="shared" si="23"/>
        <v>0.14993804213135067</v>
      </c>
      <c r="AA113" s="6">
        <f t="shared" si="18"/>
        <v>0.2492711370262391</v>
      </c>
    </row>
    <row r="114" spans="1:27" x14ac:dyDescent="0.2">
      <c r="A114" s="2" t="s">
        <v>155</v>
      </c>
      <c r="B114" s="2">
        <v>1998</v>
      </c>
      <c r="C114" s="2">
        <v>1</v>
      </c>
      <c r="D114" s="2" t="s">
        <v>90</v>
      </c>
      <c r="E114" s="2" t="s">
        <v>6</v>
      </c>
      <c r="F114" s="2">
        <v>579</v>
      </c>
      <c r="G114" s="2">
        <v>88</v>
      </c>
      <c r="H114" s="2">
        <v>186</v>
      </c>
      <c r="I114" s="2">
        <v>40</v>
      </c>
      <c r="J114" s="2">
        <v>4</v>
      </c>
      <c r="K114" s="2">
        <v>21</v>
      </c>
      <c r="L114" s="2">
        <v>91</v>
      </c>
      <c r="M114" s="2">
        <v>32</v>
      </c>
      <c r="N114" s="2">
        <v>88</v>
      </c>
      <c r="O114" s="2" t="s">
        <v>33</v>
      </c>
      <c r="P114" s="2" t="s">
        <v>34</v>
      </c>
      <c r="Q114" s="2" t="s">
        <v>28</v>
      </c>
      <c r="R114" s="2" t="s">
        <v>34</v>
      </c>
      <c r="S114" s="2" t="s">
        <v>45</v>
      </c>
      <c r="T114" s="2" t="s">
        <v>31</v>
      </c>
      <c r="U114" s="6">
        <f t="shared" si="19"/>
        <v>0.32124352331606215</v>
      </c>
      <c r="V114" s="6">
        <f t="shared" si="20"/>
        <v>0.36231884057971014</v>
      </c>
      <c r="W114" s="6">
        <f t="shared" si="21"/>
        <v>0.51295336787564771</v>
      </c>
      <c r="X114" s="6">
        <f t="shared" si="17"/>
        <v>0.87527220845535791</v>
      </c>
      <c r="Y114" s="6">
        <f t="shared" si="22"/>
        <v>5.2373158756137482E-2</v>
      </c>
      <c r="Z114" s="6">
        <f t="shared" si="23"/>
        <v>0.13193403298350825</v>
      </c>
      <c r="AA114" s="6">
        <f t="shared" si="18"/>
        <v>0.19170984455958556</v>
      </c>
    </row>
    <row r="115" spans="1:27" x14ac:dyDescent="0.2">
      <c r="A115" s="3" t="s">
        <v>156</v>
      </c>
      <c r="B115" s="3">
        <v>1998</v>
      </c>
      <c r="C115" s="3">
        <v>1</v>
      </c>
      <c r="D115" s="3" t="s">
        <v>66</v>
      </c>
      <c r="E115" s="3" t="s">
        <v>6</v>
      </c>
      <c r="F115" s="3">
        <v>440</v>
      </c>
      <c r="G115" s="3">
        <v>89</v>
      </c>
      <c r="H115" s="3">
        <v>129</v>
      </c>
      <c r="I115" s="3">
        <v>34</v>
      </c>
      <c r="J115" s="3">
        <v>2</v>
      </c>
      <c r="K115" s="3">
        <v>30</v>
      </c>
      <c r="L115" s="3">
        <v>85</v>
      </c>
      <c r="M115" s="3">
        <v>89</v>
      </c>
      <c r="N115" s="3">
        <v>141</v>
      </c>
      <c r="O115" s="3" t="s">
        <v>39</v>
      </c>
      <c r="P115" s="3" t="s">
        <v>33</v>
      </c>
      <c r="Q115" s="3" t="s">
        <v>28</v>
      </c>
      <c r="R115" s="3" t="s">
        <v>33</v>
      </c>
      <c r="S115" s="3" t="s">
        <v>41</v>
      </c>
      <c r="T115" s="3" t="s">
        <v>34</v>
      </c>
      <c r="U115" s="6">
        <f t="shared" si="19"/>
        <v>0.29318181818181815</v>
      </c>
      <c r="V115" s="6">
        <f t="shared" si="20"/>
        <v>0.42201834862385323</v>
      </c>
      <c r="W115" s="6">
        <f t="shared" si="21"/>
        <v>0.58409090909090911</v>
      </c>
      <c r="X115" s="6">
        <f t="shared" si="17"/>
        <v>1.0061092577147623</v>
      </c>
      <c r="Y115" s="6">
        <f t="shared" si="22"/>
        <v>0.16824196597353497</v>
      </c>
      <c r="Z115" s="6">
        <f t="shared" si="23"/>
        <v>0.24268502581755594</v>
      </c>
      <c r="AA115" s="6">
        <f t="shared" si="18"/>
        <v>0.29090909090909095</v>
      </c>
    </row>
    <row r="116" spans="1:27" x14ac:dyDescent="0.2">
      <c r="A116" s="2" t="s">
        <v>144</v>
      </c>
      <c r="B116" s="2">
        <v>1998</v>
      </c>
      <c r="C116" s="2">
        <v>1</v>
      </c>
      <c r="D116" s="2" t="s">
        <v>164</v>
      </c>
      <c r="E116" s="2" t="s">
        <v>3</v>
      </c>
      <c r="F116" s="2">
        <v>454</v>
      </c>
      <c r="G116" s="2">
        <v>113</v>
      </c>
      <c r="H116" s="2">
        <v>165</v>
      </c>
      <c r="I116" s="2">
        <v>46</v>
      </c>
      <c r="J116" s="2">
        <v>3</v>
      </c>
      <c r="K116" s="2">
        <v>23</v>
      </c>
      <c r="L116" s="2">
        <v>67</v>
      </c>
      <c r="M116" s="2">
        <v>64</v>
      </c>
      <c r="N116" s="2">
        <v>61</v>
      </c>
      <c r="O116" s="2" t="s">
        <v>31</v>
      </c>
      <c r="P116" s="2" t="s">
        <v>33</v>
      </c>
      <c r="Q116" s="2" t="s">
        <v>28</v>
      </c>
      <c r="R116" s="2" t="s">
        <v>31</v>
      </c>
      <c r="S116" s="2" t="s">
        <v>40</v>
      </c>
      <c r="T116" s="2" t="s">
        <v>39</v>
      </c>
      <c r="U116" s="6">
        <f t="shared" si="19"/>
        <v>0.36343612334801761</v>
      </c>
      <c r="V116" s="6">
        <f t="shared" si="20"/>
        <v>0.44676806083650189</v>
      </c>
      <c r="W116" s="6">
        <f t="shared" si="21"/>
        <v>0.62995594713656389</v>
      </c>
      <c r="X116" s="6">
        <f t="shared" si="17"/>
        <v>1.0767240079730658</v>
      </c>
      <c r="Y116" s="6">
        <f t="shared" si="22"/>
        <v>0.12355212355212356</v>
      </c>
      <c r="Z116" s="6">
        <f t="shared" si="23"/>
        <v>0.11844660194174757</v>
      </c>
      <c r="AA116" s="6">
        <f t="shared" si="18"/>
        <v>0.26651982378854627</v>
      </c>
    </row>
    <row r="117" spans="1:27" x14ac:dyDescent="0.2">
      <c r="A117" s="3" t="s">
        <v>124</v>
      </c>
      <c r="B117" s="3">
        <v>1998</v>
      </c>
      <c r="C117" s="3">
        <v>1</v>
      </c>
      <c r="D117" s="3" t="s">
        <v>85</v>
      </c>
      <c r="E117" s="3" t="s">
        <v>3</v>
      </c>
      <c r="F117" s="3">
        <v>347</v>
      </c>
      <c r="G117" s="3">
        <v>64</v>
      </c>
      <c r="H117" s="3">
        <v>97</v>
      </c>
      <c r="I117" s="3">
        <v>18</v>
      </c>
      <c r="J117" s="3">
        <v>2</v>
      </c>
      <c r="K117" s="3">
        <v>0</v>
      </c>
      <c r="L117" s="3">
        <v>27</v>
      </c>
      <c r="M117" s="3">
        <v>59</v>
      </c>
      <c r="N117" s="3">
        <v>53</v>
      </c>
      <c r="O117" s="3" t="s">
        <v>28</v>
      </c>
      <c r="P117" s="3" t="s">
        <v>34</v>
      </c>
      <c r="Q117" s="3" t="s">
        <v>38</v>
      </c>
      <c r="R117" s="3" t="s">
        <v>34</v>
      </c>
      <c r="S117" s="3" t="s">
        <v>33</v>
      </c>
      <c r="T117" s="3" t="s">
        <v>36</v>
      </c>
      <c r="U117" s="6">
        <f t="shared" si="19"/>
        <v>0.27953890489913547</v>
      </c>
      <c r="V117" s="6">
        <f t="shared" si="20"/>
        <v>0.38592233009708737</v>
      </c>
      <c r="W117" s="6">
        <f t="shared" si="21"/>
        <v>0.34293948126801155</v>
      </c>
      <c r="X117" s="6">
        <f t="shared" si="17"/>
        <v>0.72886181136509887</v>
      </c>
      <c r="Y117" s="6">
        <f t="shared" si="22"/>
        <v>0.14532019704433496</v>
      </c>
      <c r="Z117" s="6">
        <f t="shared" si="23"/>
        <v>0.13250000000000001</v>
      </c>
      <c r="AA117" s="6">
        <f t="shared" si="18"/>
        <v>6.3400576368876083E-2</v>
      </c>
    </row>
    <row r="118" spans="1:27" x14ac:dyDescent="0.2">
      <c r="A118" s="2" t="s">
        <v>125</v>
      </c>
      <c r="B118" s="2">
        <v>1998</v>
      </c>
      <c r="C118" s="2">
        <v>1</v>
      </c>
      <c r="D118" s="2" t="s">
        <v>71</v>
      </c>
      <c r="E118" s="2" t="s">
        <v>6</v>
      </c>
      <c r="F118" s="2">
        <v>4</v>
      </c>
      <c r="G118" s="2">
        <v>0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1</v>
      </c>
      <c r="O118" s="2" t="s">
        <v>28</v>
      </c>
      <c r="P118" s="2" t="s">
        <v>28</v>
      </c>
      <c r="Q118" s="2" t="s">
        <v>28</v>
      </c>
      <c r="R118" s="2" t="s">
        <v>28</v>
      </c>
      <c r="S118" s="2" t="s">
        <v>28</v>
      </c>
      <c r="T118" s="2" t="s">
        <v>30</v>
      </c>
      <c r="U118" s="6">
        <f t="shared" si="19"/>
        <v>0.25</v>
      </c>
      <c r="V118" s="6">
        <f t="shared" si="20"/>
        <v>0.25</v>
      </c>
      <c r="W118" s="6">
        <f t="shared" si="21"/>
        <v>0.25</v>
      </c>
      <c r="X118" s="6">
        <f t="shared" si="17"/>
        <v>0.5</v>
      </c>
      <c r="Y118" s="6">
        <f t="shared" si="22"/>
        <v>0</v>
      </c>
      <c r="Z118" s="6">
        <f t="shared" si="23"/>
        <v>0.2</v>
      </c>
      <c r="AA118" s="6">
        <f t="shared" si="18"/>
        <v>0</v>
      </c>
    </row>
    <row r="119" spans="1:27" x14ac:dyDescent="0.2">
      <c r="A119" s="3" t="s">
        <v>127</v>
      </c>
      <c r="B119" s="3">
        <v>1999</v>
      </c>
      <c r="C119" s="3">
        <v>1</v>
      </c>
      <c r="D119" s="3" t="s">
        <v>66</v>
      </c>
      <c r="E119" s="3" t="s">
        <v>6</v>
      </c>
      <c r="F119" s="3">
        <v>563</v>
      </c>
      <c r="G119" s="3">
        <v>138</v>
      </c>
      <c r="H119" s="3">
        <v>182</v>
      </c>
      <c r="I119" s="3">
        <v>40</v>
      </c>
      <c r="J119" s="3">
        <v>3</v>
      </c>
      <c r="K119" s="3">
        <v>24</v>
      </c>
      <c r="L119" s="3">
        <v>120</v>
      </c>
      <c r="M119" s="3">
        <v>99</v>
      </c>
      <c r="N119" s="3">
        <v>96</v>
      </c>
      <c r="O119" s="3" t="s">
        <v>34</v>
      </c>
      <c r="P119" s="3" t="s">
        <v>41</v>
      </c>
      <c r="Q119" s="3" t="s">
        <v>38</v>
      </c>
      <c r="R119" s="3" t="s">
        <v>35</v>
      </c>
      <c r="S119" s="3" t="s">
        <v>35</v>
      </c>
      <c r="T119" s="3" t="s">
        <v>33</v>
      </c>
      <c r="U119" s="6">
        <f t="shared" si="19"/>
        <v>0.32326820603907636</v>
      </c>
      <c r="V119" s="6">
        <f t="shared" si="20"/>
        <v>0.42481751824817521</v>
      </c>
      <c r="W119" s="6">
        <f t="shared" si="21"/>
        <v>0.53285968028419184</v>
      </c>
      <c r="X119" s="6">
        <f t="shared" si="17"/>
        <v>0.9576771985323671</v>
      </c>
      <c r="Y119" s="6">
        <f t="shared" si="22"/>
        <v>0.14954682779456194</v>
      </c>
      <c r="Z119" s="6">
        <f t="shared" si="23"/>
        <v>0.1456752655538695</v>
      </c>
      <c r="AA119" s="6">
        <f t="shared" si="18"/>
        <v>0.20959147424511548</v>
      </c>
    </row>
    <row r="120" spans="1:27" x14ac:dyDescent="0.2">
      <c r="A120" s="2" t="s">
        <v>152</v>
      </c>
      <c r="B120" s="2">
        <v>1999</v>
      </c>
      <c r="C120" s="2">
        <v>1</v>
      </c>
      <c r="D120" s="2" t="s">
        <v>82</v>
      </c>
      <c r="E120" s="2" t="s">
        <v>3</v>
      </c>
      <c r="F120" s="2">
        <v>562</v>
      </c>
      <c r="G120" s="2">
        <v>143</v>
      </c>
      <c r="H120" s="2">
        <v>171</v>
      </c>
      <c r="I120" s="2">
        <v>35</v>
      </c>
      <c r="J120" s="2">
        <v>0</v>
      </c>
      <c r="K120" s="2">
        <v>42</v>
      </c>
      <c r="L120" s="2">
        <v>126</v>
      </c>
      <c r="M120" s="2">
        <v>149</v>
      </c>
      <c r="N120" s="2">
        <v>127</v>
      </c>
      <c r="O120" s="2" t="s">
        <v>50</v>
      </c>
      <c r="P120" s="2" t="s">
        <v>40</v>
      </c>
      <c r="Q120" s="2" t="s">
        <v>28</v>
      </c>
      <c r="R120" s="2" t="s">
        <v>41</v>
      </c>
      <c r="S120" s="2" t="s">
        <v>45</v>
      </c>
      <c r="T120" s="2" t="s">
        <v>37</v>
      </c>
      <c r="U120" s="6">
        <f t="shared" si="19"/>
        <v>0.30427046263345198</v>
      </c>
      <c r="V120" s="6">
        <f t="shared" si="20"/>
        <v>0.46577181208053692</v>
      </c>
      <c r="W120" s="6">
        <f t="shared" si="21"/>
        <v>0.59074733096085408</v>
      </c>
      <c r="X120" s="6">
        <f t="shared" si="17"/>
        <v>1.0565191430413909</v>
      </c>
      <c r="Y120" s="6">
        <f t="shared" si="22"/>
        <v>0.20956399437412096</v>
      </c>
      <c r="Z120" s="6">
        <f t="shared" si="23"/>
        <v>0.18432510885341075</v>
      </c>
      <c r="AA120" s="6">
        <f t="shared" si="18"/>
        <v>0.2864768683274021</v>
      </c>
    </row>
    <row r="121" spans="1:27" x14ac:dyDescent="0.2">
      <c r="A121" s="3" t="s">
        <v>109</v>
      </c>
      <c r="B121" s="3">
        <v>1999</v>
      </c>
      <c r="C121" s="3">
        <v>1</v>
      </c>
      <c r="D121" s="3" t="s">
        <v>202</v>
      </c>
      <c r="E121" s="3" t="s">
        <v>3</v>
      </c>
      <c r="F121" s="3">
        <v>589</v>
      </c>
      <c r="G121" s="3">
        <v>132</v>
      </c>
      <c r="H121" s="3">
        <v>170</v>
      </c>
      <c r="I121" s="3">
        <v>32</v>
      </c>
      <c r="J121" s="3">
        <v>6</v>
      </c>
      <c r="K121" s="3">
        <v>38</v>
      </c>
      <c r="L121" s="3">
        <v>112</v>
      </c>
      <c r="M121" s="3">
        <v>82</v>
      </c>
      <c r="N121" s="3">
        <v>132</v>
      </c>
      <c r="O121" s="3" t="s">
        <v>31</v>
      </c>
      <c r="P121" s="3" t="s">
        <v>33</v>
      </c>
      <c r="Q121" s="3" t="s">
        <v>33</v>
      </c>
      <c r="R121" s="3" t="s">
        <v>42</v>
      </c>
      <c r="S121" s="3" t="s">
        <v>42</v>
      </c>
      <c r="T121" s="3" t="s">
        <v>33</v>
      </c>
      <c r="U121" s="6">
        <f t="shared" si="19"/>
        <v>0.28862478777589134</v>
      </c>
      <c r="V121" s="6">
        <f t="shared" si="20"/>
        <v>0.37609329446064138</v>
      </c>
      <c r="W121" s="6">
        <f t="shared" si="21"/>
        <v>0.55687606112054333</v>
      </c>
      <c r="X121" s="6">
        <f t="shared" si="17"/>
        <v>0.93296935558118466</v>
      </c>
      <c r="Y121" s="6">
        <f t="shared" si="22"/>
        <v>0.12220566318926974</v>
      </c>
      <c r="Z121" s="6">
        <f t="shared" si="23"/>
        <v>0.18307905686546463</v>
      </c>
      <c r="AA121" s="6">
        <f t="shared" si="18"/>
        <v>0.26825127334465199</v>
      </c>
    </row>
    <row r="122" spans="1:27" x14ac:dyDescent="0.2">
      <c r="A122" s="2" t="s">
        <v>166</v>
      </c>
      <c r="B122" s="2">
        <v>1999</v>
      </c>
      <c r="C122" s="2">
        <v>1</v>
      </c>
      <c r="D122" s="2" t="s">
        <v>204</v>
      </c>
      <c r="E122" s="2" t="s">
        <v>3</v>
      </c>
      <c r="F122" s="2">
        <v>467</v>
      </c>
      <c r="G122" s="2">
        <v>87</v>
      </c>
      <c r="H122" s="2">
        <v>126</v>
      </c>
      <c r="I122" s="2">
        <v>33</v>
      </c>
      <c r="J122" s="2">
        <v>2</v>
      </c>
      <c r="K122" s="2">
        <v>33</v>
      </c>
      <c r="L122" s="2">
        <v>103</v>
      </c>
      <c r="M122" s="2">
        <v>91</v>
      </c>
      <c r="N122" s="2">
        <v>124</v>
      </c>
      <c r="O122" s="2" t="s">
        <v>41</v>
      </c>
      <c r="P122" s="2" t="s">
        <v>50</v>
      </c>
      <c r="Q122" s="2" t="s">
        <v>28</v>
      </c>
      <c r="R122" s="2" t="s">
        <v>36</v>
      </c>
      <c r="S122" s="2" t="s">
        <v>40</v>
      </c>
      <c r="T122" s="2" t="s">
        <v>41</v>
      </c>
      <c r="U122" s="6">
        <f t="shared" si="19"/>
        <v>0.26980728051391861</v>
      </c>
      <c r="V122" s="6">
        <f t="shared" si="20"/>
        <v>0.40885860306643951</v>
      </c>
      <c r="W122" s="6">
        <f t="shared" si="21"/>
        <v>0.56102783725910066</v>
      </c>
      <c r="X122" s="6">
        <f t="shared" si="17"/>
        <v>0.96988644032554017</v>
      </c>
      <c r="Y122" s="6">
        <f t="shared" si="22"/>
        <v>0.16308243727598568</v>
      </c>
      <c r="Z122" s="6">
        <f t="shared" si="23"/>
        <v>0.20981387478849409</v>
      </c>
      <c r="AA122" s="6">
        <f t="shared" si="18"/>
        <v>0.29122055674518205</v>
      </c>
    </row>
    <row r="123" spans="1:27" x14ac:dyDescent="0.2">
      <c r="A123" s="3" t="s">
        <v>185</v>
      </c>
      <c r="B123" s="3">
        <v>1999</v>
      </c>
      <c r="C123" s="3">
        <v>1</v>
      </c>
      <c r="D123" s="3" t="s">
        <v>68</v>
      </c>
      <c r="E123" s="3" t="s">
        <v>6</v>
      </c>
      <c r="F123" s="3">
        <v>532</v>
      </c>
      <c r="G123" s="3">
        <v>103</v>
      </c>
      <c r="H123" s="3">
        <v>190</v>
      </c>
      <c r="I123" s="3">
        <v>42</v>
      </c>
      <c r="J123" s="3">
        <v>4</v>
      </c>
      <c r="K123" s="3">
        <v>27</v>
      </c>
      <c r="L123" s="3">
        <v>104</v>
      </c>
      <c r="M123" s="3">
        <v>51</v>
      </c>
      <c r="N123" s="3">
        <v>39</v>
      </c>
      <c r="O123" s="3" t="s">
        <v>41</v>
      </c>
      <c r="P123" s="3" t="s">
        <v>39</v>
      </c>
      <c r="Q123" s="3" t="s">
        <v>28</v>
      </c>
      <c r="R123" s="3" t="s">
        <v>33</v>
      </c>
      <c r="S123" s="3" t="s">
        <v>40</v>
      </c>
      <c r="T123" s="3" t="s">
        <v>36</v>
      </c>
      <c r="U123" s="6">
        <f t="shared" si="19"/>
        <v>0.35714285714285715</v>
      </c>
      <c r="V123" s="6">
        <f t="shared" si="20"/>
        <v>0.42524916943521596</v>
      </c>
      <c r="W123" s="6">
        <f t="shared" si="21"/>
        <v>0.60338345864661658</v>
      </c>
      <c r="X123" s="6">
        <f t="shared" si="17"/>
        <v>1.0286326280818325</v>
      </c>
      <c r="Y123" s="6">
        <f t="shared" si="22"/>
        <v>8.7478559176672382E-2</v>
      </c>
      <c r="Z123" s="6">
        <f t="shared" si="23"/>
        <v>6.8301225919439573E-2</v>
      </c>
      <c r="AA123" s="6">
        <f t="shared" si="18"/>
        <v>0.24624060150375943</v>
      </c>
    </row>
    <row r="124" spans="1:27" x14ac:dyDescent="0.2">
      <c r="A124" s="2" t="s">
        <v>138</v>
      </c>
      <c r="B124" s="2">
        <v>1999</v>
      </c>
      <c r="C124" s="2">
        <v>1</v>
      </c>
      <c r="D124" s="2" t="s">
        <v>91</v>
      </c>
      <c r="E124" s="2" t="s">
        <v>6</v>
      </c>
      <c r="F124" s="2">
        <v>606</v>
      </c>
      <c r="G124" s="2">
        <v>123</v>
      </c>
      <c r="H124" s="2">
        <v>173</v>
      </c>
      <c r="I124" s="2">
        <v>26</v>
      </c>
      <c r="J124" s="2">
        <v>3</v>
      </c>
      <c r="K124" s="2">
        <v>48</v>
      </c>
      <c r="L124" s="2">
        <v>134</v>
      </c>
      <c r="M124" s="2">
        <v>91</v>
      </c>
      <c r="N124" s="2">
        <v>108</v>
      </c>
      <c r="O124" s="2" t="s">
        <v>47</v>
      </c>
      <c r="P124" s="2" t="s">
        <v>41</v>
      </c>
      <c r="Q124" s="2" t="s">
        <v>28</v>
      </c>
      <c r="R124" s="2" t="s">
        <v>31</v>
      </c>
      <c r="S124" s="2" t="s">
        <v>39</v>
      </c>
      <c r="T124" s="2" t="s">
        <v>39</v>
      </c>
      <c r="U124" s="6">
        <f t="shared" si="19"/>
        <v>0.28547854785478549</v>
      </c>
      <c r="V124" s="6">
        <f t="shared" si="20"/>
        <v>0.39834024896265557</v>
      </c>
      <c r="W124" s="6">
        <f t="shared" si="21"/>
        <v>0.57590759075907594</v>
      </c>
      <c r="X124" s="6">
        <f t="shared" si="17"/>
        <v>0.97424783972173157</v>
      </c>
      <c r="Y124" s="6">
        <f t="shared" si="22"/>
        <v>0.13055954088952654</v>
      </c>
      <c r="Z124" s="6">
        <f t="shared" si="23"/>
        <v>0.15126050420168066</v>
      </c>
      <c r="AA124" s="6">
        <f t="shared" si="18"/>
        <v>0.29042904290429045</v>
      </c>
    </row>
    <row r="125" spans="1:27" x14ac:dyDescent="0.2">
      <c r="A125" s="3" t="s">
        <v>112</v>
      </c>
      <c r="B125" s="3">
        <v>1999</v>
      </c>
      <c r="C125" s="3">
        <v>1</v>
      </c>
      <c r="D125" s="3" t="s">
        <v>53</v>
      </c>
      <c r="E125" s="3" t="s">
        <v>3</v>
      </c>
      <c r="F125" s="3">
        <v>583</v>
      </c>
      <c r="G125" s="3">
        <v>108</v>
      </c>
      <c r="H125" s="3">
        <v>171</v>
      </c>
      <c r="I125" s="3">
        <v>30</v>
      </c>
      <c r="J125" s="3">
        <v>4</v>
      </c>
      <c r="K125" s="3">
        <v>12</v>
      </c>
      <c r="L125" s="3">
        <v>75</v>
      </c>
      <c r="M125" s="3">
        <v>93</v>
      </c>
      <c r="N125" s="3">
        <v>57</v>
      </c>
      <c r="O125" s="3" t="s">
        <v>32</v>
      </c>
      <c r="P125" s="3" t="s">
        <v>31</v>
      </c>
      <c r="Q125" s="3" t="s">
        <v>32</v>
      </c>
      <c r="R125" s="3" t="s">
        <v>33</v>
      </c>
      <c r="S125" s="3" t="s">
        <v>38</v>
      </c>
      <c r="T125" s="3" t="s">
        <v>36</v>
      </c>
      <c r="U125" s="6">
        <f t="shared" si="19"/>
        <v>0.29331046312178388</v>
      </c>
      <c r="V125" s="6">
        <f t="shared" si="20"/>
        <v>0.39446870451237265</v>
      </c>
      <c r="W125" s="6">
        <f t="shared" si="21"/>
        <v>0.42024013722126929</v>
      </c>
      <c r="X125" s="6">
        <f t="shared" si="17"/>
        <v>0.81470884173364189</v>
      </c>
      <c r="Y125" s="6">
        <f t="shared" si="22"/>
        <v>0.13757396449704143</v>
      </c>
      <c r="Z125" s="6">
        <f t="shared" si="23"/>
        <v>8.9062500000000003E-2</v>
      </c>
      <c r="AA125" s="6">
        <f t="shared" si="18"/>
        <v>0.12692967409948541</v>
      </c>
    </row>
    <row r="126" spans="1:27" x14ac:dyDescent="0.2">
      <c r="A126" s="2" t="s">
        <v>154</v>
      </c>
      <c r="B126" s="2">
        <v>1999</v>
      </c>
      <c r="C126" s="2">
        <v>1</v>
      </c>
      <c r="D126" s="2" t="s">
        <v>66</v>
      </c>
      <c r="E126" s="2" t="s">
        <v>6</v>
      </c>
      <c r="F126" s="2">
        <v>465</v>
      </c>
      <c r="G126" s="2">
        <v>110</v>
      </c>
      <c r="H126" s="2">
        <v>140</v>
      </c>
      <c r="I126" s="2">
        <v>28</v>
      </c>
      <c r="J126" s="2">
        <v>6</v>
      </c>
      <c r="K126" s="2">
        <v>7</v>
      </c>
      <c r="L126" s="2">
        <v>39</v>
      </c>
      <c r="M126" s="2">
        <v>79</v>
      </c>
      <c r="N126" s="2">
        <v>84</v>
      </c>
      <c r="O126" s="2" t="s">
        <v>31</v>
      </c>
      <c r="P126" s="2" t="s">
        <v>36</v>
      </c>
      <c r="Q126" s="2" t="s">
        <v>32</v>
      </c>
      <c r="R126" s="2" t="s">
        <v>32</v>
      </c>
      <c r="S126" s="2" t="s">
        <v>33</v>
      </c>
      <c r="T126" s="2" t="s">
        <v>41</v>
      </c>
      <c r="U126" s="6">
        <f t="shared" si="19"/>
        <v>0.30107526881720431</v>
      </c>
      <c r="V126" s="6">
        <f t="shared" si="20"/>
        <v>0.40754039497307004</v>
      </c>
      <c r="W126" s="6">
        <f t="shared" si="21"/>
        <v>0.43225806451612903</v>
      </c>
      <c r="X126" s="6">
        <f t="shared" si="17"/>
        <v>0.83979845948919907</v>
      </c>
      <c r="Y126" s="6">
        <f t="shared" si="22"/>
        <v>0.14522058823529413</v>
      </c>
      <c r="Z126" s="6">
        <f t="shared" si="23"/>
        <v>0.15300546448087432</v>
      </c>
      <c r="AA126" s="6">
        <f t="shared" si="18"/>
        <v>0.13118279569892471</v>
      </c>
    </row>
    <row r="127" spans="1:27" x14ac:dyDescent="0.2">
      <c r="A127" s="3" t="s">
        <v>162</v>
      </c>
      <c r="B127" s="3">
        <v>1999</v>
      </c>
      <c r="C127" s="3">
        <v>1</v>
      </c>
      <c r="D127" s="3" t="s">
        <v>68</v>
      </c>
      <c r="E127" s="3" t="s">
        <v>6</v>
      </c>
      <c r="F127" s="3">
        <v>2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1</v>
      </c>
      <c r="O127" s="3" t="s">
        <v>28</v>
      </c>
      <c r="P127" s="3" t="s">
        <v>28</v>
      </c>
      <c r="Q127" s="3" t="s">
        <v>28</v>
      </c>
      <c r="R127" s="3" t="s">
        <v>28</v>
      </c>
      <c r="S127" s="3" t="s">
        <v>28</v>
      </c>
      <c r="T127" s="3" t="s">
        <v>30</v>
      </c>
      <c r="U127" s="6">
        <f t="shared" si="19"/>
        <v>0</v>
      </c>
      <c r="V127" s="6">
        <f t="shared" si="20"/>
        <v>0</v>
      </c>
      <c r="W127" s="6">
        <f t="shared" si="21"/>
        <v>0</v>
      </c>
      <c r="X127" s="6">
        <f t="shared" si="17"/>
        <v>0</v>
      </c>
      <c r="Y127" s="6">
        <f t="shared" si="22"/>
        <v>0</v>
      </c>
      <c r="Z127" s="6">
        <f t="shared" si="23"/>
        <v>0.33333333333333331</v>
      </c>
      <c r="AA127" s="6">
        <f t="shared" si="18"/>
        <v>0</v>
      </c>
    </row>
    <row r="128" spans="1:27" x14ac:dyDescent="0.2">
      <c r="A128" s="2" t="s">
        <v>115</v>
      </c>
      <c r="B128" s="2">
        <v>1999</v>
      </c>
      <c r="C128" s="2">
        <v>1</v>
      </c>
      <c r="D128" s="2" t="s">
        <v>60</v>
      </c>
      <c r="E128" s="2" t="s">
        <v>3</v>
      </c>
      <c r="F128" s="2">
        <v>521</v>
      </c>
      <c r="G128" s="2">
        <v>118</v>
      </c>
      <c r="H128" s="2">
        <v>145</v>
      </c>
      <c r="I128" s="2">
        <v>21</v>
      </c>
      <c r="J128" s="2">
        <v>1</v>
      </c>
      <c r="K128" s="2">
        <v>65</v>
      </c>
      <c r="L128" s="2">
        <v>147</v>
      </c>
      <c r="M128" s="2">
        <v>133</v>
      </c>
      <c r="N128" s="2">
        <v>141</v>
      </c>
      <c r="O128" s="2" t="s">
        <v>49</v>
      </c>
      <c r="P128" s="2" t="s">
        <v>31</v>
      </c>
      <c r="Q128" s="2" t="s">
        <v>28</v>
      </c>
      <c r="R128" s="2" t="s">
        <v>32</v>
      </c>
      <c r="S128" s="2" t="s">
        <v>38</v>
      </c>
      <c r="T128" s="2" t="s">
        <v>34</v>
      </c>
      <c r="U128" s="6">
        <f t="shared" si="19"/>
        <v>0.27831094049904032</v>
      </c>
      <c r="V128" s="6">
        <f t="shared" si="20"/>
        <v>0.44134897360703812</v>
      </c>
      <c r="W128" s="6">
        <f t="shared" si="21"/>
        <v>0.69673704414587334</v>
      </c>
      <c r="X128" s="6">
        <f t="shared" si="17"/>
        <v>1.1380860177529115</v>
      </c>
      <c r="Y128" s="6">
        <f t="shared" si="22"/>
        <v>0.20336391437308868</v>
      </c>
      <c r="Z128" s="6">
        <f t="shared" si="23"/>
        <v>0.21299093655589124</v>
      </c>
      <c r="AA128" s="6">
        <f t="shared" si="18"/>
        <v>0.41842610364683303</v>
      </c>
    </row>
    <row r="129" spans="1:27" x14ac:dyDescent="0.2">
      <c r="A129" s="3" t="s">
        <v>117</v>
      </c>
      <c r="B129" s="3">
        <v>1999</v>
      </c>
      <c r="C129" s="3">
        <v>1</v>
      </c>
      <c r="D129" s="3" t="s">
        <v>90</v>
      </c>
      <c r="E129" s="3" t="s">
        <v>6</v>
      </c>
      <c r="F129" s="3">
        <v>565</v>
      </c>
      <c r="G129" s="3">
        <v>96</v>
      </c>
      <c r="H129" s="3">
        <v>183</v>
      </c>
      <c r="I129" s="3">
        <v>30</v>
      </c>
      <c r="J129" s="3">
        <v>1</v>
      </c>
      <c r="K129" s="3">
        <v>47</v>
      </c>
      <c r="L129" s="3">
        <v>148</v>
      </c>
      <c r="M129" s="3">
        <v>97</v>
      </c>
      <c r="N129" s="3">
        <v>69</v>
      </c>
      <c r="O129" s="3" t="s">
        <v>43</v>
      </c>
      <c r="P129" s="3" t="s">
        <v>34</v>
      </c>
      <c r="Q129" s="3" t="s">
        <v>28</v>
      </c>
      <c r="R129" s="3" t="s">
        <v>42</v>
      </c>
      <c r="S129" s="3" t="s">
        <v>38</v>
      </c>
      <c r="T129" s="3" t="s">
        <v>37</v>
      </c>
      <c r="U129" s="6">
        <f t="shared" si="19"/>
        <v>0.32389380530973449</v>
      </c>
      <c r="V129" s="6">
        <f t="shared" si="20"/>
        <v>0.4316860465116279</v>
      </c>
      <c r="W129" s="6">
        <f t="shared" si="21"/>
        <v>0.63008849557522129</v>
      </c>
      <c r="X129" s="6">
        <f t="shared" si="17"/>
        <v>1.0617745420868492</v>
      </c>
      <c r="Y129" s="6">
        <f t="shared" si="22"/>
        <v>0.14652567975830816</v>
      </c>
      <c r="Z129" s="6">
        <f t="shared" si="23"/>
        <v>0.10883280757097792</v>
      </c>
      <c r="AA129" s="6">
        <f t="shared" si="18"/>
        <v>0.30619469026548679</v>
      </c>
    </row>
    <row r="130" spans="1:27" x14ac:dyDescent="0.2">
      <c r="A130" s="2" t="s">
        <v>163</v>
      </c>
      <c r="B130" s="2">
        <v>1999</v>
      </c>
      <c r="C130" s="2">
        <v>1</v>
      </c>
      <c r="D130" s="2" t="s">
        <v>83</v>
      </c>
      <c r="E130" s="2" t="s">
        <v>3</v>
      </c>
      <c r="F130" s="2">
        <v>534</v>
      </c>
      <c r="G130" s="2">
        <v>100</v>
      </c>
      <c r="H130" s="2">
        <v>162</v>
      </c>
      <c r="I130" s="2">
        <v>25</v>
      </c>
      <c r="J130" s="2">
        <v>0</v>
      </c>
      <c r="K130" s="2">
        <v>40</v>
      </c>
      <c r="L130" s="2">
        <v>124</v>
      </c>
      <c r="M130" s="2">
        <v>51</v>
      </c>
      <c r="N130" s="2">
        <v>70</v>
      </c>
      <c r="O130" s="2" t="s">
        <v>40</v>
      </c>
      <c r="P130" s="2" t="s">
        <v>30</v>
      </c>
      <c r="Q130" s="2" t="s">
        <v>28</v>
      </c>
      <c r="R130" s="2" t="s">
        <v>41</v>
      </c>
      <c r="S130" s="2" t="s">
        <v>62</v>
      </c>
      <c r="T130" s="2" t="s">
        <v>31</v>
      </c>
      <c r="U130" s="6">
        <f t="shared" ref="U130:U161" si="24">H130/F130</f>
        <v>0.30337078651685395</v>
      </c>
      <c r="V130" s="6">
        <f t="shared" ref="V130:V161" si="25">(H130+M130+O130+P130)/(F130+M130+O130+P130+R130)</f>
        <v>0.37251655629139074</v>
      </c>
      <c r="W130" s="6">
        <f t="shared" ref="W130:W161" si="26">((H130-I130-J130-K130)+(2*I130)+(3*J130)+(4*K130))/F130</f>
        <v>0.57490636704119846</v>
      </c>
      <c r="X130" s="6">
        <f t="shared" si="17"/>
        <v>0.94742292333258926</v>
      </c>
      <c r="Y130" s="6">
        <f t="shared" ref="Y130:Y161" si="27">M130/(M130+F130)</f>
        <v>8.7179487179487175E-2</v>
      </c>
      <c r="Z130" s="6">
        <f t="shared" ref="Z130:Z161" si="28">N130/(N130+F130)</f>
        <v>0.11589403973509933</v>
      </c>
      <c r="AA130" s="6">
        <f t="shared" si="18"/>
        <v>0.27153558052434451</v>
      </c>
    </row>
    <row r="131" spans="1:27" x14ac:dyDescent="0.2">
      <c r="A131" s="3" t="s">
        <v>171</v>
      </c>
      <c r="B131" s="3">
        <v>1999</v>
      </c>
      <c r="C131" s="3">
        <v>1</v>
      </c>
      <c r="D131" s="3" t="s">
        <v>66</v>
      </c>
      <c r="E131" s="3" t="s">
        <v>6</v>
      </c>
      <c r="F131" s="3">
        <v>522</v>
      </c>
      <c r="G131" s="3">
        <v>131</v>
      </c>
      <c r="H131" s="3">
        <v>174</v>
      </c>
      <c r="I131" s="3">
        <v>34</v>
      </c>
      <c r="J131" s="3">
        <v>3</v>
      </c>
      <c r="K131" s="3">
        <v>44</v>
      </c>
      <c r="L131" s="3">
        <v>165</v>
      </c>
      <c r="M131" s="3">
        <v>96</v>
      </c>
      <c r="N131" s="3">
        <v>131</v>
      </c>
      <c r="O131" s="3" t="s">
        <v>42</v>
      </c>
      <c r="P131" s="3" t="s">
        <v>35</v>
      </c>
      <c r="Q131" s="3" t="s">
        <v>28</v>
      </c>
      <c r="R131" s="3" t="s">
        <v>42</v>
      </c>
      <c r="S131" s="3" t="s">
        <v>38</v>
      </c>
      <c r="T131" s="3" t="s">
        <v>42</v>
      </c>
      <c r="U131" s="6">
        <f t="shared" si="24"/>
        <v>0.33333333333333331</v>
      </c>
      <c r="V131" s="6">
        <f t="shared" si="25"/>
        <v>0.44992295839753466</v>
      </c>
      <c r="W131" s="6">
        <f t="shared" si="26"/>
        <v>0.66283524904214564</v>
      </c>
      <c r="X131" s="6">
        <f t="shared" ref="X131:X194" si="29">V131+W131</f>
        <v>1.1127582074396802</v>
      </c>
      <c r="Y131" s="6">
        <f t="shared" si="27"/>
        <v>0.1553398058252427</v>
      </c>
      <c r="Z131" s="6">
        <f t="shared" si="28"/>
        <v>0.20061255742725881</v>
      </c>
      <c r="AA131" s="6">
        <f t="shared" ref="AA131:AA194" si="30">W131-U131</f>
        <v>0.32950191570881232</v>
      </c>
    </row>
    <row r="132" spans="1:27" x14ac:dyDescent="0.2">
      <c r="A132" s="2" t="s">
        <v>95</v>
      </c>
      <c r="B132" s="2">
        <v>1999</v>
      </c>
      <c r="C132" s="2">
        <v>1</v>
      </c>
      <c r="D132" s="2" t="s">
        <v>78</v>
      </c>
      <c r="E132" s="2" t="s">
        <v>6</v>
      </c>
      <c r="F132" s="2">
        <v>332</v>
      </c>
      <c r="G132" s="2">
        <v>51</v>
      </c>
      <c r="H132" s="2">
        <v>113</v>
      </c>
      <c r="I132" s="2">
        <v>27</v>
      </c>
      <c r="J132" s="2">
        <v>0</v>
      </c>
      <c r="K132" s="2">
        <v>18</v>
      </c>
      <c r="L132" s="2">
        <v>57</v>
      </c>
      <c r="M132" s="2">
        <v>13</v>
      </c>
      <c r="N132" s="2">
        <v>31</v>
      </c>
      <c r="O132" s="2" t="s">
        <v>34</v>
      </c>
      <c r="P132" s="2" t="s">
        <v>34</v>
      </c>
      <c r="Q132" s="2" t="s">
        <v>34</v>
      </c>
      <c r="R132" s="2" t="s">
        <v>34</v>
      </c>
      <c r="S132" s="2" t="s">
        <v>43</v>
      </c>
      <c r="T132" s="2" t="s">
        <v>32</v>
      </c>
      <c r="U132" s="6">
        <f t="shared" si="24"/>
        <v>0.34036144578313254</v>
      </c>
      <c r="V132" s="6">
        <f t="shared" si="25"/>
        <v>0.3728813559322034</v>
      </c>
      <c r="W132" s="6">
        <f t="shared" si="26"/>
        <v>0.58433734939759041</v>
      </c>
      <c r="X132" s="6">
        <f t="shared" si="29"/>
        <v>0.95721870532979381</v>
      </c>
      <c r="Y132" s="6">
        <f t="shared" si="27"/>
        <v>3.7681159420289857E-2</v>
      </c>
      <c r="Z132" s="6">
        <f t="shared" si="28"/>
        <v>8.5399449035812675E-2</v>
      </c>
      <c r="AA132" s="6">
        <f t="shared" si="30"/>
        <v>0.24397590361445787</v>
      </c>
    </row>
    <row r="133" spans="1:27" x14ac:dyDescent="0.2">
      <c r="A133" s="3" t="s">
        <v>155</v>
      </c>
      <c r="B133" s="3">
        <v>1999</v>
      </c>
      <c r="C133" s="3">
        <v>1</v>
      </c>
      <c r="D133" s="3" t="s">
        <v>90</v>
      </c>
      <c r="E133" s="3" t="s">
        <v>6</v>
      </c>
      <c r="F133" s="3">
        <v>600</v>
      </c>
      <c r="G133" s="3">
        <v>116</v>
      </c>
      <c r="H133" s="3">
        <v>199</v>
      </c>
      <c r="I133" s="3">
        <v>29</v>
      </c>
      <c r="J133" s="3">
        <v>1</v>
      </c>
      <c r="K133" s="3">
        <v>35</v>
      </c>
      <c r="L133" s="3">
        <v>113</v>
      </c>
      <c r="M133" s="3">
        <v>24</v>
      </c>
      <c r="N133" s="3">
        <v>64</v>
      </c>
      <c r="O133" s="3" t="s">
        <v>31</v>
      </c>
      <c r="P133" s="3" t="s">
        <v>30</v>
      </c>
      <c r="Q133" s="3" t="s">
        <v>28</v>
      </c>
      <c r="R133" s="3" t="s">
        <v>32</v>
      </c>
      <c r="S133" s="3" t="s">
        <v>65</v>
      </c>
      <c r="T133" s="3" t="s">
        <v>31</v>
      </c>
      <c r="U133" s="6">
        <f t="shared" si="24"/>
        <v>0.33166666666666667</v>
      </c>
      <c r="V133" s="6">
        <f t="shared" si="25"/>
        <v>0.35759493670886078</v>
      </c>
      <c r="W133" s="6">
        <f t="shared" si="26"/>
        <v>0.55833333333333335</v>
      </c>
      <c r="X133" s="6">
        <f t="shared" si="29"/>
        <v>0.91592827004219413</v>
      </c>
      <c r="Y133" s="6">
        <f t="shared" si="27"/>
        <v>3.8461538461538464E-2</v>
      </c>
      <c r="Z133" s="6">
        <f t="shared" si="28"/>
        <v>9.6385542168674704E-2</v>
      </c>
      <c r="AA133" s="6">
        <f t="shared" si="30"/>
        <v>0.22666666666666668</v>
      </c>
    </row>
    <row r="134" spans="1:27" x14ac:dyDescent="0.2">
      <c r="A134" s="2" t="s">
        <v>133</v>
      </c>
      <c r="B134" s="2">
        <v>1999</v>
      </c>
      <c r="C134" s="2">
        <v>1</v>
      </c>
      <c r="D134" s="2" t="s">
        <v>29</v>
      </c>
      <c r="E134" s="2" t="s">
        <v>3</v>
      </c>
      <c r="F134" s="2">
        <v>50</v>
      </c>
      <c r="G134" s="2">
        <v>5</v>
      </c>
      <c r="H134" s="2">
        <v>5</v>
      </c>
      <c r="I134" s="2">
        <v>1</v>
      </c>
      <c r="J134" s="2">
        <v>1</v>
      </c>
      <c r="K134" s="2">
        <v>0</v>
      </c>
      <c r="L134" s="2">
        <v>3</v>
      </c>
      <c r="M134" s="2">
        <v>7</v>
      </c>
      <c r="N134" s="2">
        <v>28</v>
      </c>
      <c r="O134" s="2" t="s">
        <v>28</v>
      </c>
      <c r="P134" s="2" t="s">
        <v>28</v>
      </c>
      <c r="Q134" s="2" t="s">
        <v>42</v>
      </c>
      <c r="R134" s="2" t="s">
        <v>28</v>
      </c>
      <c r="S134" s="2" t="s">
        <v>28</v>
      </c>
      <c r="T134" s="2" t="s">
        <v>30</v>
      </c>
      <c r="U134" s="6">
        <f t="shared" si="24"/>
        <v>0.1</v>
      </c>
      <c r="V134" s="6">
        <f t="shared" si="25"/>
        <v>0.21052631578947367</v>
      </c>
      <c r="W134" s="6">
        <f t="shared" si="26"/>
        <v>0.16</v>
      </c>
      <c r="X134" s="6">
        <f t="shared" si="29"/>
        <v>0.3705263157894737</v>
      </c>
      <c r="Y134" s="6">
        <f t="shared" si="27"/>
        <v>0.12280701754385964</v>
      </c>
      <c r="Z134" s="6">
        <f t="shared" si="28"/>
        <v>0.35897435897435898</v>
      </c>
      <c r="AA134" s="6">
        <f t="shared" si="30"/>
        <v>0.06</v>
      </c>
    </row>
    <row r="135" spans="1:27" x14ac:dyDescent="0.2">
      <c r="A135" s="3" t="s">
        <v>143</v>
      </c>
      <c r="B135" s="3">
        <v>1999</v>
      </c>
      <c r="C135" s="3">
        <v>1</v>
      </c>
      <c r="D135" s="3" t="s">
        <v>27</v>
      </c>
      <c r="E135" s="3" t="s">
        <v>3</v>
      </c>
      <c r="F135" s="3">
        <v>625</v>
      </c>
      <c r="G135" s="3">
        <v>114</v>
      </c>
      <c r="H135" s="3">
        <v>180</v>
      </c>
      <c r="I135" s="3">
        <v>24</v>
      </c>
      <c r="J135" s="3">
        <v>2</v>
      </c>
      <c r="K135" s="3">
        <v>63</v>
      </c>
      <c r="L135" s="3">
        <v>141</v>
      </c>
      <c r="M135" s="3">
        <v>78</v>
      </c>
      <c r="N135" s="3">
        <v>171</v>
      </c>
      <c r="O135" s="3" t="s">
        <v>39</v>
      </c>
      <c r="P135" s="3" t="s">
        <v>34</v>
      </c>
      <c r="Q135" s="3" t="s">
        <v>28</v>
      </c>
      <c r="R135" s="3" t="s">
        <v>36</v>
      </c>
      <c r="S135" s="3" t="s">
        <v>47</v>
      </c>
      <c r="T135" s="3" t="s">
        <v>39</v>
      </c>
      <c r="U135" s="6">
        <f t="shared" si="24"/>
        <v>0.28799999999999998</v>
      </c>
      <c r="V135" s="6">
        <f t="shared" si="25"/>
        <v>0.37361111111111112</v>
      </c>
      <c r="W135" s="6">
        <f t="shared" si="26"/>
        <v>0.63519999999999999</v>
      </c>
      <c r="X135" s="6">
        <f t="shared" si="29"/>
        <v>1.0088111111111111</v>
      </c>
      <c r="Y135" s="6">
        <f t="shared" si="27"/>
        <v>0.11095305832147938</v>
      </c>
      <c r="Z135" s="6">
        <f t="shared" si="28"/>
        <v>0.21482412060301506</v>
      </c>
      <c r="AA135" s="6">
        <f t="shared" si="30"/>
        <v>0.34720000000000001</v>
      </c>
    </row>
    <row r="136" spans="1:27" x14ac:dyDescent="0.2">
      <c r="A136" s="2" t="s">
        <v>156</v>
      </c>
      <c r="B136" s="2">
        <v>1999</v>
      </c>
      <c r="C136" s="2">
        <v>1</v>
      </c>
      <c r="D136" s="2" t="s">
        <v>66</v>
      </c>
      <c r="E136" s="2" t="s">
        <v>6</v>
      </c>
      <c r="F136" s="2">
        <v>494</v>
      </c>
      <c r="G136" s="2">
        <v>101</v>
      </c>
      <c r="H136" s="2">
        <v>137</v>
      </c>
      <c r="I136" s="2">
        <v>27</v>
      </c>
      <c r="J136" s="2">
        <v>2</v>
      </c>
      <c r="K136" s="2">
        <v>33</v>
      </c>
      <c r="L136" s="2">
        <v>108</v>
      </c>
      <c r="M136" s="2">
        <v>127</v>
      </c>
      <c r="N136" s="2">
        <v>171</v>
      </c>
      <c r="O136" s="2" t="s">
        <v>35</v>
      </c>
      <c r="P136" s="2" t="s">
        <v>33</v>
      </c>
      <c r="Q136" s="2" t="s">
        <v>28</v>
      </c>
      <c r="R136" s="2" t="s">
        <v>33</v>
      </c>
      <c r="S136" s="2" t="s">
        <v>36</v>
      </c>
      <c r="T136" s="2" t="s">
        <v>34</v>
      </c>
      <c r="U136" s="6">
        <f t="shared" si="24"/>
        <v>0.27732793522267207</v>
      </c>
      <c r="V136" s="6">
        <f t="shared" si="25"/>
        <v>0.43769470404984423</v>
      </c>
      <c r="W136" s="6">
        <f t="shared" si="26"/>
        <v>0.54048582995951422</v>
      </c>
      <c r="X136" s="6">
        <f t="shared" si="29"/>
        <v>0.97818053400935845</v>
      </c>
      <c r="Y136" s="6">
        <f t="shared" si="27"/>
        <v>0.20450885668276972</v>
      </c>
      <c r="Z136" s="6">
        <f t="shared" si="28"/>
        <v>0.25714285714285712</v>
      </c>
      <c r="AA136" s="6">
        <f t="shared" si="30"/>
        <v>0.26315789473684215</v>
      </c>
    </row>
    <row r="137" spans="1:27" x14ac:dyDescent="0.2">
      <c r="A137" s="3" t="s">
        <v>144</v>
      </c>
      <c r="B137" s="3">
        <v>1999</v>
      </c>
      <c r="C137" s="3">
        <v>1</v>
      </c>
      <c r="D137" s="3" t="s">
        <v>164</v>
      </c>
      <c r="E137" s="3" t="s">
        <v>3</v>
      </c>
      <c r="F137" s="3">
        <v>438</v>
      </c>
      <c r="G137" s="3">
        <v>108</v>
      </c>
      <c r="H137" s="3">
        <v>166</v>
      </c>
      <c r="I137" s="3">
        <v>26</v>
      </c>
      <c r="J137" s="3">
        <v>4</v>
      </c>
      <c r="K137" s="3">
        <v>37</v>
      </c>
      <c r="L137" s="3">
        <v>115</v>
      </c>
      <c r="M137" s="3">
        <v>57</v>
      </c>
      <c r="N137" s="3">
        <v>52</v>
      </c>
      <c r="O137" s="3" t="s">
        <v>39</v>
      </c>
      <c r="P137" s="3" t="s">
        <v>38</v>
      </c>
      <c r="Q137" s="3" t="s">
        <v>28</v>
      </c>
      <c r="R137" s="3" t="s">
        <v>36</v>
      </c>
      <c r="S137" s="3" t="s">
        <v>38</v>
      </c>
      <c r="T137" s="3" t="s">
        <v>42</v>
      </c>
      <c r="U137" s="6">
        <f t="shared" si="24"/>
        <v>0.37899543378995432</v>
      </c>
      <c r="V137" s="6">
        <f t="shared" si="25"/>
        <v>0.46641074856046066</v>
      </c>
      <c r="W137" s="6">
        <f t="shared" si="26"/>
        <v>0.71004566210045661</v>
      </c>
      <c r="X137" s="6">
        <f t="shared" si="29"/>
        <v>1.1764564106609172</v>
      </c>
      <c r="Y137" s="6">
        <f t="shared" si="27"/>
        <v>0.11515151515151516</v>
      </c>
      <c r="Z137" s="6">
        <f t="shared" si="28"/>
        <v>0.10612244897959183</v>
      </c>
      <c r="AA137" s="6">
        <f t="shared" si="30"/>
        <v>0.33105022831050229</v>
      </c>
    </row>
    <row r="138" spans="1:27" x14ac:dyDescent="0.2">
      <c r="A138" s="2" t="s">
        <v>126</v>
      </c>
      <c r="B138" s="2">
        <v>1999</v>
      </c>
      <c r="C138" s="2">
        <v>1</v>
      </c>
      <c r="D138" s="2" t="s">
        <v>202</v>
      </c>
      <c r="E138" s="2" t="s">
        <v>3</v>
      </c>
      <c r="F138" s="2">
        <v>627</v>
      </c>
      <c r="G138" s="2">
        <v>98</v>
      </c>
      <c r="H138" s="2">
        <v>190</v>
      </c>
      <c r="I138" s="2">
        <v>37</v>
      </c>
      <c r="J138" s="2">
        <v>2</v>
      </c>
      <c r="K138" s="2">
        <v>35</v>
      </c>
      <c r="L138" s="2">
        <v>142</v>
      </c>
      <c r="M138" s="2">
        <v>41</v>
      </c>
      <c r="N138" s="2">
        <v>93</v>
      </c>
      <c r="O138" s="2" t="s">
        <v>42</v>
      </c>
      <c r="P138" s="2" t="s">
        <v>31</v>
      </c>
      <c r="Q138" s="2" t="s">
        <v>28</v>
      </c>
      <c r="R138" s="2" t="s">
        <v>39</v>
      </c>
      <c r="S138" s="2" t="s">
        <v>47</v>
      </c>
      <c r="T138" s="2" t="s">
        <v>32</v>
      </c>
      <c r="U138" s="6">
        <f t="shared" si="24"/>
        <v>0.30303030303030304</v>
      </c>
      <c r="V138" s="6">
        <f t="shared" si="25"/>
        <v>0.3522561863173217</v>
      </c>
      <c r="W138" s="6">
        <f t="shared" si="26"/>
        <v>0.53588516746411485</v>
      </c>
      <c r="X138" s="6">
        <f t="shared" si="29"/>
        <v>0.88814135378143655</v>
      </c>
      <c r="Y138" s="6">
        <f t="shared" si="27"/>
        <v>6.1377245508982034E-2</v>
      </c>
      <c r="Z138" s="6">
        <f t="shared" si="28"/>
        <v>0.12916666666666668</v>
      </c>
      <c r="AA138" s="6">
        <f t="shared" si="30"/>
        <v>0.23285486443381181</v>
      </c>
    </row>
    <row r="139" spans="1:27" x14ac:dyDescent="0.2">
      <c r="A139" s="3" t="s">
        <v>127</v>
      </c>
      <c r="B139" s="3">
        <v>2000</v>
      </c>
      <c r="C139" s="3">
        <v>1</v>
      </c>
      <c r="D139" s="3" t="s">
        <v>66</v>
      </c>
      <c r="E139" s="3" t="s">
        <v>6</v>
      </c>
      <c r="F139" s="3">
        <v>610</v>
      </c>
      <c r="G139" s="3">
        <v>111</v>
      </c>
      <c r="H139" s="3">
        <v>189</v>
      </c>
      <c r="I139" s="3">
        <v>40</v>
      </c>
      <c r="J139" s="3">
        <v>2</v>
      </c>
      <c r="K139" s="3">
        <v>19</v>
      </c>
      <c r="L139" s="3">
        <v>89</v>
      </c>
      <c r="M139" s="3">
        <v>64</v>
      </c>
      <c r="N139" s="3">
        <v>82</v>
      </c>
      <c r="O139" s="3" t="s">
        <v>33</v>
      </c>
      <c r="P139" s="3" t="s">
        <v>36</v>
      </c>
      <c r="Q139" s="3" t="s">
        <v>40</v>
      </c>
      <c r="R139" s="3" t="s">
        <v>36</v>
      </c>
      <c r="S139" s="3" t="s">
        <v>52</v>
      </c>
      <c r="T139" s="3" t="s">
        <v>33</v>
      </c>
      <c r="U139" s="6">
        <f t="shared" si="24"/>
        <v>0.30983606557377047</v>
      </c>
      <c r="V139" s="6">
        <f t="shared" si="25"/>
        <v>0.38115942028985506</v>
      </c>
      <c r="W139" s="6">
        <f t="shared" si="26"/>
        <v>0.47540983606557374</v>
      </c>
      <c r="X139" s="6">
        <f t="shared" si="29"/>
        <v>0.8565692563554288</v>
      </c>
      <c r="Y139" s="6">
        <f t="shared" si="27"/>
        <v>9.4955489614243327E-2</v>
      </c>
      <c r="Z139" s="6">
        <f t="shared" si="28"/>
        <v>0.11849710982658959</v>
      </c>
      <c r="AA139" s="6">
        <f t="shared" si="30"/>
        <v>0.16557377049180327</v>
      </c>
    </row>
    <row r="140" spans="1:27" x14ac:dyDescent="0.2">
      <c r="A140" s="2" t="s">
        <v>184</v>
      </c>
      <c r="B140" s="2">
        <v>2000</v>
      </c>
      <c r="C140" s="2">
        <v>1</v>
      </c>
      <c r="D140" s="2" t="s">
        <v>87</v>
      </c>
      <c r="E140" s="2" t="s">
        <v>6</v>
      </c>
      <c r="F140" s="2">
        <v>601</v>
      </c>
      <c r="G140" s="2">
        <v>107</v>
      </c>
      <c r="H140" s="2">
        <v>193</v>
      </c>
      <c r="I140" s="2">
        <v>41</v>
      </c>
      <c r="J140" s="2">
        <v>2</v>
      </c>
      <c r="K140" s="2">
        <v>33</v>
      </c>
      <c r="L140" s="2">
        <v>118</v>
      </c>
      <c r="M140" s="2">
        <v>69</v>
      </c>
      <c r="N140" s="2">
        <v>99</v>
      </c>
      <c r="O140" s="2" t="s">
        <v>36</v>
      </c>
      <c r="P140" s="2" t="s">
        <v>34</v>
      </c>
      <c r="Q140" s="2" t="s">
        <v>28</v>
      </c>
      <c r="R140" s="2" t="s">
        <v>36</v>
      </c>
      <c r="S140" s="2" t="s">
        <v>38</v>
      </c>
      <c r="T140" s="2" t="s">
        <v>42</v>
      </c>
      <c r="U140" s="6">
        <f t="shared" si="24"/>
        <v>0.3211314475873544</v>
      </c>
      <c r="V140" s="6">
        <f t="shared" si="25"/>
        <v>0.39562043795620438</v>
      </c>
      <c r="W140" s="6">
        <f t="shared" si="26"/>
        <v>0.56073211314475868</v>
      </c>
      <c r="X140" s="6">
        <f t="shared" si="29"/>
        <v>0.95635255110096307</v>
      </c>
      <c r="Y140" s="6">
        <f t="shared" si="27"/>
        <v>0.10298507462686567</v>
      </c>
      <c r="Z140" s="6">
        <f t="shared" si="28"/>
        <v>0.14142857142857143</v>
      </c>
      <c r="AA140" s="6">
        <f t="shared" si="30"/>
        <v>0.23960066555740428</v>
      </c>
    </row>
    <row r="141" spans="1:27" x14ac:dyDescent="0.2">
      <c r="A141" s="3" t="s">
        <v>168</v>
      </c>
      <c r="B141" s="3">
        <v>2000</v>
      </c>
      <c r="C141" s="3">
        <v>1</v>
      </c>
      <c r="D141" s="3" t="s">
        <v>60</v>
      </c>
      <c r="E141" s="3" t="s">
        <v>3</v>
      </c>
      <c r="F141" s="3">
        <v>525</v>
      </c>
      <c r="G141" s="3">
        <v>129</v>
      </c>
      <c r="H141" s="3">
        <v>155</v>
      </c>
      <c r="I141" s="3">
        <v>25</v>
      </c>
      <c r="J141" s="3">
        <v>0</v>
      </c>
      <c r="K141" s="3">
        <v>42</v>
      </c>
      <c r="L141" s="3">
        <v>108</v>
      </c>
      <c r="M141" s="3">
        <v>103</v>
      </c>
      <c r="N141" s="3">
        <v>167</v>
      </c>
      <c r="O141" s="3" t="s">
        <v>34</v>
      </c>
      <c r="P141" s="3" t="s">
        <v>36</v>
      </c>
      <c r="Q141" s="3" t="s">
        <v>30</v>
      </c>
      <c r="R141" s="3" t="s">
        <v>39</v>
      </c>
      <c r="S141" s="3" t="s">
        <v>32</v>
      </c>
      <c r="T141" s="3" t="s">
        <v>39</v>
      </c>
      <c r="U141" s="6">
        <f t="shared" si="24"/>
        <v>0.29523809523809524</v>
      </c>
      <c r="V141" s="6">
        <f t="shared" si="25"/>
        <v>0.413953488372093</v>
      </c>
      <c r="W141" s="6">
        <f t="shared" si="26"/>
        <v>0.58285714285714285</v>
      </c>
      <c r="X141" s="6">
        <f t="shared" si="29"/>
        <v>0.99681063122923586</v>
      </c>
      <c r="Y141" s="6">
        <f t="shared" si="27"/>
        <v>0.16401273885350318</v>
      </c>
      <c r="Z141" s="6">
        <f t="shared" si="28"/>
        <v>0.24132947976878613</v>
      </c>
      <c r="AA141" s="6">
        <f t="shared" si="30"/>
        <v>0.28761904761904761</v>
      </c>
    </row>
    <row r="142" spans="1:27" x14ac:dyDescent="0.2">
      <c r="A142" s="2" t="s">
        <v>169</v>
      </c>
      <c r="B142" s="2">
        <v>2000</v>
      </c>
      <c r="C142" s="2">
        <v>1</v>
      </c>
      <c r="D142" s="2" t="s">
        <v>68</v>
      </c>
      <c r="E142" s="2" t="s">
        <v>6</v>
      </c>
      <c r="F142" s="2">
        <v>496</v>
      </c>
      <c r="G142" s="2">
        <v>82</v>
      </c>
      <c r="H142" s="2">
        <v>149</v>
      </c>
      <c r="I142" s="2">
        <v>32</v>
      </c>
      <c r="J142" s="2">
        <v>4</v>
      </c>
      <c r="K142" s="2">
        <v>34</v>
      </c>
      <c r="L142" s="2">
        <v>108</v>
      </c>
      <c r="M142" s="2">
        <v>52</v>
      </c>
      <c r="N142" s="2">
        <v>113</v>
      </c>
      <c r="O142" s="2" t="s">
        <v>32</v>
      </c>
      <c r="P142" s="2" t="s">
        <v>39</v>
      </c>
      <c r="Q142" s="2" t="s">
        <v>28</v>
      </c>
      <c r="R142" s="2" t="s">
        <v>32</v>
      </c>
      <c r="S142" s="2" t="s">
        <v>33</v>
      </c>
      <c r="T142" s="2" t="s">
        <v>41</v>
      </c>
      <c r="U142" s="6">
        <f t="shared" si="24"/>
        <v>0.30040322580645162</v>
      </c>
      <c r="V142" s="6">
        <f t="shared" si="25"/>
        <v>0.37809187279151946</v>
      </c>
      <c r="W142" s="6">
        <f t="shared" si="26"/>
        <v>0.58669354838709675</v>
      </c>
      <c r="X142" s="6">
        <f t="shared" si="29"/>
        <v>0.96478542117861621</v>
      </c>
      <c r="Y142" s="6">
        <f t="shared" si="27"/>
        <v>9.4890510948905105E-2</v>
      </c>
      <c r="Z142" s="6">
        <f t="shared" si="28"/>
        <v>0.18555008210180624</v>
      </c>
      <c r="AA142" s="6">
        <f t="shared" si="30"/>
        <v>0.28629032258064513</v>
      </c>
    </row>
    <row r="143" spans="1:27" x14ac:dyDescent="0.2">
      <c r="A143" s="3" t="s">
        <v>146</v>
      </c>
      <c r="B143" s="3">
        <v>2000</v>
      </c>
      <c r="C143" s="3">
        <v>1</v>
      </c>
      <c r="D143" s="3" t="s">
        <v>66</v>
      </c>
      <c r="E143" s="3" t="s">
        <v>6</v>
      </c>
      <c r="F143" s="3">
        <v>574</v>
      </c>
      <c r="G143" s="3">
        <v>93</v>
      </c>
      <c r="H143" s="3">
        <v>184</v>
      </c>
      <c r="I143" s="3">
        <v>38</v>
      </c>
      <c r="J143" s="3">
        <v>4</v>
      </c>
      <c r="K143" s="3">
        <v>22</v>
      </c>
      <c r="L143" s="3">
        <v>106</v>
      </c>
      <c r="M143" s="3">
        <v>73</v>
      </c>
      <c r="N143" s="3">
        <v>111</v>
      </c>
      <c r="O143" s="3" t="s">
        <v>31</v>
      </c>
      <c r="P143" s="3" t="s">
        <v>30</v>
      </c>
      <c r="Q143" s="3" t="s">
        <v>28</v>
      </c>
      <c r="R143" s="3" t="s">
        <v>37</v>
      </c>
      <c r="S143" s="3" t="s">
        <v>44</v>
      </c>
      <c r="T143" s="3" t="s">
        <v>32</v>
      </c>
      <c r="U143" s="6">
        <f t="shared" si="24"/>
        <v>0.32055749128919858</v>
      </c>
      <c r="V143" s="6">
        <f t="shared" si="25"/>
        <v>0.39393939393939392</v>
      </c>
      <c r="W143" s="6">
        <f t="shared" si="26"/>
        <v>0.51567944250871078</v>
      </c>
      <c r="X143" s="6">
        <f t="shared" si="29"/>
        <v>0.90961883644810471</v>
      </c>
      <c r="Y143" s="6">
        <f t="shared" si="27"/>
        <v>0.11282843894899536</v>
      </c>
      <c r="Z143" s="6">
        <f t="shared" si="28"/>
        <v>0.16204379562043797</v>
      </c>
      <c r="AA143" s="6">
        <f t="shared" si="30"/>
        <v>0.1951219512195122</v>
      </c>
    </row>
    <row r="144" spans="1:27" x14ac:dyDescent="0.2">
      <c r="A144" s="2" t="s">
        <v>107</v>
      </c>
      <c r="B144" s="2">
        <v>2000</v>
      </c>
      <c r="C144" s="2">
        <v>1</v>
      </c>
      <c r="D144" s="2" t="s">
        <v>85</v>
      </c>
      <c r="E144" s="2" t="s">
        <v>3</v>
      </c>
      <c r="F144" s="2">
        <v>494</v>
      </c>
      <c r="G144" s="2">
        <v>67</v>
      </c>
      <c r="H144" s="2">
        <v>149</v>
      </c>
      <c r="I144" s="2">
        <v>25</v>
      </c>
      <c r="J144" s="2">
        <v>1</v>
      </c>
      <c r="K144" s="2">
        <v>28</v>
      </c>
      <c r="L144" s="2">
        <v>100</v>
      </c>
      <c r="M144" s="2">
        <v>36</v>
      </c>
      <c r="N144" s="2">
        <v>126</v>
      </c>
      <c r="O144" s="2" t="s">
        <v>32</v>
      </c>
      <c r="P144" s="2" t="s">
        <v>47</v>
      </c>
      <c r="Q144" s="2" t="s">
        <v>28</v>
      </c>
      <c r="R144" s="2" t="s">
        <v>30</v>
      </c>
      <c r="S144" s="2" t="s">
        <v>44</v>
      </c>
      <c r="T144" s="2" t="s">
        <v>34</v>
      </c>
      <c r="U144" s="6">
        <f t="shared" si="24"/>
        <v>0.30161943319838058</v>
      </c>
      <c r="V144" s="6">
        <f t="shared" si="25"/>
        <v>0.37432188065099459</v>
      </c>
      <c r="W144" s="6">
        <f t="shared" si="26"/>
        <v>0.52631578947368418</v>
      </c>
      <c r="X144" s="6">
        <f t="shared" si="29"/>
        <v>0.90063767012467877</v>
      </c>
      <c r="Y144" s="6">
        <f t="shared" si="27"/>
        <v>6.7924528301886791E-2</v>
      </c>
      <c r="Z144" s="6">
        <f t="shared" si="28"/>
        <v>0.20322580645161289</v>
      </c>
      <c r="AA144" s="6">
        <f t="shared" si="30"/>
        <v>0.2246963562753036</v>
      </c>
    </row>
    <row r="145" spans="1:27" x14ac:dyDescent="0.2">
      <c r="A145" s="3" t="s">
        <v>176</v>
      </c>
      <c r="B145" s="3">
        <v>2000</v>
      </c>
      <c r="C145" s="3">
        <v>1</v>
      </c>
      <c r="D145" s="3" t="s">
        <v>86</v>
      </c>
      <c r="E145" s="3" t="s">
        <v>6</v>
      </c>
      <c r="F145" s="3">
        <v>510</v>
      </c>
      <c r="G145" s="3">
        <v>108</v>
      </c>
      <c r="H145" s="3">
        <v>170</v>
      </c>
      <c r="I145" s="3">
        <v>29</v>
      </c>
      <c r="J145" s="3">
        <v>1</v>
      </c>
      <c r="K145" s="3">
        <v>43</v>
      </c>
      <c r="L145" s="3">
        <v>137</v>
      </c>
      <c r="M145" s="3">
        <v>137</v>
      </c>
      <c r="N145" s="3">
        <v>96</v>
      </c>
      <c r="O145" s="3" t="s">
        <v>36</v>
      </c>
      <c r="P145" s="3" t="s">
        <v>42</v>
      </c>
      <c r="Q145" s="3" t="s">
        <v>28</v>
      </c>
      <c r="R145" s="3" t="s">
        <v>39</v>
      </c>
      <c r="S145" s="3" t="s">
        <v>42</v>
      </c>
      <c r="T145" s="3" t="s">
        <v>34</v>
      </c>
      <c r="U145" s="6">
        <f t="shared" si="24"/>
        <v>0.33333333333333331</v>
      </c>
      <c r="V145" s="6">
        <f t="shared" si="25"/>
        <v>0.48059701492537316</v>
      </c>
      <c r="W145" s="6">
        <f t="shared" si="26"/>
        <v>0.6470588235294118</v>
      </c>
      <c r="X145" s="6">
        <f t="shared" si="29"/>
        <v>1.127655838454785</v>
      </c>
      <c r="Y145" s="6">
        <f t="shared" si="27"/>
        <v>0.21174652241112829</v>
      </c>
      <c r="Z145" s="6">
        <f t="shared" si="28"/>
        <v>0.15841584158415842</v>
      </c>
      <c r="AA145" s="6">
        <f t="shared" si="30"/>
        <v>0.31372549019607848</v>
      </c>
    </row>
    <row r="146" spans="1:27" x14ac:dyDescent="0.2">
      <c r="A146" s="2" t="s">
        <v>186</v>
      </c>
      <c r="B146" s="2">
        <v>2000</v>
      </c>
      <c r="C146" s="2">
        <v>1</v>
      </c>
      <c r="D146" s="2" t="s">
        <v>89</v>
      </c>
      <c r="E146" s="2" t="s">
        <v>3</v>
      </c>
      <c r="F146" s="2">
        <v>571</v>
      </c>
      <c r="G146" s="2">
        <v>101</v>
      </c>
      <c r="H146" s="2">
        <v>197</v>
      </c>
      <c r="I146" s="2">
        <v>28</v>
      </c>
      <c r="J146" s="2">
        <v>11</v>
      </c>
      <c r="K146" s="2">
        <v>44</v>
      </c>
      <c r="L146" s="2">
        <v>123</v>
      </c>
      <c r="M146" s="2">
        <v>58</v>
      </c>
      <c r="N146" s="2">
        <v>74</v>
      </c>
      <c r="O146" s="2" t="s">
        <v>63</v>
      </c>
      <c r="P146" s="2" t="s">
        <v>39</v>
      </c>
      <c r="Q146" s="2" t="s">
        <v>28</v>
      </c>
      <c r="R146" s="2" t="s">
        <v>33</v>
      </c>
      <c r="S146" s="2" t="s">
        <v>44</v>
      </c>
      <c r="T146" s="2" t="s">
        <v>41</v>
      </c>
      <c r="U146" s="6">
        <f t="shared" si="24"/>
        <v>0.34500875656742558</v>
      </c>
      <c r="V146" s="6">
        <f t="shared" si="25"/>
        <v>0.43072289156626509</v>
      </c>
      <c r="W146" s="6">
        <f t="shared" si="26"/>
        <v>0.66374781085814361</v>
      </c>
      <c r="X146" s="6">
        <f t="shared" si="29"/>
        <v>1.0944707024244087</v>
      </c>
      <c r="Y146" s="6">
        <f t="shared" si="27"/>
        <v>9.2209856915739269E-2</v>
      </c>
      <c r="Z146" s="6">
        <f t="shared" si="28"/>
        <v>0.11472868217054263</v>
      </c>
      <c r="AA146" s="6">
        <f t="shared" si="30"/>
        <v>0.31873905429071803</v>
      </c>
    </row>
    <row r="147" spans="1:27" x14ac:dyDescent="0.2">
      <c r="A147" s="3" t="s">
        <v>177</v>
      </c>
      <c r="B147" s="3">
        <v>2000</v>
      </c>
      <c r="C147" s="3">
        <v>1</v>
      </c>
      <c r="D147" s="3" t="s">
        <v>71</v>
      </c>
      <c r="E147" s="3" t="s">
        <v>6</v>
      </c>
      <c r="F147" s="3">
        <v>593</v>
      </c>
      <c r="G147" s="3">
        <v>119</v>
      </c>
      <c r="H147" s="3">
        <v>201</v>
      </c>
      <c r="I147" s="3">
        <v>31</v>
      </c>
      <c r="J147" s="3">
        <v>4</v>
      </c>
      <c r="K147" s="3">
        <v>15</v>
      </c>
      <c r="L147" s="3">
        <v>73</v>
      </c>
      <c r="M147" s="3">
        <v>68</v>
      </c>
      <c r="N147" s="3">
        <v>99</v>
      </c>
      <c r="O147" s="3" t="s">
        <v>33</v>
      </c>
      <c r="P147" s="3" t="s">
        <v>38</v>
      </c>
      <c r="Q147" s="3" t="s">
        <v>34</v>
      </c>
      <c r="R147" s="3" t="s">
        <v>34</v>
      </c>
      <c r="S147" s="3" t="s">
        <v>43</v>
      </c>
      <c r="T147" s="3" t="s">
        <v>36</v>
      </c>
      <c r="U147" s="6">
        <f t="shared" si="24"/>
        <v>0.33895446880269814</v>
      </c>
      <c r="V147" s="6">
        <f t="shared" si="25"/>
        <v>0.41911764705882354</v>
      </c>
      <c r="W147" s="6">
        <f t="shared" si="26"/>
        <v>0.48060708263069141</v>
      </c>
      <c r="X147" s="6">
        <f t="shared" si="29"/>
        <v>0.899724729689515</v>
      </c>
      <c r="Y147" s="6">
        <f t="shared" si="27"/>
        <v>0.10287443267776097</v>
      </c>
      <c r="Z147" s="6">
        <f t="shared" si="28"/>
        <v>0.1430635838150289</v>
      </c>
      <c r="AA147" s="6">
        <f t="shared" si="30"/>
        <v>0.14165261382799327</v>
      </c>
    </row>
    <row r="148" spans="1:27" x14ac:dyDescent="0.2">
      <c r="A148" s="2" t="s">
        <v>132</v>
      </c>
      <c r="B148" s="2">
        <v>2000</v>
      </c>
      <c r="C148" s="2">
        <v>1</v>
      </c>
      <c r="D148" s="2" t="s">
        <v>202</v>
      </c>
      <c r="E148" s="2" t="s">
        <v>3</v>
      </c>
      <c r="F148" s="2">
        <v>83</v>
      </c>
      <c r="G148" s="2">
        <v>4</v>
      </c>
      <c r="H148" s="2">
        <v>13</v>
      </c>
      <c r="I148" s="2">
        <v>2</v>
      </c>
      <c r="J148" s="2">
        <v>0</v>
      </c>
      <c r="K148" s="2">
        <v>0</v>
      </c>
      <c r="L148" s="2">
        <v>8</v>
      </c>
      <c r="M148" s="2">
        <v>3</v>
      </c>
      <c r="N148" s="2">
        <v>35</v>
      </c>
      <c r="O148" s="2" t="s">
        <v>28</v>
      </c>
      <c r="P148" s="2" t="s">
        <v>30</v>
      </c>
      <c r="Q148" s="2" t="s">
        <v>32</v>
      </c>
      <c r="R148" s="2" t="s">
        <v>28</v>
      </c>
      <c r="S148" s="2" t="s">
        <v>30</v>
      </c>
      <c r="T148" s="2" t="s">
        <v>30</v>
      </c>
      <c r="U148" s="6">
        <f t="shared" si="24"/>
        <v>0.15662650602409639</v>
      </c>
      <c r="V148" s="6">
        <f t="shared" si="25"/>
        <v>0.19540229885057472</v>
      </c>
      <c r="W148" s="6">
        <f t="shared" si="26"/>
        <v>0.18072289156626506</v>
      </c>
      <c r="X148" s="6">
        <f t="shared" si="29"/>
        <v>0.37612519041683978</v>
      </c>
      <c r="Y148" s="6">
        <f t="shared" si="27"/>
        <v>3.4883720930232558E-2</v>
      </c>
      <c r="Z148" s="6">
        <f t="shared" si="28"/>
        <v>0.29661016949152541</v>
      </c>
      <c r="AA148" s="6">
        <f t="shared" si="30"/>
        <v>2.4096385542168669E-2</v>
      </c>
    </row>
    <row r="149" spans="1:27" x14ac:dyDescent="0.2">
      <c r="A149" s="3" t="s">
        <v>170</v>
      </c>
      <c r="B149" s="3">
        <v>2000</v>
      </c>
      <c r="C149" s="3">
        <v>1</v>
      </c>
      <c r="D149" s="3" t="s">
        <v>85</v>
      </c>
      <c r="E149" s="3" t="s">
        <v>3</v>
      </c>
      <c r="F149" s="3">
        <v>579</v>
      </c>
      <c r="G149" s="3">
        <v>118</v>
      </c>
      <c r="H149" s="3">
        <v>180</v>
      </c>
      <c r="I149" s="3">
        <v>38</v>
      </c>
      <c r="J149" s="3">
        <v>1</v>
      </c>
      <c r="K149" s="3">
        <v>36</v>
      </c>
      <c r="L149" s="3">
        <v>111</v>
      </c>
      <c r="M149" s="3">
        <v>95</v>
      </c>
      <c r="N149" s="3">
        <v>64</v>
      </c>
      <c r="O149" s="3" t="s">
        <v>37</v>
      </c>
      <c r="P149" s="3" t="s">
        <v>31</v>
      </c>
      <c r="Q149" s="3" t="s">
        <v>28</v>
      </c>
      <c r="R149" s="3" t="s">
        <v>37</v>
      </c>
      <c r="S149" s="3" t="s">
        <v>43</v>
      </c>
      <c r="T149" s="3" t="s">
        <v>32</v>
      </c>
      <c r="U149" s="6">
        <f t="shared" si="24"/>
        <v>0.31088082901554404</v>
      </c>
      <c r="V149" s="6">
        <f t="shared" si="25"/>
        <v>0.41235632183908044</v>
      </c>
      <c r="W149" s="6">
        <f t="shared" si="26"/>
        <v>0.56649395509499134</v>
      </c>
      <c r="X149" s="6">
        <f t="shared" si="29"/>
        <v>0.97885027693407178</v>
      </c>
      <c r="Y149" s="6">
        <f t="shared" si="27"/>
        <v>0.14094955489614244</v>
      </c>
      <c r="Z149" s="6">
        <f t="shared" si="28"/>
        <v>9.9533437013996889E-2</v>
      </c>
      <c r="AA149" s="6">
        <f t="shared" si="30"/>
        <v>0.25561312607944731</v>
      </c>
    </row>
    <row r="150" spans="1:27" x14ac:dyDescent="0.2">
      <c r="A150" s="2" t="s">
        <v>188</v>
      </c>
      <c r="B150" s="2">
        <v>2000</v>
      </c>
      <c r="C150" s="2">
        <v>1</v>
      </c>
      <c r="D150" s="2" t="s">
        <v>46</v>
      </c>
      <c r="E150" s="2" t="s">
        <v>3</v>
      </c>
      <c r="F150" s="2">
        <v>579</v>
      </c>
      <c r="G150" s="2">
        <v>112</v>
      </c>
      <c r="H150" s="2">
        <v>185</v>
      </c>
      <c r="I150" s="2">
        <v>33</v>
      </c>
      <c r="J150" s="2">
        <v>6</v>
      </c>
      <c r="K150" s="2">
        <v>14</v>
      </c>
      <c r="L150" s="2">
        <v>58</v>
      </c>
      <c r="M150" s="2">
        <v>79</v>
      </c>
      <c r="N150" s="2">
        <v>79</v>
      </c>
      <c r="O150" s="2" t="s">
        <v>34</v>
      </c>
      <c r="P150" s="2" t="s">
        <v>44</v>
      </c>
      <c r="Q150" s="2" t="s">
        <v>30</v>
      </c>
      <c r="R150" s="2" t="s">
        <v>33</v>
      </c>
      <c r="S150" s="2" t="s">
        <v>35</v>
      </c>
      <c r="T150" s="2" t="s">
        <v>31</v>
      </c>
      <c r="U150" s="6">
        <f t="shared" si="24"/>
        <v>0.31951640759930916</v>
      </c>
      <c r="V150" s="6">
        <f t="shared" si="25"/>
        <v>0.4147058823529412</v>
      </c>
      <c r="W150" s="6">
        <f t="shared" si="26"/>
        <v>0.46977547495682209</v>
      </c>
      <c r="X150" s="6">
        <f t="shared" si="29"/>
        <v>0.88448135730976329</v>
      </c>
      <c r="Y150" s="6">
        <f t="shared" si="27"/>
        <v>0.12006079027355623</v>
      </c>
      <c r="Z150" s="6">
        <f t="shared" si="28"/>
        <v>0.12006079027355623</v>
      </c>
      <c r="AA150" s="6">
        <f t="shared" si="30"/>
        <v>0.15025906735751293</v>
      </c>
    </row>
    <row r="151" spans="1:27" x14ac:dyDescent="0.2">
      <c r="A151" s="3" t="s">
        <v>160</v>
      </c>
      <c r="B151" s="3">
        <v>2000</v>
      </c>
      <c r="C151" s="3">
        <v>1</v>
      </c>
      <c r="D151" s="3" t="s">
        <v>79</v>
      </c>
      <c r="E151" s="3" t="s">
        <v>3</v>
      </c>
      <c r="F151" s="3">
        <v>587</v>
      </c>
      <c r="G151" s="3">
        <v>114</v>
      </c>
      <c r="H151" s="3">
        <v>196</v>
      </c>
      <c r="I151" s="3">
        <v>41</v>
      </c>
      <c r="J151" s="3">
        <v>7</v>
      </c>
      <c r="K151" s="3">
        <v>33</v>
      </c>
      <c r="L151" s="3">
        <v>125</v>
      </c>
      <c r="M151" s="3">
        <v>90</v>
      </c>
      <c r="N151" s="3">
        <v>107</v>
      </c>
      <c r="O151" s="3" t="s">
        <v>36</v>
      </c>
      <c r="P151" s="3" t="s">
        <v>42</v>
      </c>
      <c r="Q151" s="3" t="s">
        <v>28</v>
      </c>
      <c r="R151" s="3" t="s">
        <v>42</v>
      </c>
      <c r="S151" s="3" t="s">
        <v>47</v>
      </c>
      <c r="T151" s="3" t="s">
        <v>33</v>
      </c>
      <c r="U151" s="6">
        <f t="shared" si="24"/>
        <v>0.33390119250425893</v>
      </c>
      <c r="V151" s="6">
        <f t="shared" si="25"/>
        <v>0.42938659058487877</v>
      </c>
      <c r="W151" s="6">
        <f t="shared" si="26"/>
        <v>0.59625212947189099</v>
      </c>
      <c r="X151" s="6">
        <f t="shared" si="29"/>
        <v>1.0256387200567698</v>
      </c>
      <c r="Y151" s="6">
        <f t="shared" si="27"/>
        <v>0.13293943870014771</v>
      </c>
      <c r="Z151" s="6">
        <f t="shared" si="28"/>
        <v>0.15417867435158503</v>
      </c>
      <c r="AA151" s="6">
        <f t="shared" si="30"/>
        <v>0.26235093696763206</v>
      </c>
    </row>
    <row r="152" spans="1:27" x14ac:dyDescent="0.2">
      <c r="A152" s="2" t="s">
        <v>112</v>
      </c>
      <c r="B152" s="2">
        <v>2000</v>
      </c>
      <c r="C152" s="2">
        <v>1</v>
      </c>
      <c r="D152" s="2" t="s">
        <v>53</v>
      </c>
      <c r="E152" s="2" t="s">
        <v>3</v>
      </c>
      <c r="F152" s="2">
        <v>396</v>
      </c>
      <c r="G152" s="2">
        <v>71</v>
      </c>
      <c r="H152" s="2">
        <v>124</v>
      </c>
      <c r="I152" s="2">
        <v>26</v>
      </c>
      <c r="J152" s="2">
        <v>5</v>
      </c>
      <c r="K152" s="2">
        <v>11</v>
      </c>
      <c r="L152" s="2">
        <v>41</v>
      </c>
      <c r="M152" s="2">
        <v>48</v>
      </c>
      <c r="N152" s="2">
        <v>31</v>
      </c>
      <c r="O152" s="2" t="s">
        <v>28</v>
      </c>
      <c r="P152" s="2" t="s">
        <v>30</v>
      </c>
      <c r="Q152" s="2" t="s">
        <v>31</v>
      </c>
      <c r="R152" s="2" t="s">
        <v>28</v>
      </c>
      <c r="S152" s="2" t="s">
        <v>37</v>
      </c>
      <c r="T152" s="2" t="s">
        <v>36</v>
      </c>
      <c r="U152" s="6">
        <f t="shared" si="24"/>
        <v>0.31313131313131315</v>
      </c>
      <c r="V152" s="6">
        <f t="shared" si="25"/>
        <v>0.38876404494382022</v>
      </c>
      <c r="W152" s="6">
        <f t="shared" si="26"/>
        <v>0.48737373737373735</v>
      </c>
      <c r="X152" s="6">
        <f t="shared" si="29"/>
        <v>0.87613778231755757</v>
      </c>
      <c r="Y152" s="6">
        <f t="shared" si="27"/>
        <v>0.10810810810810811</v>
      </c>
      <c r="Z152" s="6">
        <f t="shared" si="28"/>
        <v>7.2599531615925056E-2</v>
      </c>
      <c r="AA152" s="6">
        <f t="shared" si="30"/>
        <v>0.1742424242424242</v>
      </c>
    </row>
    <row r="153" spans="1:27" x14ac:dyDescent="0.2">
      <c r="A153" s="3" t="s">
        <v>155</v>
      </c>
      <c r="B153" s="3">
        <v>2000</v>
      </c>
      <c r="C153" s="3">
        <v>1</v>
      </c>
      <c r="D153" s="3" t="s">
        <v>90</v>
      </c>
      <c r="E153" s="3" t="s">
        <v>6</v>
      </c>
      <c r="F153" s="3">
        <v>363</v>
      </c>
      <c r="G153" s="3">
        <v>66</v>
      </c>
      <c r="H153" s="3">
        <v>126</v>
      </c>
      <c r="I153" s="3">
        <v>27</v>
      </c>
      <c r="J153" s="3">
        <v>4</v>
      </c>
      <c r="K153" s="3">
        <v>27</v>
      </c>
      <c r="L153" s="3">
        <v>83</v>
      </c>
      <c r="M153" s="3">
        <v>19</v>
      </c>
      <c r="N153" s="3">
        <v>48</v>
      </c>
      <c r="O153" s="3" t="s">
        <v>32</v>
      </c>
      <c r="P153" s="3" t="s">
        <v>30</v>
      </c>
      <c r="Q153" s="3" t="s">
        <v>28</v>
      </c>
      <c r="R153" s="3" t="s">
        <v>36</v>
      </c>
      <c r="S153" s="3" t="s">
        <v>47</v>
      </c>
      <c r="T153" s="3" t="s">
        <v>31</v>
      </c>
      <c r="U153" s="6">
        <f t="shared" si="24"/>
        <v>0.34710743801652894</v>
      </c>
      <c r="V153" s="6">
        <f t="shared" si="25"/>
        <v>0.38324873096446699</v>
      </c>
      <c r="W153" s="6">
        <f t="shared" si="26"/>
        <v>0.66666666666666663</v>
      </c>
      <c r="X153" s="6">
        <f t="shared" si="29"/>
        <v>1.0499153976311337</v>
      </c>
      <c r="Y153" s="6">
        <f t="shared" si="27"/>
        <v>4.9738219895287955E-2</v>
      </c>
      <c r="Z153" s="6">
        <f t="shared" si="28"/>
        <v>0.11678832116788321</v>
      </c>
      <c r="AA153" s="6">
        <f t="shared" si="30"/>
        <v>0.31955922865013769</v>
      </c>
    </row>
    <row r="154" spans="1:27" x14ac:dyDescent="0.2">
      <c r="A154" s="2" t="s">
        <v>143</v>
      </c>
      <c r="B154" s="2">
        <v>2000</v>
      </c>
      <c r="C154" s="2">
        <v>1</v>
      </c>
      <c r="D154" s="2" t="s">
        <v>27</v>
      </c>
      <c r="E154" s="2" t="s">
        <v>3</v>
      </c>
      <c r="F154" s="2">
        <v>604</v>
      </c>
      <c r="G154" s="2">
        <v>106</v>
      </c>
      <c r="H154" s="2">
        <v>193</v>
      </c>
      <c r="I154" s="2">
        <v>38</v>
      </c>
      <c r="J154" s="2">
        <v>1</v>
      </c>
      <c r="K154" s="2">
        <v>50</v>
      </c>
      <c r="L154" s="2">
        <v>138</v>
      </c>
      <c r="M154" s="2">
        <v>91</v>
      </c>
      <c r="N154" s="2">
        <v>168</v>
      </c>
      <c r="O154" s="2" t="s">
        <v>52</v>
      </c>
      <c r="P154" s="2" t="s">
        <v>31</v>
      </c>
      <c r="Q154" s="2" t="s">
        <v>28</v>
      </c>
      <c r="R154" s="2" t="s">
        <v>39</v>
      </c>
      <c r="S154" s="2" t="s">
        <v>38</v>
      </c>
      <c r="T154" s="2" t="s">
        <v>42</v>
      </c>
      <c r="U154" s="6">
        <f t="shared" si="24"/>
        <v>0.31953642384105962</v>
      </c>
      <c r="V154" s="6">
        <f t="shared" si="25"/>
        <v>0.42127071823204421</v>
      </c>
      <c r="W154" s="6">
        <f t="shared" si="26"/>
        <v>0.63410596026490063</v>
      </c>
      <c r="X154" s="6">
        <f t="shared" si="29"/>
        <v>1.0553766784969447</v>
      </c>
      <c r="Y154" s="6">
        <f t="shared" si="27"/>
        <v>0.13093525179856116</v>
      </c>
      <c r="Z154" s="6">
        <f t="shared" si="28"/>
        <v>0.21761658031088082</v>
      </c>
      <c r="AA154" s="6">
        <f t="shared" si="30"/>
        <v>0.314569536423841</v>
      </c>
    </row>
    <row r="155" spans="1:27" x14ac:dyDescent="0.2">
      <c r="A155" s="3" t="s">
        <v>125</v>
      </c>
      <c r="B155" s="3">
        <v>2000</v>
      </c>
      <c r="C155" s="3">
        <v>1</v>
      </c>
      <c r="D155" s="3" t="s">
        <v>92</v>
      </c>
      <c r="E155" s="3" t="s">
        <v>6</v>
      </c>
      <c r="F155" s="3">
        <v>6</v>
      </c>
      <c r="G155" s="3">
        <v>0</v>
      </c>
      <c r="H155" s="3">
        <v>1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2</v>
      </c>
      <c r="O155" s="3" t="s">
        <v>28</v>
      </c>
      <c r="P155" s="3" t="s">
        <v>28</v>
      </c>
      <c r="Q155" s="3" t="s">
        <v>28</v>
      </c>
      <c r="R155" s="3" t="s">
        <v>28</v>
      </c>
      <c r="S155" s="3" t="s">
        <v>28</v>
      </c>
      <c r="T155" s="3" t="s">
        <v>30</v>
      </c>
      <c r="U155" s="6">
        <f t="shared" si="24"/>
        <v>0.16666666666666666</v>
      </c>
      <c r="V155" s="6">
        <f t="shared" si="25"/>
        <v>0.16666666666666666</v>
      </c>
      <c r="W155" s="6">
        <f t="shared" si="26"/>
        <v>0.16666666666666666</v>
      </c>
      <c r="X155" s="6">
        <f t="shared" si="29"/>
        <v>0.33333333333333331</v>
      </c>
      <c r="Y155" s="6">
        <f t="shared" si="27"/>
        <v>0</v>
      </c>
      <c r="Z155" s="6">
        <f t="shared" si="28"/>
        <v>0.25</v>
      </c>
      <c r="AA155" s="6">
        <f t="shared" si="30"/>
        <v>0</v>
      </c>
    </row>
    <row r="156" spans="1:27" x14ac:dyDescent="0.2">
      <c r="A156" s="2" t="s">
        <v>158</v>
      </c>
      <c r="B156" s="2">
        <v>2000</v>
      </c>
      <c r="C156" s="2">
        <v>1</v>
      </c>
      <c r="D156" s="2" t="s">
        <v>71</v>
      </c>
      <c r="E156" s="2" t="s">
        <v>6</v>
      </c>
      <c r="F156" s="2">
        <v>537</v>
      </c>
      <c r="G156" s="2">
        <v>108</v>
      </c>
      <c r="H156" s="2">
        <v>165</v>
      </c>
      <c r="I156" s="2">
        <v>37</v>
      </c>
      <c r="J156" s="2">
        <v>6</v>
      </c>
      <c r="K156" s="2">
        <v>30</v>
      </c>
      <c r="L156" s="2">
        <v>121</v>
      </c>
      <c r="M156" s="2">
        <v>71</v>
      </c>
      <c r="N156" s="2">
        <v>84</v>
      </c>
      <c r="O156" s="2" t="s">
        <v>40</v>
      </c>
      <c r="P156" s="2" t="s">
        <v>32</v>
      </c>
      <c r="Q156" s="2" t="s">
        <v>28</v>
      </c>
      <c r="R156" s="2" t="s">
        <v>34</v>
      </c>
      <c r="S156" s="2" t="s">
        <v>44</v>
      </c>
      <c r="T156" s="2" t="s">
        <v>39</v>
      </c>
      <c r="U156" s="6">
        <f t="shared" si="24"/>
        <v>0.30726256983240224</v>
      </c>
      <c r="V156" s="6">
        <f t="shared" si="25"/>
        <v>0.40191387559808611</v>
      </c>
      <c r="W156" s="6">
        <f t="shared" si="26"/>
        <v>0.56610800744878953</v>
      </c>
      <c r="X156" s="6">
        <f t="shared" si="29"/>
        <v>0.96802188304687564</v>
      </c>
      <c r="Y156" s="6">
        <f t="shared" si="27"/>
        <v>0.11677631578947369</v>
      </c>
      <c r="Z156" s="6">
        <f t="shared" si="28"/>
        <v>0.13526570048309178</v>
      </c>
      <c r="AA156" s="6">
        <f t="shared" si="30"/>
        <v>0.25884543761638729</v>
      </c>
    </row>
    <row r="157" spans="1:27" x14ac:dyDescent="0.2">
      <c r="A157" s="3" t="s">
        <v>174</v>
      </c>
      <c r="B157" s="3">
        <v>2001</v>
      </c>
      <c r="C157" s="3">
        <v>1</v>
      </c>
      <c r="D157" s="3" t="s">
        <v>79</v>
      </c>
      <c r="E157" s="3" t="s">
        <v>3</v>
      </c>
      <c r="F157" s="3">
        <v>636</v>
      </c>
      <c r="G157" s="3">
        <v>114</v>
      </c>
      <c r="H157" s="3">
        <v>206</v>
      </c>
      <c r="I157" s="3">
        <v>37</v>
      </c>
      <c r="J157" s="3">
        <v>5</v>
      </c>
      <c r="K157" s="3">
        <v>37</v>
      </c>
      <c r="L157" s="3">
        <v>97</v>
      </c>
      <c r="M157" s="3">
        <v>47</v>
      </c>
      <c r="N157" s="3">
        <v>83</v>
      </c>
      <c r="O157" s="3" t="s">
        <v>31</v>
      </c>
      <c r="P157" s="3" t="s">
        <v>28</v>
      </c>
      <c r="Q157" s="3" t="s">
        <v>34</v>
      </c>
      <c r="R157" s="3" t="s">
        <v>34</v>
      </c>
      <c r="S157" s="3" t="s">
        <v>43</v>
      </c>
      <c r="T157" s="3" t="s">
        <v>36</v>
      </c>
      <c r="U157" s="6">
        <f t="shared" si="24"/>
        <v>0.32389937106918237</v>
      </c>
      <c r="V157" s="6">
        <f t="shared" si="25"/>
        <v>0.37063953488372092</v>
      </c>
      <c r="W157" s="6">
        <f t="shared" si="26"/>
        <v>0.57232704402515722</v>
      </c>
      <c r="X157" s="6">
        <f t="shared" si="29"/>
        <v>0.94296657890887814</v>
      </c>
      <c r="Y157" s="6">
        <f t="shared" si="27"/>
        <v>6.8814055636896049E-2</v>
      </c>
      <c r="Z157" s="6">
        <f t="shared" si="28"/>
        <v>0.11543810848400557</v>
      </c>
      <c r="AA157" s="6">
        <f t="shared" si="30"/>
        <v>0.24842767295597484</v>
      </c>
    </row>
    <row r="158" spans="1:27" x14ac:dyDescent="0.2">
      <c r="A158" s="2" t="s">
        <v>110</v>
      </c>
      <c r="B158" s="2">
        <v>2001</v>
      </c>
      <c r="C158" s="2">
        <v>1</v>
      </c>
      <c r="D158" s="2" t="s">
        <v>79</v>
      </c>
      <c r="E158" s="2" t="s">
        <v>3</v>
      </c>
      <c r="F158" s="2">
        <v>476</v>
      </c>
      <c r="G158" s="2">
        <v>129</v>
      </c>
      <c r="H158" s="2">
        <v>156</v>
      </c>
      <c r="I158" s="2">
        <v>32</v>
      </c>
      <c r="J158" s="2">
        <v>2</v>
      </c>
      <c r="K158" s="2">
        <v>73</v>
      </c>
      <c r="L158" s="2">
        <v>137</v>
      </c>
      <c r="M158" s="2">
        <v>177</v>
      </c>
      <c r="N158" s="2">
        <v>93</v>
      </c>
      <c r="O158" s="2" t="s">
        <v>70</v>
      </c>
      <c r="P158" s="2" t="s">
        <v>42</v>
      </c>
      <c r="Q158" s="2" t="s">
        <v>28</v>
      </c>
      <c r="R158" s="2" t="s">
        <v>31</v>
      </c>
      <c r="S158" s="2" t="s">
        <v>32</v>
      </c>
      <c r="T158" s="2" t="s">
        <v>41</v>
      </c>
      <c r="U158" s="6">
        <f t="shared" si="24"/>
        <v>0.32773109243697479</v>
      </c>
      <c r="V158" s="6">
        <f t="shared" si="25"/>
        <v>0.53934191702432044</v>
      </c>
      <c r="W158" s="6">
        <f t="shared" si="26"/>
        <v>0.86344537815126055</v>
      </c>
      <c r="X158" s="6">
        <f t="shared" si="29"/>
        <v>1.4027872951755809</v>
      </c>
      <c r="Y158" s="6">
        <f t="shared" si="27"/>
        <v>0.27105666156202146</v>
      </c>
      <c r="Z158" s="6">
        <f t="shared" si="28"/>
        <v>0.16344463971880491</v>
      </c>
      <c r="AA158" s="6">
        <f t="shared" si="30"/>
        <v>0.53571428571428581</v>
      </c>
    </row>
    <row r="159" spans="1:27" x14ac:dyDescent="0.2">
      <c r="A159" s="3" t="s">
        <v>159</v>
      </c>
      <c r="B159" s="3">
        <v>2001</v>
      </c>
      <c r="C159" s="3">
        <v>1</v>
      </c>
      <c r="D159" s="3" t="s">
        <v>91</v>
      </c>
      <c r="E159" s="3" t="s">
        <v>6</v>
      </c>
      <c r="F159" s="3">
        <v>623</v>
      </c>
      <c r="G159" s="3">
        <v>118</v>
      </c>
      <c r="H159" s="3">
        <v>206</v>
      </c>
      <c r="I159" s="3">
        <v>37</v>
      </c>
      <c r="J159" s="3">
        <v>3</v>
      </c>
      <c r="K159" s="3">
        <v>37</v>
      </c>
      <c r="L159" s="3">
        <v>141</v>
      </c>
      <c r="M159" s="3">
        <v>40</v>
      </c>
      <c r="N159" s="3">
        <v>110</v>
      </c>
      <c r="O159" s="3" t="s">
        <v>32</v>
      </c>
      <c r="P159" s="3" t="s">
        <v>42</v>
      </c>
      <c r="Q159" s="3" t="s">
        <v>32</v>
      </c>
      <c r="R159" s="3" t="s">
        <v>35</v>
      </c>
      <c r="S159" s="3" t="s">
        <v>40</v>
      </c>
      <c r="T159" s="3" t="s">
        <v>33</v>
      </c>
      <c r="U159" s="6">
        <f t="shared" si="24"/>
        <v>0.3306581059390048</v>
      </c>
      <c r="V159" s="6">
        <f t="shared" si="25"/>
        <v>0.37681159420289856</v>
      </c>
      <c r="W159" s="6">
        <f t="shared" si="26"/>
        <v>0.5778491171749599</v>
      </c>
      <c r="X159" s="6">
        <f t="shared" si="29"/>
        <v>0.95466071137785846</v>
      </c>
      <c r="Y159" s="6">
        <f t="shared" si="27"/>
        <v>6.0331825037707391E-2</v>
      </c>
      <c r="Z159" s="6">
        <f t="shared" si="28"/>
        <v>0.15006821282401092</v>
      </c>
      <c r="AA159" s="6">
        <f t="shared" si="30"/>
        <v>0.2471910112359551</v>
      </c>
    </row>
    <row r="160" spans="1:27" x14ac:dyDescent="0.2">
      <c r="A160" s="2" t="s">
        <v>101</v>
      </c>
      <c r="B160" s="2">
        <v>2001</v>
      </c>
      <c r="C160" s="2">
        <v>1</v>
      </c>
      <c r="D160" s="2" t="s">
        <v>71</v>
      </c>
      <c r="E160" s="2" t="s">
        <v>6</v>
      </c>
      <c r="F160" s="2">
        <v>2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2</v>
      </c>
      <c r="O160" s="2" t="s">
        <v>28</v>
      </c>
      <c r="P160" s="2" t="s">
        <v>28</v>
      </c>
      <c r="Q160" s="2" t="s">
        <v>28</v>
      </c>
      <c r="R160" s="2" t="s">
        <v>28</v>
      </c>
      <c r="S160" s="2" t="s">
        <v>28</v>
      </c>
      <c r="T160" s="2" t="s">
        <v>30</v>
      </c>
      <c r="U160" s="6">
        <f t="shared" si="24"/>
        <v>0</v>
      </c>
      <c r="V160" s="6">
        <f t="shared" si="25"/>
        <v>0</v>
      </c>
      <c r="W160" s="6">
        <f t="shared" si="26"/>
        <v>0</v>
      </c>
      <c r="X160" s="6">
        <f t="shared" si="29"/>
        <v>0</v>
      </c>
      <c r="Y160" s="6">
        <f t="shared" si="27"/>
        <v>0</v>
      </c>
      <c r="Z160" s="6">
        <f t="shared" si="28"/>
        <v>0.5</v>
      </c>
      <c r="AA160" s="6">
        <f t="shared" si="30"/>
        <v>0</v>
      </c>
    </row>
    <row r="161" spans="1:27" x14ac:dyDescent="0.2">
      <c r="A161" s="3" t="s">
        <v>137</v>
      </c>
      <c r="B161" s="3">
        <v>2001</v>
      </c>
      <c r="C161" s="3">
        <v>1</v>
      </c>
      <c r="D161" s="3" t="s">
        <v>66</v>
      </c>
      <c r="E161" s="3" t="s">
        <v>6</v>
      </c>
      <c r="F161" s="3">
        <v>532</v>
      </c>
      <c r="G161" s="3">
        <v>97</v>
      </c>
      <c r="H161" s="3">
        <v>173</v>
      </c>
      <c r="I161" s="3">
        <v>34</v>
      </c>
      <c r="J161" s="3">
        <v>1</v>
      </c>
      <c r="K161" s="3">
        <v>35</v>
      </c>
      <c r="L161" s="3">
        <v>140</v>
      </c>
      <c r="M161" s="3">
        <v>41</v>
      </c>
      <c r="N161" s="3">
        <v>94</v>
      </c>
      <c r="O161" s="3" t="s">
        <v>32</v>
      </c>
      <c r="P161" s="3" t="s">
        <v>36</v>
      </c>
      <c r="Q161" s="3" t="s">
        <v>28</v>
      </c>
      <c r="R161" s="3" t="s">
        <v>50</v>
      </c>
      <c r="S161" s="3" t="s">
        <v>45</v>
      </c>
      <c r="T161" s="3" t="s">
        <v>42</v>
      </c>
      <c r="U161" s="6">
        <f t="shared" si="24"/>
        <v>0.32518796992481203</v>
      </c>
      <c r="V161" s="6">
        <f t="shared" si="25"/>
        <v>0.375</v>
      </c>
      <c r="W161" s="6">
        <f t="shared" si="26"/>
        <v>0.59022556390977443</v>
      </c>
      <c r="X161" s="6">
        <f t="shared" si="29"/>
        <v>0.96522556390977443</v>
      </c>
      <c r="Y161" s="6">
        <f t="shared" si="27"/>
        <v>7.1553228621291445E-2</v>
      </c>
      <c r="Z161" s="6">
        <f t="shared" si="28"/>
        <v>0.15015974440894569</v>
      </c>
      <c r="AA161" s="6">
        <f t="shared" si="30"/>
        <v>0.26503759398496241</v>
      </c>
    </row>
    <row r="162" spans="1:27" x14ac:dyDescent="0.2">
      <c r="A162" s="2" t="s">
        <v>147</v>
      </c>
      <c r="B162" s="2">
        <v>2001</v>
      </c>
      <c r="C162" s="2">
        <v>1</v>
      </c>
      <c r="D162" s="2" t="s">
        <v>202</v>
      </c>
      <c r="E162" s="2" t="s">
        <v>3</v>
      </c>
      <c r="F162" s="2">
        <v>609</v>
      </c>
      <c r="G162" s="2">
        <v>128</v>
      </c>
      <c r="H162" s="2">
        <v>198</v>
      </c>
      <c r="I162" s="2">
        <v>36</v>
      </c>
      <c r="J162" s="2">
        <v>7</v>
      </c>
      <c r="K162" s="2">
        <v>57</v>
      </c>
      <c r="L162" s="2">
        <v>142</v>
      </c>
      <c r="M162" s="2">
        <v>100</v>
      </c>
      <c r="N162" s="2">
        <v>83</v>
      </c>
      <c r="O162" s="2" t="s">
        <v>57</v>
      </c>
      <c r="P162" s="2" t="s">
        <v>43</v>
      </c>
      <c r="Q162" s="2" t="s">
        <v>28</v>
      </c>
      <c r="R162" s="2" t="s">
        <v>32</v>
      </c>
      <c r="S162" s="2" t="s">
        <v>43</v>
      </c>
      <c r="T162" s="2" t="s">
        <v>39</v>
      </c>
      <c r="U162" s="6">
        <f t="shared" ref="U162:U195" si="31">H162/F162</f>
        <v>0.3251231527093596</v>
      </c>
      <c r="V162" s="6">
        <f t="shared" ref="V162:V195" si="32">(H162+M162+O162+P162)/(F162+M162+O162+P162+R162)</f>
        <v>0.44680851063829785</v>
      </c>
      <c r="W162" s="6">
        <f t="shared" ref="W162:W195" si="33">((H162-I162-J162-K162)+(2*I162)+(3*J162)+(4*K162))/F162</f>
        <v>0.68801313628899841</v>
      </c>
      <c r="X162" s="6">
        <f t="shared" si="29"/>
        <v>1.1348216469272963</v>
      </c>
      <c r="Y162" s="6">
        <f t="shared" ref="Y162:Y195" si="34">M162/(M162+F162)</f>
        <v>0.14104372355430184</v>
      </c>
      <c r="Z162" s="6">
        <f t="shared" ref="Z162:Z195" si="35">N162/(N162+F162)</f>
        <v>0.1199421965317919</v>
      </c>
      <c r="AA162" s="6">
        <f t="shared" si="30"/>
        <v>0.36288998357963881</v>
      </c>
    </row>
    <row r="163" spans="1:27" x14ac:dyDescent="0.2">
      <c r="A163" s="3" t="s">
        <v>193</v>
      </c>
      <c r="B163" s="3">
        <v>2001</v>
      </c>
      <c r="C163" s="3">
        <v>1</v>
      </c>
      <c r="D163" s="3" t="s">
        <v>164</v>
      </c>
      <c r="E163" s="3" t="s">
        <v>3</v>
      </c>
      <c r="F163" s="3">
        <v>587</v>
      </c>
      <c r="G163" s="3">
        <v>132</v>
      </c>
      <c r="H163" s="3">
        <v>197</v>
      </c>
      <c r="I163" s="3">
        <v>54</v>
      </c>
      <c r="J163" s="3">
        <v>2</v>
      </c>
      <c r="K163" s="3">
        <v>49</v>
      </c>
      <c r="L163" s="3">
        <v>146</v>
      </c>
      <c r="M163" s="3">
        <v>98</v>
      </c>
      <c r="N163" s="3">
        <v>104</v>
      </c>
      <c r="O163" s="3" t="s">
        <v>44</v>
      </c>
      <c r="P163" s="3" t="s">
        <v>32</v>
      </c>
      <c r="Q163" s="3" t="s">
        <v>30</v>
      </c>
      <c r="R163" s="3" t="s">
        <v>32</v>
      </c>
      <c r="S163" s="3" t="s">
        <v>43</v>
      </c>
      <c r="T163" s="3" t="s">
        <v>34</v>
      </c>
      <c r="U163" s="6">
        <f t="shared" si="31"/>
        <v>0.33560477001703576</v>
      </c>
      <c r="V163" s="6">
        <f t="shared" si="32"/>
        <v>0.44366197183098594</v>
      </c>
      <c r="W163" s="6">
        <f t="shared" si="33"/>
        <v>0.68483816013628618</v>
      </c>
      <c r="X163" s="6">
        <f t="shared" si="29"/>
        <v>1.1285001319672721</v>
      </c>
      <c r="Y163" s="6">
        <f t="shared" si="34"/>
        <v>0.14306569343065692</v>
      </c>
      <c r="Z163" s="6">
        <f t="shared" si="35"/>
        <v>0.15050651230101303</v>
      </c>
      <c r="AA163" s="6">
        <f t="shared" si="30"/>
        <v>0.34923339011925042</v>
      </c>
    </row>
    <row r="164" spans="1:27" x14ac:dyDescent="0.2">
      <c r="A164" s="2" t="s">
        <v>132</v>
      </c>
      <c r="B164" s="2">
        <v>2001</v>
      </c>
      <c r="C164" s="2">
        <v>1</v>
      </c>
      <c r="D164" s="2" t="s">
        <v>202</v>
      </c>
      <c r="E164" s="2" t="s">
        <v>3</v>
      </c>
      <c r="F164" s="2">
        <v>80</v>
      </c>
      <c r="G164" s="2">
        <v>2</v>
      </c>
      <c r="H164" s="2">
        <v>8</v>
      </c>
      <c r="I164" s="2">
        <v>0</v>
      </c>
      <c r="J164" s="2">
        <v>0</v>
      </c>
      <c r="K164" s="2">
        <v>0</v>
      </c>
      <c r="L164" s="2">
        <v>2</v>
      </c>
      <c r="M164" s="2">
        <v>3</v>
      </c>
      <c r="N164" s="2">
        <v>38</v>
      </c>
      <c r="O164" s="2" t="s">
        <v>28</v>
      </c>
      <c r="P164" s="2" t="s">
        <v>30</v>
      </c>
      <c r="Q164" s="2" t="s">
        <v>41</v>
      </c>
      <c r="R164" s="2" t="s">
        <v>28</v>
      </c>
      <c r="S164" s="2" t="s">
        <v>34</v>
      </c>
      <c r="T164" s="2" t="s">
        <v>30</v>
      </c>
      <c r="U164" s="6">
        <f t="shared" si="31"/>
        <v>0.1</v>
      </c>
      <c r="V164" s="6">
        <f t="shared" si="32"/>
        <v>0.14285714285714285</v>
      </c>
      <c r="W164" s="6">
        <f t="shared" si="33"/>
        <v>0.1</v>
      </c>
      <c r="X164" s="6">
        <f t="shared" si="29"/>
        <v>0.24285714285714285</v>
      </c>
      <c r="Y164" s="6">
        <f t="shared" si="34"/>
        <v>3.614457831325301E-2</v>
      </c>
      <c r="Z164" s="6">
        <f t="shared" si="35"/>
        <v>0.32203389830508472</v>
      </c>
      <c r="AA164" s="6">
        <f t="shared" si="30"/>
        <v>0</v>
      </c>
    </row>
    <row r="165" spans="1:27" x14ac:dyDescent="0.2">
      <c r="A165" s="3" t="s">
        <v>170</v>
      </c>
      <c r="B165" s="3">
        <v>2001</v>
      </c>
      <c r="C165" s="3">
        <v>1</v>
      </c>
      <c r="D165" s="3" t="s">
        <v>85</v>
      </c>
      <c r="E165" s="3" t="s">
        <v>3</v>
      </c>
      <c r="F165" s="3">
        <v>572</v>
      </c>
      <c r="G165" s="3">
        <v>113</v>
      </c>
      <c r="H165" s="3">
        <v>189</v>
      </c>
      <c r="I165" s="3">
        <v>33</v>
      </c>
      <c r="J165" s="3">
        <v>5</v>
      </c>
      <c r="K165" s="3">
        <v>38</v>
      </c>
      <c r="L165" s="3">
        <v>102</v>
      </c>
      <c r="M165" s="3">
        <v>98</v>
      </c>
      <c r="N165" s="3">
        <v>82</v>
      </c>
      <c r="O165" s="3" t="s">
        <v>54</v>
      </c>
      <c r="P165" s="3" t="s">
        <v>31</v>
      </c>
      <c r="Q165" s="3" t="s">
        <v>28</v>
      </c>
      <c r="R165" s="3" t="s">
        <v>32</v>
      </c>
      <c r="S165" s="3" t="s">
        <v>35</v>
      </c>
      <c r="T165" s="3" t="s">
        <v>32</v>
      </c>
      <c r="U165" s="6">
        <f t="shared" si="31"/>
        <v>0.33041958041958042</v>
      </c>
      <c r="V165" s="6">
        <f t="shared" si="32"/>
        <v>0.44332855093256812</v>
      </c>
      <c r="W165" s="6">
        <f t="shared" si="33"/>
        <v>0.6048951048951049</v>
      </c>
      <c r="X165" s="6">
        <f t="shared" si="29"/>
        <v>1.048223655827673</v>
      </c>
      <c r="Y165" s="6">
        <f t="shared" si="34"/>
        <v>0.14626865671641792</v>
      </c>
      <c r="Z165" s="6">
        <f t="shared" si="35"/>
        <v>0.12538226299694188</v>
      </c>
      <c r="AA165" s="6">
        <f t="shared" si="30"/>
        <v>0.27447552447552448</v>
      </c>
    </row>
    <row r="166" spans="1:27" x14ac:dyDescent="0.2">
      <c r="A166" s="2" t="s">
        <v>160</v>
      </c>
      <c r="B166" s="2">
        <v>2001</v>
      </c>
      <c r="C166" s="2">
        <v>1</v>
      </c>
      <c r="D166" s="2" t="s">
        <v>79</v>
      </c>
      <c r="E166" s="2" t="s">
        <v>3</v>
      </c>
      <c r="F166" s="2">
        <v>607</v>
      </c>
      <c r="G166" s="2">
        <v>84</v>
      </c>
      <c r="H166" s="2">
        <v>181</v>
      </c>
      <c r="I166" s="2">
        <v>49</v>
      </c>
      <c r="J166" s="2">
        <v>6</v>
      </c>
      <c r="K166" s="2">
        <v>22</v>
      </c>
      <c r="L166" s="2">
        <v>106</v>
      </c>
      <c r="M166" s="2">
        <v>65</v>
      </c>
      <c r="N166" s="2">
        <v>96</v>
      </c>
      <c r="O166" s="2" t="s">
        <v>33</v>
      </c>
      <c r="P166" s="2" t="s">
        <v>40</v>
      </c>
      <c r="Q166" s="2" t="s">
        <v>28</v>
      </c>
      <c r="R166" s="2" t="s">
        <v>35</v>
      </c>
      <c r="S166" s="2" t="s">
        <v>40</v>
      </c>
      <c r="T166" s="2" t="s">
        <v>33</v>
      </c>
      <c r="U166" s="6">
        <f t="shared" si="31"/>
        <v>0.29818780889621088</v>
      </c>
      <c r="V166" s="6">
        <f t="shared" si="32"/>
        <v>0.37285714285714283</v>
      </c>
      <c r="W166" s="6">
        <f t="shared" si="33"/>
        <v>0.5074135090609555</v>
      </c>
      <c r="X166" s="6">
        <f t="shared" si="29"/>
        <v>0.88027065191809828</v>
      </c>
      <c r="Y166" s="6">
        <f t="shared" si="34"/>
        <v>9.6726190476190479E-2</v>
      </c>
      <c r="Z166" s="6">
        <f t="shared" si="35"/>
        <v>0.13655761024182078</v>
      </c>
      <c r="AA166" s="6">
        <f t="shared" si="30"/>
        <v>0.20922570016474462</v>
      </c>
    </row>
    <row r="167" spans="1:27" x14ac:dyDescent="0.2">
      <c r="A167" s="3" t="s">
        <v>123</v>
      </c>
      <c r="B167" s="3">
        <v>2001</v>
      </c>
      <c r="C167" s="3">
        <v>1</v>
      </c>
      <c r="D167" s="3" t="s">
        <v>91</v>
      </c>
      <c r="E167" s="3" t="s">
        <v>6</v>
      </c>
      <c r="F167" s="3">
        <v>470</v>
      </c>
      <c r="G167" s="3">
        <v>80</v>
      </c>
      <c r="H167" s="3">
        <v>144</v>
      </c>
      <c r="I167" s="3">
        <v>40</v>
      </c>
      <c r="J167" s="3">
        <v>1</v>
      </c>
      <c r="K167" s="3">
        <v>23</v>
      </c>
      <c r="L167" s="3">
        <v>116</v>
      </c>
      <c r="M167" s="3">
        <v>93</v>
      </c>
      <c r="N167" s="3">
        <v>90</v>
      </c>
      <c r="O167" s="3" t="s">
        <v>42</v>
      </c>
      <c r="P167" s="3" t="s">
        <v>42</v>
      </c>
      <c r="Q167" s="3" t="s">
        <v>28</v>
      </c>
      <c r="R167" s="3" t="s">
        <v>42</v>
      </c>
      <c r="S167" s="3" t="s">
        <v>40</v>
      </c>
      <c r="T167" s="3" t="s">
        <v>37</v>
      </c>
      <c r="U167" s="6">
        <f t="shared" si="31"/>
        <v>0.30638297872340425</v>
      </c>
      <c r="V167" s="6">
        <f t="shared" si="32"/>
        <v>0.43220338983050849</v>
      </c>
      <c r="W167" s="6">
        <f t="shared" si="33"/>
        <v>0.54255319148936165</v>
      </c>
      <c r="X167" s="6">
        <f t="shared" si="29"/>
        <v>0.9747565813198702</v>
      </c>
      <c r="Y167" s="6">
        <f t="shared" si="34"/>
        <v>0.16518650088809947</v>
      </c>
      <c r="Z167" s="6">
        <f t="shared" si="35"/>
        <v>0.16071428571428573</v>
      </c>
      <c r="AA167" s="6">
        <f t="shared" si="30"/>
        <v>0.2361702127659574</v>
      </c>
    </row>
    <row r="168" spans="1:27" x14ac:dyDescent="0.2">
      <c r="A168" s="2" t="s">
        <v>141</v>
      </c>
      <c r="B168" s="2">
        <v>2001</v>
      </c>
      <c r="C168" s="2">
        <v>1</v>
      </c>
      <c r="D168" s="2" t="s">
        <v>91</v>
      </c>
      <c r="E168" s="2" t="s">
        <v>6</v>
      </c>
      <c r="F168" s="2">
        <v>572</v>
      </c>
      <c r="G168" s="2">
        <v>91</v>
      </c>
      <c r="H168" s="2">
        <v>173</v>
      </c>
      <c r="I168" s="2">
        <v>32</v>
      </c>
      <c r="J168" s="2">
        <v>1</v>
      </c>
      <c r="K168" s="2">
        <v>21</v>
      </c>
      <c r="L168" s="2">
        <v>95</v>
      </c>
      <c r="M168" s="2">
        <v>94</v>
      </c>
      <c r="N168" s="2">
        <v>70</v>
      </c>
      <c r="O168" s="2" t="s">
        <v>52</v>
      </c>
      <c r="P168" s="2" t="s">
        <v>32</v>
      </c>
      <c r="Q168" s="2" t="s">
        <v>30</v>
      </c>
      <c r="R168" s="2" t="s">
        <v>41</v>
      </c>
      <c r="S168" s="2" t="s">
        <v>49</v>
      </c>
      <c r="T168" s="2" t="s">
        <v>34</v>
      </c>
      <c r="U168" s="6">
        <f t="shared" si="31"/>
        <v>0.30244755244755245</v>
      </c>
      <c r="V168" s="6">
        <f t="shared" si="32"/>
        <v>0.41750358680057387</v>
      </c>
      <c r="W168" s="6">
        <f t="shared" si="33"/>
        <v>0.47202797202797203</v>
      </c>
      <c r="X168" s="6">
        <f t="shared" si="29"/>
        <v>0.88953155882854595</v>
      </c>
      <c r="Y168" s="6">
        <f t="shared" si="34"/>
        <v>0.14114114114114115</v>
      </c>
      <c r="Z168" s="6">
        <f t="shared" si="35"/>
        <v>0.10903426791277258</v>
      </c>
      <c r="AA168" s="6">
        <f t="shared" si="30"/>
        <v>0.16958041958041958</v>
      </c>
    </row>
    <row r="169" spans="1:27" x14ac:dyDescent="0.2">
      <c r="A169" s="3" t="s">
        <v>163</v>
      </c>
      <c r="B169" s="3">
        <v>2001</v>
      </c>
      <c r="C169" s="3">
        <v>1</v>
      </c>
      <c r="D169" s="3" t="s">
        <v>83</v>
      </c>
      <c r="E169" s="3" t="s">
        <v>3</v>
      </c>
      <c r="F169" s="3">
        <v>503</v>
      </c>
      <c r="G169" s="3">
        <v>81</v>
      </c>
      <c r="H169" s="3">
        <v>151</v>
      </c>
      <c r="I169" s="3">
        <v>29</v>
      </c>
      <c r="J169" s="3">
        <v>0</v>
      </c>
      <c r="K169" s="3">
        <v>36</v>
      </c>
      <c r="L169" s="3">
        <v>94</v>
      </c>
      <c r="M169" s="3">
        <v>67</v>
      </c>
      <c r="N169" s="3">
        <v>87</v>
      </c>
      <c r="O169" s="3" t="s">
        <v>52</v>
      </c>
      <c r="P169" s="3" t="s">
        <v>31</v>
      </c>
      <c r="Q169" s="3" t="s">
        <v>28</v>
      </c>
      <c r="R169" s="3" t="s">
        <v>30</v>
      </c>
      <c r="S169" s="3" t="s">
        <v>54</v>
      </c>
      <c r="T169" s="3" t="s">
        <v>31</v>
      </c>
      <c r="U169" s="6">
        <f t="shared" si="31"/>
        <v>0.30019880715705766</v>
      </c>
      <c r="V169" s="6">
        <f t="shared" si="32"/>
        <v>0.40371621621621623</v>
      </c>
      <c r="W169" s="6">
        <f t="shared" si="33"/>
        <v>0.57256461232604372</v>
      </c>
      <c r="X169" s="6">
        <f t="shared" si="29"/>
        <v>0.97628082854225995</v>
      </c>
      <c r="Y169" s="6">
        <f t="shared" si="34"/>
        <v>0.11754385964912281</v>
      </c>
      <c r="Z169" s="6">
        <f t="shared" si="35"/>
        <v>0.14745762711864407</v>
      </c>
      <c r="AA169" s="6">
        <f t="shared" si="30"/>
        <v>0.27236580516898606</v>
      </c>
    </row>
    <row r="170" spans="1:27" x14ac:dyDescent="0.2">
      <c r="A170" s="2" t="s">
        <v>171</v>
      </c>
      <c r="B170" s="2">
        <v>2001</v>
      </c>
      <c r="C170" s="2">
        <v>1</v>
      </c>
      <c r="D170" s="2" t="s">
        <v>68</v>
      </c>
      <c r="E170" s="2" t="s">
        <v>6</v>
      </c>
      <c r="F170" s="2">
        <v>529</v>
      </c>
      <c r="G170" s="2">
        <v>93</v>
      </c>
      <c r="H170" s="2">
        <v>162</v>
      </c>
      <c r="I170" s="2">
        <v>33</v>
      </c>
      <c r="J170" s="2">
        <v>2</v>
      </c>
      <c r="K170" s="2">
        <v>41</v>
      </c>
      <c r="L170" s="2">
        <v>125</v>
      </c>
      <c r="M170" s="2">
        <v>81</v>
      </c>
      <c r="N170" s="2">
        <v>147</v>
      </c>
      <c r="O170" s="2" t="s">
        <v>55</v>
      </c>
      <c r="P170" s="2" t="s">
        <v>39</v>
      </c>
      <c r="Q170" s="2" t="s">
        <v>28</v>
      </c>
      <c r="R170" s="2" t="s">
        <v>31</v>
      </c>
      <c r="S170" s="2" t="s">
        <v>42</v>
      </c>
      <c r="T170" s="2" t="s">
        <v>41</v>
      </c>
      <c r="U170" s="6">
        <f t="shared" si="31"/>
        <v>0.30623818525519847</v>
      </c>
      <c r="V170" s="6">
        <f t="shared" si="32"/>
        <v>0.42790697674418604</v>
      </c>
      <c r="W170" s="6">
        <f t="shared" si="33"/>
        <v>0.60869565217391308</v>
      </c>
      <c r="X170" s="6">
        <f t="shared" si="29"/>
        <v>1.0366026289180992</v>
      </c>
      <c r="Y170" s="6">
        <f t="shared" si="34"/>
        <v>0.13278688524590163</v>
      </c>
      <c r="Z170" s="6">
        <f t="shared" si="35"/>
        <v>0.21745562130177515</v>
      </c>
      <c r="AA170" s="6">
        <f t="shared" si="30"/>
        <v>0.30245746691871461</v>
      </c>
    </row>
    <row r="171" spans="1:27" x14ac:dyDescent="0.2">
      <c r="A171" s="3" t="s">
        <v>95</v>
      </c>
      <c r="B171" s="3">
        <v>2001</v>
      </c>
      <c r="C171" s="3">
        <v>1</v>
      </c>
      <c r="D171" s="3" t="s">
        <v>78</v>
      </c>
      <c r="E171" s="3" t="s">
        <v>6</v>
      </c>
      <c r="F171" s="3">
        <v>477</v>
      </c>
      <c r="G171" s="3">
        <v>43</v>
      </c>
      <c r="H171" s="3">
        <v>114</v>
      </c>
      <c r="I171" s="3">
        <v>16</v>
      </c>
      <c r="J171" s="3">
        <v>0</v>
      </c>
      <c r="K171" s="3">
        <v>14</v>
      </c>
      <c r="L171" s="3">
        <v>68</v>
      </c>
      <c r="M171" s="3">
        <v>26</v>
      </c>
      <c r="N171" s="3">
        <v>63</v>
      </c>
      <c r="O171" s="3" t="s">
        <v>30</v>
      </c>
      <c r="P171" s="3" t="s">
        <v>31</v>
      </c>
      <c r="Q171" s="3" t="s">
        <v>31</v>
      </c>
      <c r="R171" s="3" t="s">
        <v>42</v>
      </c>
      <c r="S171" s="3" t="s">
        <v>44</v>
      </c>
      <c r="T171" s="3" t="s">
        <v>36</v>
      </c>
      <c r="U171" s="6">
        <f t="shared" si="31"/>
        <v>0.2389937106918239</v>
      </c>
      <c r="V171" s="6">
        <f t="shared" si="32"/>
        <v>0.27766990291262134</v>
      </c>
      <c r="W171" s="6">
        <f t="shared" si="33"/>
        <v>0.36058700209643607</v>
      </c>
      <c r="X171" s="6">
        <f t="shared" si="29"/>
        <v>0.63825690500905741</v>
      </c>
      <c r="Y171" s="6">
        <f t="shared" si="34"/>
        <v>5.168986083499006E-2</v>
      </c>
      <c r="Z171" s="6">
        <f t="shared" si="35"/>
        <v>0.11666666666666667</v>
      </c>
      <c r="AA171" s="6">
        <f t="shared" si="30"/>
        <v>0.12159329140461217</v>
      </c>
    </row>
    <row r="172" spans="1:27" x14ac:dyDescent="0.2">
      <c r="A172" s="2" t="s">
        <v>173</v>
      </c>
      <c r="B172" s="2">
        <v>2001</v>
      </c>
      <c r="C172" s="2">
        <v>1</v>
      </c>
      <c r="D172" s="2" t="s">
        <v>90</v>
      </c>
      <c r="E172" s="2" t="s">
        <v>6</v>
      </c>
      <c r="F172" s="2">
        <v>632</v>
      </c>
      <c r="G172" s="2">
        <v>133</v>
      </c>
      <c r="H172" s="2">
        <v>201</v>
      </c>
      <c r="I172" s="2">
        <v>34</v>
      </c>
      <c r="J172" s="2">
        <v>1</v>
      </c>
      <c r="K172" s="2">
        <v>52</v>
      </c>
      <c r="L172" s="2">
        <v>135</v>
      </c>
      <c r="M172" s="2">
        <v>75</v>
      </c>
      <c r="N172" s="2">
        <v>131</v>
      </c>
      <c r="O172" s="2" t="s">
        <v>36</v>
      </c>
      <c r="P172" s="2" t="s">
        <v>50</v>
      </c>
      <c r="Q172" s="2" t="s">
        <v>28</v>
      </c>
      <c r="R172" s="2" t="s">
        <v>42</v>
      </c>
      <c r="S172" s="2" t="s">
        <v>47</v>
      </c>
      <c r="T172" s="2" t="s">
        <v>32</v>
      </c>
      <c r="U172" s="6">
        <f t="shared" si="31"/>
        <v>0.31803797468354428</v>
      </c>
      <c r="V172" s="6">
        <f t="shared" si="32"/>
        <v>0.40379403794037938</v>
      </c>
      <c r="W172" s="6">
        <f t="shared" si="33"/>
        <v>0.62183544303797467</v>
      </c>
      <c r="X172" s="6">
        <f t="shared" si="29"/>
        <v>1.0256294809783539</v>
      </c>
      <c r="Y172" s="6">
        <f t="shared" si="34"/>
        <v>0.10608203677510608</v>
      </c>
      <c r="Z172" s="6">
        <f t="shared" si="35"/>
        <v>0.17169069462647443</v>
      </c>
      <c r="AA172" s="6">
        <f t="shared" si="30"/>
        <v>0.30379746835443039</v>
      </c>
    </row>
    <row r="173" spans="1:27" x14ac:dyDescent="0.2">
      <c r="A173" s="3" t="s">
        <v>155</v>
      </c>
      <c r="B173" s="3">
        <v>2001</v>
      </c>
      <c r="C173" s="3">
        <v>1</v>
      </c>
      <c r="D173" s="3" t="s">
        <v>90</v>
      </c>
      <c r="E173" s="3" t="s">
        <v>6</v>
      </c>
      <c r="F173" s="3">
        <v>442</v>
      </c>
      <c r="G173" s="3">
        <v>70</v>
      </c>
      <c r="H173" s="3">
        <v>136</v>
      </c>
      <c r="I173" s="3">
        <v>24</v>
      </c>
      <c r="J173" s="3">
        <v>2</v>
      </c>
      <c r="K173" s="3">
        <v>25</v>
      </c>
      <c r="L173" s="3">
        <v>65</v>
      </c>
      <c r="M173" s="3">
        <v>23</v>
      </c>
      <c r="N173" s="3">
        <v>73</v>
      </c>
      <c r="O173" s="3" t="s">
        <v>34</v>
      </c>
      <c r="P173" s="3" t="s">
        <v>33</v>
      </c>
      <c r="Q173" s="3" t="s">
        <v>28</v>
      </c>
      <c r="R173" s="3" t="s">
        <v>30</v>
      </c>
      <c r="S173" s="3" t="s">
        <v>35</v>
      </c>
      <c r="T173" s="3" t="s">
        <v>31</v>
      </c>
      <c r="U173" s="6">
        <f t="shared" si="31"/>
        <v>0.30769230769230771</v>
      </c>
      <c r="V173" s="6">
        <f t="shared" si="32"/>
        <v>0.35095137420718814</v>
      </c>
      <c r="W173" s="6">
        <f t="shared" si="33"/>
        <v>0.54072398190045246</v>
      </c>
      <c r="X173" s="6">
        <f t="shared" si="29"/>
        <v>0.89167535610764059</v>
      </c>
      <c r="Y173" s="6">
        <f t="shared" si="34"/>
        <v>4.9462365591397849E-2</v>
      </c>
      <c r="Z173" s="6">
        <f t="shared" si="35"/>
        <v>0.14174757281553399</v>
      </c>
      <c r="AA173" s="6">
        <f t="shared" si="30"/>
        <v>0.23303167420814475</v>
      </c>
    </row>
    <row r="174" spans="1:27" x14ac:dyDescent="0.2">
      <c r="A174" s="2" t="s">
        <v>143</v>
      </c>
      <c r="B174" s="2">
        <v>2001</v>
      </c>
      <c r="C174" s="2">
        <v>1</v>
      </c>
      <c r="D174" s="2" t="s">
        <v>27</v>
      </c>
      <c r="E174" s="2" t="s">
        <v>3</v>
      </c>
      <c r="F174" s="2">
        <v>577</v>
      </c>
      <c r="G174" s="2">
        <v>146</v>
      </c>
      <c r="H174" s="2">
        <v>189</v>
      </c>
      <c r="I174" s="2">
        <v>34</v>
      </c>
      <c r="J174" s="2">
        <v>5</v>
      </c>
      <c r="K174" s="2">
        <v>64</v>
      </c>
      <c r="L174" s="2">
        <v>160</v>
      </c>
      <c r="M174" s="2">
        <v>116</v>
      </c>
      <c r="N174" s="2">
        <v>153</v>
      </c>
      <c r="O174" s="2" t="s">
        <v>75</v>
      </c>
      <c r="P174" s="2" t="s">
        <v>36</v>
      </c>
      <c r="Q174" s="2" t="s">
        <v>28</v>
      </c>
      <c r="R174" s="2" t="s">
        <v>38</v>
      </c>
      <c r="S174" s="2" t="s">
        <v>36</v>
      </c>
      <c r="T174" s="2" t="s">
        <v>42</v>
      </c>
      <c r="U174" s="6">
        <f t="shared" si="31"/>
        <v>0.32755632582322358</v>
      </c>
      <c r="V174" s="6">
        <f t="shared" si="32"/>
        <v>0.46524064171122997</v>
      </c>
      <c r="W174" s="6">
        <f t="shared" si="33"/>
        <v>0.7365684575389948</v>
      </c>
      <c r="X174" s="6">
        <f t="shared" si="29"/>
        <v>1.2018090992502248</v>
      </c>
      <c r="Y174" s="6">
        <f t="shared" si="34"/>
        <v>0.16738816738816739</v>
      </c>
      <c r="Z174" s="6">
        <f t="shared" si="35"/>
        <v>0.20958904109589041</v>
      </c>
      <c r="AA174" s="6">
        <f t="shared" si="30"/>
        <v>0.40901213171577122</v>
      </c>
    </row>
    <row r="175" spans="1:27" x14ac:dyDescent="0.2">
      <c r="A175" s="3" t="s">
        <v>228</v>
      </c>
      <c r="B175" s="3">
        <v>2001</v>
      </c>
      <c r="C175" s="3">
        <v>1</v>
      </c>
      <c r="D175" s="3" t="s">
        <v>91</v>
      </c>
      <c r="E175" s="3" t="s">
        <v>6</v>
      </c>
      <c r="F175" s="3">
        <v>692</v>
      </c>
      <c r="G175" s="3">
        <v>127</v>
      </c>
      <c r="H175" s="3">
        <v>242</v>
      </c>
      <c r="I175" s="3">
        <v>34</v>
      </c>
      <c r="J175" s="3">
        <v>8</v>
      </c>
      <c r="K175" s="3">
        <v>8</v>
      </c>
      <c r="L175" s="3">
        <v>69</v>
      </c>
      <c r="M175" s="3">
        <v>30</v>
      </c>
      <c r="N175" s="3">
        <v>53</v>
      </c>
      <c r="O175" s="3" t="s">
        <v>37</v>
      </c>
      <c r="P175" s="3" t="s">
        <v>39</v>
      </c>
      <c r="Q175" s="3" t="s">
        <v>33</v>
      </c>
      <c r="R175" s="3" t="s">
        <v>33</v>
      </c>
      <c r="S175" s="3" t="s">
        <v>34</v>
      </c>
      <c r="T175" s="3" t="s">
        <v>39</v>
      </c>
      <c r="U175" s="6">
        <f t="shared" si="31"/>
        <v>0.34971098265895956</v>
      </c>
      <c r="V175" s="6">
        <f t="shared" si="32"/>
        <v>0.38978494623655913</v>
      </c>
      <c r="W175" s="6">
        <f t="shared" si="33"/>
        <v>0.45664739884393063</v>
      </c>
      <c r="X175" s="6">
        <f t="shared" si="29"/>
        <v>0.84643234508048981</v>
      </c>
      <c r="Y175" s="6">
        <f t="shared" si="34"/>
        <v>4.1551246537396121E-2</v>
      </c>
      <c r="Z175" s="6">
        <f t="shared" si="35"/>
        <v>7.1140939597315433E-2</v>
      </c>
      <c r="AA175" s="6">
        <f t="shared" si="30"/>
        <v>0.10693641618497107</v>
      </c>
    </row>
    <row r="176" spans="1:27" x14ac:dyDescent="0.2">
      <c r="A176" s="2" t="s">
        <v>144</v>
      </c>
      <c r="B176" s="2">
        <v>2001</v>
      </c>
      <c r="C176" s="2">
        <v>1</v>
      </c>
      <c r="D176" s="2" t="s">
        <v>164</v>
      </c>
      <c r="E176" s="2" t="s">
        <v>3</v>
      </c>
      <c r="F176" s="2">
        <v>497</v>
      </c>
      <c r="G176" s="2">
        <v>107</v>
      </c>
      <c r="H176" s="2">
        <v>174</v>
      </c>
      <c r="I176" s="2">
        <v>35</v>
      </c>
      <c r="J176" s="2">
        <v>3</v>
      </c>
      <c r="K176" s="2">
        <v>38</v>
      </c>
      <c r="L176" s="2">
        <v>123</v>
      </c>
      <c r="M176" s="2">
        <v>82</v>
      </c>
      <c r="N176" s="2">
        <v>103</v>
      </c>
      <c r="O176" s="2" t="s">
        <v>36</v>
      </c>
      <c r="P176" s="2" t="s">
        <v>43</v>
      </c>
      <c r="Q176" s="2" t="s">
        <v>28</v>
      </c>
      <c r="R176" s="2" t="s">
        <v>39</v>
      </c>
      <c r="S176" s="2" t="s">
        <v>42</v>
      </c>
      <c r="T176" s="2" t="s">
        <v>37</v>
      </c>
      <c r="U176" s="6">
        <f t="shared" si="31"/>
        <v>0.3501006036217304</v>
      </c>
      <c r="V176" s="6">
        <f t="shared" si="32"/>
        <v>0.45469522240527183</v>
      </c>
      <c r="W176" s="6">
        <f t="shared" si="33"/>
        <v>0.6619718309859155</v>
      </c>
      <c r="X176" s="6">
        <f t="shared" si="29"/>
        <v>1.1166670533911873</v>
      </c>
      <c r="Y176" s="6">
        <f t="shared" si="34"/>
        <v>0.14162348877374784</v>
      </c>
      <c r="Z176" s="6">
        <f t="shared" si="35"/>
        <v>0.17166666666666666</v>
      </c>
      <c r="AA176" s="6">
        <f t="shared" si="30"/>
        <v>0.3118712273641851</v>
      </c>
    </row>
    <row r="177" spans="1:27" x14ac:dyDescent="0.2">
      <c r="A177" s="3" t="s">
        <v>110</v>
      </c>
      <c r="B177" s="3">
        <v>2002</v>
      </c>
      <c r="C177" s="3">
        <v>1</v>
      </c>
      <c r="D177" s="3" t="s">
        <v>79</v>
      </c>
      <c r="E177" s="3" t="s">
        <v>3</v>
      </c>
      <c r="F177" s="3">
        <v>403</v>
      </c>
      <c r="G177" s="3">
        <v>117</v>
      </c>
      <c r="H177" s="3">
        <v>149</v>
      </c>
      <c r="I177" s="3">
        <v>31</v>
      </c>
      <c r="J177" s="3">
        <v>2</v>
      </c>
      <c r="K177" s="3">
        <v>46</v>
      </c>
      <c r="L177" s="3">
        <v>110</v>
      </c>
      <c r="M177" s="3">
        <v>198</v>
      </c>
      <c r="N177" s="3">
        <v>47</v>
      </c>
      <c r="O177" s="3" t="s">
        <v>229</v>
      </c>
      <c r="P177" s="3" t="s">
        <v>42</v>
      </c>
      <c r="Q177" s="3" t="s">
        <v>28</v>
      </c>
      <c r="R177" s="3" t="s">
        <v>31</v>
      </c>
      <c r="S177" s="3" t="s">
        <v>33</v>
      </c>
      <c r="T177" s="3" t="s">
        <v>41</v>
      </c>
      <c r="U177" s="6">
        <f t="shared" si="31"/>
        <v>0.36972704714640198</v>
      </c>
      <c r="V177" s="6">
        <f t="shared" si="32"/>
        <v>0.62352941176470589</v>
      </c>
      <c r="W177" s="6">
        <f t="shared" si="33"/>
        <v>0.79900744416873448</v>
      </c>
      <c r="X177" s="6">
        <f t="shared" si="29"/>
        <v>1.4225368559334404</v>
      </c>
      <c r="Y177" s="6">
        <f t="shared" si="34"/>
        <v>0.32945091514143093</v>
      </c>
      <c r="Z177" s="6">
        <f t="shared" si="35"/>
        <v>0.10444444444444445</v>
      </c>
      <c r="AA177" s="6">
        <f t="shared" si="30"/>
        <v>0.4292803970223325</v>
      </c>
    </row>
    <row r="178" spans="1:27" x14ac:dyDescent="0.2">
      <c r="A178" s="2" t="s">
        <v>176</v>
      </c>
      <c r="B178" s="2">
        <v>2002</v>
      </c>
      <c r="C178" s="2">
        <v>1</v>
      </c>
      <c r="D178" s="2" t="s">
        <v>71</v>
      </c>
      <c r="E178" s="2" t="s">
        <v>6</v>
      </c>
      <c r="F178" s="2">
        <v>560</v>
      </c>
      <c r="G178" s="2">
        <v>120</v>
      </c>
      <c r="H178" s="2">
        <v>176</v>
      </c>
      <c r="I178" s="2">
        <v>34</v>
      </c>
      <c r="J178" s="2">
        <v>1</v>
      </c>
      <c r="K178" s="2">
        <v>41</v>
      </c>
      <c r="L178" s="2">
        <v>122</v>
      </c>
      <c r="M178" s="2">
        <v>109</v>
      </c>
      <c r="N178" s="2">
        <v>112</v>
      </c>
      <c r="O178" s="2" t="s">
        <v>33</v>
      </c>
      <c r="P178" s="2" t="s">
        <v>44</v>
      </c>
      <c r="Q178" s="2" t="s">
        <v>28</v>
      </c>
      <c r="R178" s="2" t="s">
        <v>32</v>
      </c>
      <c r="S178" s="2" t="s">
        <v>45</v>
      </c>
      <c r="T178" s="2" t="s">
        <v>34</v>
      </c>
      <c r="U178" s="6">
        <f t="shared" si="31"/>
        <v>0.31428571428571428</v>
      </c>
      <c r="V178" s="6">
        <f t="shared" si="32"/>
        <v>0.43867243867243866</v>
      </c>
      <c r="W178" s="6">
        <f t="shared" si="33"/>
        <v>0.5982142857142857</v>
      </c>
      <c r="X178" s="6">
        <f t="shared" si="29"/>
        <v>1.0368867243867244</v>
      </c>
      <c r="Y178" s="6">
        <f t="shared" si="34"/>
        <v>0.16292974588938713</v>
      </c>
      <c r="Z178" s="6">
        <f t="shared" si="35"/>
        <v>0.16666666666666666</v>
      </c>
      <c r="AA178" s="6">
        <f t="shared" si="30"/>
        <v>0.28392857142857142</v>
      </c>
    </row>
    <row r="179" spans="1:27" x14ac:dyDescent="0.2">
      <c r="A179" s="3" t="s">
        <v>186</v>
      </c>
      <c r="B179" s="3">
        <v>2002</v>
      </c>
      <c r="C179" s="3">
        <v>1</v>
      </c>
      <c r="D179" s="3" t="s">
        <v>89</v>
      </c>
      <c r="E179" s="3" t="s">
        <v>3</v>
      </c>
      <c r="F179" s="3">
        <v>614</v>
      </c>
      <c r="G179" s="3">
        <v>106</v>
      </c>
      <c r="H179" s="3">
        <v>206</v>
      </c>
      <c r="I179" s="3">
        <v>37</v>
      </c>
      <c r="J179" s="3">
        <v>2</v>
      </c>
      <c r="K179" s="3">
        <v>39</v>
      </c>
      <c r="L179" s="3">
        <v>111</v>
      </c>
      <c r="M179" s="3">
        <v>84</v>
      </c>
      <c r="N179" s="3">
        <v>70</v>
      </c>
      <c r="O179" s="3" t="s">
        <v>56</v>
      </c>
      <c r="P179" s="3" t="s">
        <v>36</v>
      </c>
      <c r="Q179" s="3" t="s">
        <v>28</v>
      </c>
      <c r="R179" s="3" t="s">
        <v>32</v>
      </c>
      <c r="S179" s="3" t="s">
        <v>54</v>
      </c>
      <c r="T179" s="3" t="s">
        <v>39</v>
      </c>
      <c r="U179" s="6">
        <f t="shared" si="31"/>
        <v>0.33550488599348532</v>
      </c>
      <c r="V179" s="6">
        <f t="shared" si="32"/>
        <v>0.44264507422402161</v>
      </c>
      <c r="W179" s="6">
        <f t="shared" si="33"/>
        <v>0.59283387622149841</v>
      </c>
      <c r="X179" s="6">
        <f t="shared" si="29"/>
        <v>1.03547895044552</v>
      </c>
      <c r="Y179" s="6">
        <f t="shared" si="34"/>
        <v>0.12034383954154727</v>
      </c>
      <c r="Z179" s="6">
        <f t="shared" si="35"/>
        <v>0.1023391812865497</v>
      </c>
      <c r="AA179" s="6">
        <f t="shared" si="30"/>
        <v>0.25732899022801309</v>
      </c>
    </row>
    <row r="180" spans="1:27" x14ac:dyDescent="0.2">
      <c r="A180" s="2" t="s">
        <v>193</v>
      </c>
      <c r="B180" s="2">
        <v>2002</v>
      </c>
      <c r="C180" s="2">
        <v>1</v>
      </c>
      <c r="D180" s="2" t="s">
        <v>164</v>
      </c>
      <c r="E180" s="2" t="s">
        <v>3</v>
      </c>
      <c r="F180" s="2">
        <v>553</v>
      </c>
      <c r="G180" s="2">
        <v>107</v>
      </c>
      <c r="H180" s="2">
        <v>182</v>
      </c>
      <c r="I180" s="2">
        <v>39</v>
      </c>
      <c r="J180" s="2">
        <v>4</v>
      </c>
      <c r="K180" s="2">
        <v>30</v>
      </c>
      <c r="L180" s="2">
        <v>109</v>
      </c>
      <c r="M180" s="2">
        <v>99</v>
      </c>
      <c r="N180" s="2">
        <v>91</v>
      </c>
      <c r="O180" s="2" t="s">
        <v>49</v>
      </c>
      <c r="P180" s="2" t="s">
        <v>32</v>
      </c>
      <c r="Q180" s="2" t="s">
        <v>28</v>
      </c>
      <c r="R180" s="2" t="s">
        <v>37</v>
      </c>
      <c r="S180" s="2" t="s">
        <v>37</v>
      </c>
      <c r="T180" s="2" t="s">
        <v>34</v>
      </c>
      <c r="U180" s="6">
        <f t="shared" si="31"/>
        <v>0.32911392405063289</v>
      </c>
      <c r="V180" s="6">
        <f t="shared" si="32"/>
        <v>0.44622093023255816</v>
      </c>
      <c r="W180" s="6">
        <f t="shared" si="33"/>
        <v>0.57685352622061481</v>
      </c>
      <c r="X180" s="6">
        <f t="shared" si="29"/>
        <v>1.0230744564531729</v>
      </c>
      <c r="Y180" s="6">
        <f t="shared" si="34"/>
        <v>0.15184049079754602</v>
      </c>
      <c r="Z180" s="6">
        <f t="shared" si="35"/>
        <v>0.14130434782608695</v>
      </c>
      <c r="AA180" s="6">
        <f t="shared" si="30"/>
        <v>0.24773960216998192</v>
      </c>
    </row>
    <row r="181" spans="1:27" x14ac:dyDescent="0.2">
      <c r="A181" s="3" t="s">
        <v>224</v>
      </c>
      <c r="B181" s="3">
        <v>2002</v>
      </c>
      <c r="C181" s="3">
        <v>1</v>
      </c>
      <c r="D181" s="3" t="s">
        <v>68</v>
      </c>
      <c r="E181" s="3" t="s">
        <v>6</v>
      </c>
      <c r="F181" s="3">
        <v>634</v>
      </c>
      <c r="G181" s="3">
        <v>94</v>
      </c>
      <c r="H181" s="3">
        <v>186</v>
      </c>
      <c r="I181" s="3">
        <v>43</v>
      </c>
      <c r="J181" s="3">
        <v>4</v>
      </c>
      <c r="K181" s="3">
        <v>18</v>
      </c>
      <c r="L181" s="3">
        <v>83</v>
      </c>
      <c r="M181" s="3">
        <v>25</v>
      </c>
      <c r="N181" s="3">
        <v>95</v>
      </c>
      <c r="O181" s="3" t="s">
        <v>33</v>
      </c>
      <c r="P181" s="3" t="s">
        <v>38</v>
      </c>
      <c r="Q181" s="3" t="s">
        <v>28</v>
      </c>
      <c r="R181" s="3" t="s">
        <v>32</v>
      </c>
      <c r="S181" s="3" t="s">
        <v>45</v>
      </c>
      <c r="T181" s="3" t="s">
        <v>32</v>
      </c>
      <c r="U181" s="6">
        <f t="shared" si="31"/>
        <v>0.29337539432176657</v>
      </c>
      <c r="V181" s="6">
        <f t="shared" si="32"/>
        <v>0.33382352941176469</v>
      </c>
      <c r="W181" s="6">
        <f t="shared" si="33"/>
        <v>0.4589905362776025</v>
      </c>
      <c r="X181" s="6">
        <f t="shared" si="29"/>
        <v>0.79281406568936719</v>
      </c>
      <c r="Y181" s="6">
        <f t="shared" si="34"/>
        <v>3.7936267071320182E-2</v>
      </c>
      <c r="Z181" s="6">
        <f t="shared" si="35"/>
        <v>0.13031550068587106</v>
      </c>
      <c r="AA181" s="6">
        <f t="shared" si="30"/>
        <v>0.16561514195583593</v>
      </c>
    </row>
    <row r="182" spans="1:27" x14ac:dyDescent="0.2">
      <c r="A182" s="2" t="s">
        <v>194</v>
      </c>
      <c r="B182" s="2">
        <v>2002</v>
      </c>
      <c r="C182" s="2">
        <v>1</v>
      </c>
      <c r="D182" s="2" t="s">
        <v>81</v>
      </c>
      <c r="E182" s="2" t="s">
        <v>6</v>
      </c>
      <c r="F182" s="2">
        <v>561</v>
      </c>
      <c r="G182" s="2">
        <v>89</v>
      </c>
      <c r="H182" s="2">
        <v>162</v>
      </c>
      <c r="I182" s="2">
        <v>37</v>
      </c>
      <c r="J182" s="2">
        <v>4</v>
      </c>
      <c r="K182" s="2">
        <v>29</v>
      </c>
      <c r="L182" s="2">
        <v>94</v>
      </c>
      <c r="M182" s="2">
        <v>35</v>
      </c>
      <c r="N182" s="2">
        <v>118</v>
      </c>
      <c r="O182" s="2" t="s">
        <v>34</v>
      </c>
      <c r="P182" s="2" t="s">
        <v>32</v>
      </c>
      <c r="Q182" s="2" t="s">
        <v>28</v>
      </c>
      <c r="R182" s="2" t="s">
        <v>34</v>
      </c>
      <c r="S182" s="2" t="s">
        <v>47</v>
      </c>
      <c r="T182" s="2" t="s">
        <v>39</v>
      </c>
      <c r="U182" s="6">
        <f t="shared" si="31"/>
        <v>0.28877005347593582</v>
      </c>
      <c r="V182" s="6">
        <f t="shared" si="32"/>
        <v>0.33772652388797364</v>
      </c>
      <c r="W182" s="6">
        <f t="shared" si="33"/>
        <v>0.52406417112299464</v>
      </c>
      <c r="X182" s="6">
        <f t="shared" si="29"/>
        <v>0.86179069501096828</v>
      </c>
      <c r="Y182" s="6">
        <f t="shared" si="34"/>
        <v>5.8724832214765099E-2</v>
      </c>
      <c r="Z182" s="6">
        <f t="shared" si="35"/>
        <v>0.17378497790868924</v>
      </c>
      <c r="AA182" s="6">
        <f t="shared" si="30"/>
        <v>0.23529411764705882</v>
      </c>
    </row>
    <row r="183" spans="1:27" x14ac:dyDescent="0.2">
      <c r="A183" s="3" t="s">
        <v>196</v>
      </c>
      <c r="B183" s="3">
        <v>2002</v>
      </c>
      <c r="C183" s="3">
        <v>1</v>
      </c>
      <c r="D183" s="3" t="s">
        <v>68</v>
      </c>
      <c r="E183" s="3" t="s">
        <v>6</v>
      </c>
      <c r="F183" s="3">
        <v>3</v>
      </c>
      <c r="G183" s="3">
        <v>0</v>
      </c>
      <c r="H183" s="3">
        <v>1</v>
      </c>
      <c r="I183" s="3">
        <v>0</v>
      </c>
      <c r="J183" s="3">
        <v>0</v>
      </c>
      <c r="K183" s="3">
        <v>0</v>
      </c>
      <c r="L183" s="3">
        <v>0</v>
      </c>
      <c r="M183" s="3">
        <v>1</v>
      </c>
      <c r="N183" s="3">
        <v>0</v>
      </c>
      <c r="O183" s="3" t="s">
        <v>28</v>
      </c>
      <c r="P183" s="3" t="s">
        <v>28</v>
      </c>
      <c r="Q183" s="3" t="s">
        <v>30</v>
      </c>
      <c r="R183" s="3" t="s">
        <v>28</v>
      </c>
      <c r="S183" s="3" t="s">
        <v>30</v>
      </c>
      <c r="T183" s="3" t="s">
        <v>30</v>
      </c>
      <c r="U183" s="6">
        <f t="shared" si="31"/>
        <v>0.33333333333333331</v>
      </c>
      <c r="V183" s="6">
        <f t="shared" si="32"/>
        <v>0.5</v>
      </c>
      <c r="W183" s="6">
        <f t="shared" si="33"/>
        <v>0.33333333333333331</v>
      </c>
      <c r="X183" s="6">
        <f t="shared" si="29"/>
        <v>0.83333333333333326</v>
      </c>
      <c r="Y183" s="6">
        <f t="shared" si="34"/>
        <v>0.25</v>
      </c>
      <c r="Z183" s="6">
        <f t="shared" si="35"/>
        <v>0</v>
      </c>
      <c r="AA183" s="6">
        <f t="shared" si="30"/>
        <v>0</v>
      </c>
    </row>
    <row r="184" spans="1:27" x14ac:dyDescent="0.2">
      <c r="A184" s="2" t="s">
        <v>163</v>
      </c>
      <c r="B184" s="2">
        <v>2002</v>
      </c>
      <c r="C184" s="2">
        <v>1</v>
      </c>
      <c r="D184" s="2" t="s">
        <v>83</v>
      </c>
      <c r="E184" s="2" t="s">
        <v>3</v>
      </c>
      <c r="F184" s="2">
        <v>478</v>
      </c>
      <c r="G184" s="2">
        <v>69</v>
      </c>
      <c r="H184" s="2">
        <v>134</v>
      </c>
      <c r="I184" s="2">
        <v>23</v>
      </c>
      <c r="J184" s="2">
        <v>2</v>
      </c>
      <c r="K184" s="2">
        <v>33</v>
      </c>
      <c r="L184" s="2">
        <v>98</v>
      </c>
      <c r="M184" s="2">
        <v>57</v>
      </c>
      <c r="N184" s="2">
        <v>82</v>
      </c>
      <c r="O184" s="2" t="s">
        <v>42</v>
      </c>
      <c r="P184" s="2" t="s">
        <v>34</v>
      </c>
      <c r="Q184" s="2" t="s">
        <v>28</v>
      </c>
      <c r="R184" s="2" t="s">
        <v>34</v>
      </c>
      <c r="S184" s="2" t="s">
        <v>61</v>
      </c>
      <c r="T184" s="2" t="s">
        <v>31</v>
      </c>
      <c r="U184" s="6">
        <f t="shared" si="31"/>
        <v>0.28033472803347281</v>
      </c>
      <c r="V184" s="6">
        <f t="shared" si="32"/>
        <v>0.36909090909090908</v>
      </c>
      <c r="W184" s="6">
        <f t="shared" si="33"/>
        <v>0.54393305439330542</v>
      </c>
      <c r="X184" s="6">
        <f t="shared" si="29"/>
        <v>0.91302396348421455</v>
      </c>
      <c r="Y184" s="6">
        <f t="shared" si="34"/>
        <v>0.10654205607476636</v>
      </c>
      <c r="Z184" s="6">
        <f t="shared" si="35"/>
        <v>0.14642857142857144</v>
      </c>
      <c r="AA184" s="6">
        <f t="shared" si="30"/>
        <v>0.2635983263598326</v>
      </c>
    </row>
    <row r="185" spans="1:27" x14ac:dyDescent="0.2">
      <c r="A185" s="3" t="s">
        <v>181</v>
      </c>
      <c r="B185" s="3">
        <v>2002</v>
      </c>
      <c r="C185" s="3">
        <v>1</v>
      </c>
      <c r="D185" s="3" t="s">
        <v>71</v>
      </c>
      <c r="E185" s="3" t="s">
        <v>6</v>
      </c>
      <c r="F185" s="3">
        <v>511</v>
      </c>
      <c r="G185" s="3">
        <v>79</v>
      </c>
      <c r="H185" s="3">
        <v>137</v>
      </c>
      <c r="I185" s="3">
        <v>40</v>
      </c>
      <c r="J185" s="3">
        <v>1</v>
      </c>
      <c r="K185" s="3">
        <v>20</v>
      </c>
      <c r="L185" s="3">
        <v>99</v>
      </c>
      <c r="M185" s="3">
        <v>81</v>
      </c>
      <c r="N185" s="3">
        <v>143</v>
      </c>
      <c r="O185" s="3" t="s">
        <v>42</v>
      </c>
      <c r="P185" s="3" t="s">
        <v>34</v>
      </c>
      <c r="Q185" s="3" t="s">
        <v>28</v>
      </c>
      <c r="R185" s="3" t="s">
        <v>34</v>
      </c>
      <c r="S185" s="3" t="s">
        <v>63</v>
      </c>
      <c r="T185" s="3" t="s">
        <v>31</v>
      </c>
      <c r="U185" s="6">
        <f t="shared" si="31"/>
        <v>0.26810176125244617</v>
      </c>
      <c r="V185" s="6">
        <f t="shared" si="32"/>
        <v>0.37891268533772654</v>
      </c>
      <c r="W185" s="6">
        <f t="shared" si="33"/>
        <v>0.46771037181996084</v>
      </c>
      <c r="X185" s="6">
        <f t="shared" si="29"/>
        <v>0.84662305715768738</v>
      </c>
      <c r="Y185" s="6">
        <f t="shared" si="34"/>
        <v>0.13682432432432431</v>
      </c>
      <c r="Z185" s="6">
        <f t="shared" si="35"/>
        <v>0.21865443425076453</v>
      </c>
      <c r="AA185" s="6">
        <f t="shared" si="30"/>
        <v>0.19960861056751467</v>
      </c>
    </row>
    <row r="186" spans="1:27" x14ac:dyDescent="0.2">
      <c r="A186" s="2" t="s">
        <v>171</v>
      </c>
      <c r="B186" s="2">
        <v>2002</v>
      </c>
      <c r="C186" s="2">
        <v>1</v>
      </c>
      <c r="D186" s="2" t="s">
        <v>68</v>
      </c>
      <c r="E186" s="2" t="s">
        <v>6</v>
      </c>
      <c r="F186" s="2">
        <v>436</v>
      </c>
      <c r="G186" s="2">
        <v>84</v>
      </c>
      <c r="H186" s="2">
        <v>152</v>
      </c>
      <c r="I186" s="2">
        <v>31</v>
      </c>
      <c r="J186" s="2">
        <v>0</v>
      </c>
      <c r="K186" s="2">
        <v>33</v>
      </c>
      <c r="L186" s="2">
        <v>107</v>
      </c>
      <c r="M186" s="2">
        <v>73</v>
      </c>
      <c r="N186" s="2">
        <v>85</v>
      </c>
      <c r="O186" s="2" t="s">
        <v>43</v>
      </c>
      <c r="P186" s="2" t="s">
        <v>39</v>
      </c>
      <c r="Q186" s="2" t="s">
        <v>28</v>
      </c>
      <c r="R186" s="2" t="s">
        <v>30</v>
      </c>
      <c r="S186" s="2" t="s">
        <v>35</v>
      </c>
      <c r="T186" s="2" t="s">
        <v>41</v>
      </c>
      <c r="U186" s="6">
        <f t="shared" si="31"/>
        <v>0.34862385321100919</v>
      </c>
      <c r="V186" s="6">
        <f t="shared" si="32"/>
        <v>0.4642857142857143</v>
      </c>
      <c r="W186" s="6">
        <f t="shared" si="33"/>
        <v>0.64678899082568808</v>
      </c>
      <c r="X186" s="6">
        <f t="shared" si="29"/>
        <v>1.1110747051114025</v>
      </c>
      <c r="Y186" s="6">
        <f t="shared" si="34"/>
        <v>0.14341846758349705</v>
      </c>
      <c r="Z186" s="6">
        <f t="shared" si="35"/>
        <v>0.16314779270633398</v>
      </c>
      <c r="AA186" s="6">
        <f t="shared" si="30"/>
        <v>0.29816513761467889</v>
      </c>
    </row>
    <row r="187" spans="1:27" x14ac:dyDescent="0.2">
      <c r="A187" s="3" t="s">
        <v>173</v>
      </c>
      <c r="B187" s="3">
        <v>2002</v>
      </c>
      <c r="C187" s="3">
        <v>1</v>
      </c>
      <c r="D187" s="3" t="s">
        <v>90</v>
      </c>
      <c r="E187" s="3" t="s">
        <v>6</v>
      </c>
      <c r="F187" s="3">
        <v>624</v>
      </c>
      <c r="G187" s="3">
        <v>125</v>
      </c>
      <c r="H187" s="3">
        <v>187</v>
      </c>
      <c r="I187" s="3">
        <v>27</v>
      </c>
      <c r="J187" s="3">
        <v>2</v>
      </c>
      <c r="K187" s="3">
        <v>57</v>
      </c>
      <c r="L187" s="3">
        <v>142</v>
      </c>
      <c r="M187" s="3">
        <v>87</v>
      </c>
      <c r="N187" s="3">
        <v>122</v>
      </c>
      <c r="O187" s="3" t="s">
        <v>38</v>
      </c>
      <c r="P187" s="3" t="s">
        <v>37</v>
      </c>
      <c r="Q187" s="3" t="s">
        <v>28</v>
      </c>
      <c r="R187" s="3" t="s">
        <v>33</v>
      </c>
      <c r="S187" s="3" t="s">
        <v>43</v>
      </c>
      <c r="T187" s="3" t="s">
        <v>36</v>
      </c>
      <c r="U187" s="6">
        <f t="shared" si="31"/>
        <v>0.29967948717948717</v>
      </c>
      <c r="V187" s="6">
        <f t="shared" si="32"/>
        <v>0.40162822252374492</v>
      </c>
      <c r="W187" s="6">
        <f t="shared" si="33"/>
        <v>0.6233974358974359</v>
      </c>
      <c r="X187" s="6">
        <f t="shared" si="29"/>
        <v>1.0250256584211808</v>
      </c>
      <c r="Y187" s="6">
        <f t="shared" si="34"/>
        <v>0.12236286919831224</v>
      </c>
      <c r="Z187" s="6">
        <f t="shared" si="35"/>
        <v>0.16353887399463807</v>
      </c>
      <c r="AA187" s="6">
        <f t="shared" si="30"/>
        <v>0.32371794871794873</v>
      </c>
    </row>
    <row r="188" spans="1:27" x14ac:dyDescent="0.2">
      <c r="A188" s="2" t="s">
        <v>190</v>
      </c>
      <c r="B188" s="2">
        <v>2002</v>
      </c>
      <c r="C188" s="2">
        <v>1</v>
      </c>
      <c r="D188" s="2" t="s">
        <v>29</v>
      </c>
      <c r="E188" s="2" t="s">
        <v>3</v>
      </c>
      <c r="F188" s="2">
        <v>375</v>
      </c>
      <c r="G188" s="2">
        <v>52</v>
      </c>
      <c r="H188" s="2">
        <v>97</v>
      </c>
      <c r="I188" s="2">
        <v>21</v>
      </c>
      <c r="J188" s="2">
        <v>4</v>
      </c>
      <c r="K188" s="2">
        <v>17</v>
      </c>
      <c r="L188" s="2">
        <v>66</v>
      </c>
      <c r="M188" s="2">
        <v>52</v>
      </c>
      <c r="N188" s="2">
        <v>68</v>
      </c>
      <c r="O188" s="2" t="s">
        <v>31</v>
      </c>
      <c r="P188" s="2" t="s">
        <v>39</v>
      </c>
      <c r="Q188" s="2" t="s">
        <v>28</v>
      </c>
      <c r="R188" s="2" t="s">
        <v>34</v>
      </c>
      <c r="S188" s="2" t="s">
        <v>38</v>
      </c>
      <c r="T188" s="2" t="s">
        <v>32</v>
      </c>
      <c r="U188" s="6">
        <f t="shared" si="31"/>
        <v>0.25866666666666666</v>
      </c>
      <c r="V188" s="6">
        <f t="shared" si="32"/>
        <v>0.36136363636363639</v>
      </c>
      <c r="W188" s="6">
        <f t="shared" si="33"/>
        <v>0.47199999999999998</v>
      </c>
      <c r="X188" s="6">
        <f t="shared" si="29"/>
        <v>0.83336363636363631</v>
      </c>
      <c r="Y188" s="6">
        <f t="shared" si="34"/>
        <v>0.12177985948477751</v>
      </c>
      <c r="Z188" s="6">
        <f t="shared" si="35"/>
        <v>0.15349887133182843</v>
      </c>
      <c r="AA188" s="6">
        <f t="shared" si="30"/>
        <v>0.21333333333333332</v>
      </c>
    </row>
    <row r="189" spans="1:27" x14ac:dyDescent="0.2">
      <c r="A189" s="3" t="s">
        <v>190</v>
      </c>
      <c r="B189" s="3">
        <v>2002</v>
      </c>
      <c r="C189" s="3">
        <v>2</v>
      </c>
      <c r="D189" s="3" t="s">
        <v>60</v>
      </c>
      <c r="E189" s="3" t="s">
        <v>3</v>
      </c>
      <c r="F189" s="3">
        <v>205</v>
      </c>
      <c r="G189" s="3">
        <v>37</v>
      </c>
      <c r="H189" s="3">
        <v>57</v>
      </c>
      <c r="I189" s="3">
        <v>8</v>
      </c>
      <c r="J189" s="3">
        <v>4</v>
      </c>
      <c r="K189" s="3">
        <v>14</v>
      </c>
      <c r="L189" s="3">
        <v>44</v>
      </c>
      <c r="M189" s="3">
        <v>20</v>
      </c>
      <c r="N189" s="3">
        <v>34</v>
      </c>
      <c r="O189" s="3" t="s">
        <v>31</v>
      </c>
      <c r="P189" s="3" t="s">
        <v>33</v>
      </c>
      <c r="Q189" s="3" t="s">
        <v>28</v>
      </c>
      <c r="R189" s="3" t="s">
        <v>28</v>
      </c>
      <c r="S189" s="3" t="s">
        <v>37</v>
      </c>
      <c r="T189" s="3" t="s">
        <v>32</v>
      </c>
      <c r="U189" s="6">
        <f t="shared" si="31"/>
        <v>0.2780487804878049</v>
      </c>
      <c r="V189" s="6">
        <f t="shared" si="32"/>
        <v>0.3593073593073593</v>
      </c>
      <c r="W189" s="6">
        <f t="shared" si="33"/>
        <v>0.56097560975609762</v>
      </c>
      <c r="X189" s="6">
        <f t="shared" si="29"/>
        <v>0.92028296906345686</v>
      </c>
      <c r="Y189" s="6">
        <f t="shared" si="34"/>
        <v>8.8888888888888892E-2</v>
      </c>
      <c r="Z189" s="6">
        <f t="shared" si="35"/>
        <v>0.14225941422594143</v>
      </c>
      <c r="AA189" s="6">
        <f t="shared" si="30"/>
        <v>0.28292682926829271</v>
      </c>
    </row>
    <row r="190" spans="1:27" x14ac:dyDescent="0.2">
      <c r="A190" s="2" t="s">
        <v>220</v>
      </c>
      <c r="B190" s="2">
        <v>2002</v>
      </c>
      <c r="C190" s="2">
        <v>1</v>
      </c>
      <c r="D190" s="2" t="s">
        <v>29</v>
      </c>
      <c r="E190" s="2" t="s">
        <v>3</v>
      </c>
      <c r="F190" s="2">
        <v>637</v>
      </c>
      <c r="G190" s="2">
        <v>82</v>
      </c>
      <c r="H190" s="2">
        <v>156</v>
      </c>
      <c r="I190" s="2">
        <v>33</v>
      </c>
      <c r="J190" s="2">
        <v>10</v>
      </c>
      <c r="K190" s="2">
        <v>11</v>
      </c>
      <c r="L190" s="2">
        <v>60</v>
      </c>
      <c r="M190" s="2">
        <v>54</v>
      </c>
      <c r="N190" s="2">
        <v>103</v>
      </c>
      <c r="O190" s="2" t="s">
        <v>34</v>
      </c>
      <c r="P190" s="2" t="s">
        <v>33</v>
      </c>
      <c r="Q190" s="2" t="s">
        <v>36</v>
      </c>
      <c r="R190" s="2" t="s">
        <v>33</v>
      </c>
      <c r="S190" s="2" t="s">
        <v>43</v>
      </c>
      <c r="T190" s="2" t="s">
        <v>36</v>
      </c>
      <c r="U190" s="6">
        <f t="shared" si="31"/>
        <v>0.24489795918367346</v>
      </c>
      <c r="V190" s="6">
        <f t="shared" si="32"/>
        <v>0.30911680911680911</v>
      </c>
      <c r="W190" s="6">
        <f t="shared" si="33"/>
        <v>0.37990580847723704</v>
      </c>
      <c r="X190" s="6">
        <f t="shared" si="29"/>
        <v>0.68902261759404615</v>
      </c>
      <c r="Y190" s="6">
        <f t="shared" si="34"/>
        <v>7.8147612156295218E-2</v>
      </c>
      <c r="Z190" s="6">
        <f t="shared" si="35"/>
        <v>0.13918918918918918</v>
      </c>
      <c r="AA190" s="6">
        <f t="shared" si="30"/>
        <v>0.13500784929356358</v>
      </c>
    </row>
    <row r="191" spans="1:27" x14ac:dyDescent="0.2">
      <c r="A191" s="3" t="s">
        <v>133</v>
      </c>
      <c r="B191" s="3">
        <v>2002</v>
      </c>
      <c r="C191" s="3">
        <v>1</v>
      </c>
      <c r="D191" s="3" t="s">
        <v>202</v>
      </c>
      <c r="E191" s="3" t="s">
        <v>3</v>
      </c>
      <c r="F191" s="3">
        <v>86</v>
      </c>
      <c r="G191" s="3">
        <v>7</v>
      </c>
      <c r="H191" s="3">
        <v>15</v>
      </c>
      <c r="I191" s="3">
        <v>0</v>
      </c>
      <c r="J191" s="3">
        <v>0</v>
      </c>
      <c r="K191" s="3">
        <v>0</v>
      </c>
      <c r="L191" s="3">
        <v>3</v>
      </c>
      <c r="M191" s="3">
        <v>4</v>
      </c>
      <c r="N191" s="3">
        <v>26</v>
      </c>
      <c r="O191" s="3" t="s">
        <v>28</v>
      </c>
      <c r="P191" s="3" t="s">
        <v>28</v>
      </c>
      <c r="Q191" s="3" t="s">
        <v>39</v>
      </c>
      <c r="R191" s="3" t="s">
        <v>28</v>
      </c>
      <c r="S191" s="3" t="s">
        <v>31</v>
      </c>
      <c r="T191" s="3" t="s">
        <v>30</v>
      </c>
      <c r="U191" s="6">
        <f t="shared" si="31"/>
        <v>0.1744186046511628</v>
      </c>
      <c r="V191" s="6">
        <f t="shared" si="32"/>
        <v>0.21111111111111111</v>
      </c>
      <c r="W191" s="6">
        <f t="shared" si="33"/>
        <v>0.1744186046511628</v>
      </c>
      <c r="X191" s="6">
        <f t="shared" si="29"/>
        <v>0.38552971576227391</v>
      </c>
      <c r="Y191" s="6">
        <f t="shared" si="34"/>
        <v>4.4444444444444446E-2</v>
      </c>
      <c r="Z191" s="6">
        <f t="shared" si="35"/>
        <v>0.23214285714285715</v>
      </c>
      <c r="AA191" s="6">
        <f t="shared" si="30"/>
        <v>0</v>
      </c>
    </row>
    <row r="192" spans="1:27" x14ac:dyDescent="0.2">
      <c r="A192" s="2" t="s">
        <v>213</v>
      </c>
      <c r="B192" s="2">
        <v>2002</v>
      </c>
      <c r="C192" s="2">
        <v>1</v>
      </c>
      <c r="D192" s="2" t="s">
        <v>71</v>
      </c>
      <c r="E192" s="2" t="s">
        <v>6</v>
      </c>
      <c r="F192" s="2">
        <v>696</v>
      </c>
      <c r="G192" s="2">
        <v>128</v>
      </c>
      <c r="H192" s="2">
        <v>209</v>
      </c>
      <c r="I192" s="2">
        <v>51</v>
      </c>
      <c r="J192" s="2">
        <v>2</v>
      </c>
      <c r="K192" s="2">
        <v>39</v>
      </c>
      <c r="L192" s="2">
        <v>102</v>
      </c>
      <c r="M192" s="2">
        <v>23</v>
      </c>
      <c r="N192" s="2">
        <v>157</v>
      </c>
      <c r="O192" s="2" t="s">
        <v>30</v>
      </c>
      <c r="P192" s="2" t="s">
        <v>43</v>
      </c>
      <c r="Q192" s="2" t="s">
        <v>30</v>
      </c>
      <c r="R192" s="2" t="s">
        <v>41</v>
      </c>
      <c r="S192" s="2" t="s">
        <v>39</v>
      </c>
      <c r="T192" s="2" t="s">
        <v>33</v>
      </c>
      <c r="U192" s="6">
        <f t="shared" si="31"/>
        <v>0.30028735632183906</v>
      </c>
      <c r="V192" s="6">
        <f t="shared" si="32"/>
        <v>0.33333333333333331</v>
      </c>
      <c r="W192" s="6">
        <f t="shared" si="33"/>
        <v>0.54741379310344829</v>
      </c>
      <c r="X192" s="6">
        <f t="shared" si="29"/>
        <v>0.88074712643678166</v>
      </c>
      <c r="Y192" s="6">
        <f t="shared" si="34"/>
        <v>3.1988873435326845E-2</v>
      </c>
      <c r="Z192" s="6">
        <f t="shared" si="35"/>
        <v>0.18405627198124266</v>
      </c>
      <c r="AA192" s="6">
        <f t="shared" si="30"/>
        <v>0.24712643678160923</v>
      </c>
    </row>
    <row r="193" spans="1:27" x14ac:dyDescent="0.2">
      <c r="A193" s="3" t="s">
        <v>143</v>
      </c>
      <c r="B193" s="3">
        <v>2002</v>
      </c>
      <c r="C193" s="3">
        <v>1</v>
      </c>
      <c r="D193" s="3" t="s">
        <v>27</v>
      </c>
      <c r="E193" s="3" t="s">
        <v>3</v>
      </c>
      <c r="F193" s="3">
        <v>556</v>
      </c>
      <c r="G193" s="3">
        <v>122</v>
      </c>
      <c r="H193" s="3">
        <v>160</v>
      </c>
      <c r="I193" s="3">
        <v>19</v>
      </c>
      <c r="J193" s="3">
        <v>2</v>
      </c>
      <c r="K193" s="3">
        <v>49</v>
      </c>
      <c r="L193" s="3">
        <v>108</v>
      </c>
      <c r="M193" s="3">
        <v>103</v>
      </c>
      <c r="N193" s="3">
        <v>144</v>
      </c>
      <c r="O193" s="3" t="s">
        <v>44</v>
      </c>
      <c r="P193" s="3" t="s">
        <v>34</v>
      </c>
      <c r="Q193" s="3" t="s">
        <v>28</v>
      </c>
      <c r="R193" s="3" t="s">
        <v>33</v>
      </c>
      <c r="S193" s="3" t="s">
        <v>43</v>
      </c>
      <c r="T193" s="3" t="s">
        <v>42</v>
      </c>
      <c r="U193" s="6">
        <f t="shared" si="31"/>
        <v>0.28776978417266186</v>
      </c>
      <c r="V193" s="6">
        <f t="shared" si="32"/>
        <v>0.41262848751835535</v>
      </c>
      <c r="W193" s="6">
        <f t="shared" si="33"/>
        <v>0.59352517985611508</v>
      </c>
      <c r="X193" s="6">
        <f t="shared" si="29"/>
        <v>1.0061536673744704</v>
      </c>
      <c r="Y193" s="6">
        <f t="shared" si="34"/>
        <v>0.15629742033383914</v>
      </c>
      <c r="Z193" s="6">
        <f t="shared" si="35"/>
        <v>0.20571428571428571</v>
      </c>
      <c r="AA193" s="6">
        <f t="shared" si="30"/>
        <v>0.30575539568345322</v>
      </c>
    </row>
    <row r="194" spans="1:27" x14ac:dyDescent="0.2">
      <c r="A194" s="2" t="s">
        <v>228</v>
      </c>
      <c r="B194" s="2">
        <v>2002</v>
      </c>
      <c r="C194" s="2">
        <v>1</v>
      </c>
      <c r="D194" s="2" t="s">
        <v>91</v>
      </c>
      <c r="E194" s="2" t="s">
        <v>6</v>
      </c>
      <c r="F194" s="2">
        <v>647</v>
      </c>
      <c r="G194" s="2">
        <v>111</v>
      </c>
      <c r="H194" s="2">
        <v>208</v>
      </c>
      <c r="I194" s="2">
        <v>27</v>
      </c>
      <c r="J194" s="2">
        <v>8</v>
      </c>
      <c r="K194" s="2">
        <v>8</v>
      </c>
      <c r="L194" s="2">
        <v>51</v>
      </c>
      <c r="M194" s="2">
        <v>68</v>
      </c>
      <c r="N194" s="2">
        <v>62</v>
      </c>
      <c r="O194" s="2" t="s">
        <v>62</v>
      </c>
      <c r="P194" s="2" t="s">
        <v>32</v>
      </c>
      <c r="Q194" s="2" t="s">
        <v>34</v>
      </c>
      <c r="R194" s="2" t="s">
        <v>32</v>
      </c>
      <c r="S194" s="2" t="s">
        <v>39</v>
      </c>
      <c r="T194" s="2" t="s">
        <v>42</v>
      </c>
      <c r="U194" s="6">
        <f t="shared" si="31"/>
        <v>0.321483771251932</v>
      </c>
      <c r="V194" s="6">
        <f t="shared" si="32"/>
        <v>0.40957446808510639</v>
      </c>
      <c r="W194" s="6">
        <f t="shared" si="33"/>
        <v>0.42503863987635238</v>
      </c>
      <c r="X194" s="6">
        <f t="shared" si="29"/>
        <v>0.83461310796145871</v>
      </c>
      <c r="Y194" s="6">
        <f t="shared" si="34"/>
        <v>9.5104895104895101E-2</v>
      </c>
      <c r="Z194" s="6">
        <f t="shared" si="35"/>
        <v>8.744710860366714E-2</v>
      </c>
      <c r="AA194" s="6">
        <f t="shared" si="30"/>
        <v>0.10355486862442037</v>
      </c>
    </row>
    <row r="195" spans="1:27" x14ac:dyDescent="0.2">
      <c r="A195" s="3" t="s">
        <v>201</v>
      </c>
      <c r="B195" s="3">
        <v>2002</v>
      </c>
      <c r="C195" s="3">
        <v>1</v>
      </c>
      <c r="D195" s="3" t="s">
        <v>89</v>
      </c>
      <c r="E195" s="3" t="s">
        <v>3</v>
      </c>
      <c r="F195" s="3">
        <v>604</v>
      </c>
      <c r="G195" s="3">
        <v>103</v>
      </c>
      <c r="H195" s="3">
        <v>190</v>
      </c>
      <c r="I195" s="3">
        <v>43</v>
      </c>
      <c r="J195" s="3">
        <v>3</v>
      </c>
      <c r="K195" s="3">
        <v>19</v>
      </c>
      <c r="L195" s="3">
        <v>96</v>
      </c>
      <c r="M195" s="3">
        <v>60</v>
      </c>
      <c r="N195" s="3">
        <v>70</v>
      </c>
      <c r="O195" s="3" t="s">
        <v>30</v>
      </c>
      <c r="P195" s="3" t="s">
        <v>34</v>
      </c>
      <c r="Q195" s="3" t="s">
        <v>40</v>
      </c>
      <c r="R195" s="3" t="s">
        <v>34</v>
      </c>
      <c r="S195" s="3" t="s">
        <v>38</v>
      </c>
      <c r="T195" s="3" t="s">
        <v>33</v>
      </c>
      <c r="U195" s="6">
        <f t="shared" si="31"/>
        <v>0.31456953642384106</v>
      </c>
      <c r="V195" s="6">
        <f t="shared" si="32"/>
        <v>0.37853949329359166</v>
      </c>
      <c r="W195" s="6">
        <f t="shared" si="33"/>
        <v>0.49006622516556292</v>
      </c>
      <c r="X195" s="6">
        <f>V195+W195</f>
        <v>0.86860571845915457</v>
      </c>
      <c r="Y195" s="6">
        <f t="shared" si="34"/>
        <v>9.036144578313253E-2</v>
      </c>
      <c r="Z195" s="6">
        <f t="shared" si="35"/>
        <v>0.10385756676557864</v>
      </c>
      <c r="AA195" s="6">
        <f>W195-U195</f>
        <v>0.17549668874172186</v>
      </c>
    </row>
    <row r="196" spans="1:27" x14ac:dyDescent="0.2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851E5-1348-1A4C-9EF9-F6F78D6B6E59}">
  <dimension ref="A1:AD215"/>
  <sheetViews>
    <sheetView topLeftCell="D1" zoomScale="64" workbookViewId="0">
      <selection activeCell="Z12" sqref="Z12"/>
    </sheetView>
  </sheetViews>
  <sheetFormatPr baseColWidth="10" defaultRowHeight="16" x14ac:dyDescent="0.2"/>
  <cols>
    <col min="1" max="1" width="11.1640625" customWidth="1"/>
    <col min="23" max="23" width="14" customWidth="1"/>
    <col min="24" max="24" width="17.5" customWidth="1"/>
    <col min="25" max="25" width="20.83203125" customWidth="1"/>
    <col min="26" max="26" width="17.6640625" customWidth="1"/>
    <col min="27" max="27" width="21.6640625" customWidth="1"/>
    <col min="28" max="28" width="13.1640625" bestFit="1" customWidth="1"/>
    <col min="29" max="29" width="13.83203125" customWidth="1"/>
    <col min="30" max="30" width="20.6640625" customWidth="1"/>
  </cols>
  <sheetData>
    <row r="1" spans="1:30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4</v>
      </c>
      <c r="K1" s="1" t="s">
        <v>5</v>
      </c>
      <c r="L1" s="1" t="s">
        <v>0</v>
      </c>
      <c r="M1" s="1" t="s">
        <v>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5" t="s">
        <v>293</v>
      </c>
      <c r="Y1" s="5" t="s">
        <v>294</v>
      </c>
      <c r="Z1" s="5" t="s">
        <v>295</v>
      </c>
      <c r="AA1" s="5" t="s">
        <v>296</v>
      </c>
      <c r="AB1" s="5" t="s">
        <v>298</v>
      </c>
      <c r="AC1" s="5" t="s">
        <v>297</v>
      </c>
      <c r="AD1" s="5" t="s">
        <v>299</v>
      </c>
    </row>
    <row r="2" spans="1:30" x14ac:dyDescent="0.2">
      <c r="A2" s="2" t="s">
        <v>172</v>
      </c>
      <c r="B2" s="2">
        <v>2003</v>
      </c>
      <c r="C2" s="2">
        <v>1</v>
      </c>
      <c r="D2" s="2" t="s">
        <v>191</v>
      </c>
      <c r="E2" s="2" t="s">
        <v>6</v>
      </c>
      <c r="F2" s="2">
        <v>159</v>
      </c>
      <c r="G2" s="2">
        <v>638</v>
      </c>
      <c r="H2" s="2">
        <v>80</v>
      </c>
      <c r="I2" s="2">
        <v>201</v>
      </c>
      <c r="J2" s="2">
        <v>49</v>
      </c>
      <c r="K2" s="2">
        <v>4</v>
      </c>
      <c r="L2" s="2">
        <v>29</v>
      </c>
      <c r="M2" s="2">
        <v>116</v>
      </c>
      <c r="N2" s="2">
        <v>6</v>
      </c>
      <c r="O2" s="2">
        <v>3</v>
      </c>
      <c r="P2" s="2">
        <v>31</v>
      </c>
      <c r="Q2" s="2">
        <v>83</v>
      </c>
      <c r="R2" s="2" t="s">
        <v>37</v>
      </c>
      <c r="S2" s="2" t="s">
        <v>28</v>
      </c>
      <c r="T2" s="2" t="s">
        <v>28</v>
      </c>
      <c r="U2" s="2" t="s">
        <v>33</v>
      </c>
      <c r="V2" s="2" t="s">
        <v>44</v>
      </c>
      <c r="W2" s="2" t="s">
        <v>41</v>
      </c>
      <c r="X2" s="6">
        <f>I2/G2</f>
        <v>0.31504702194357365</v>
      </c>
      <c r="Y2" s="6">
        <f>(I2+P2+R2+S2)/(G2+P2+R2+S2+U2)</f>
        <v>0.35431918008784774</v>
      </c>
      <c r="Z2" s="6">
        <f>((I2-J2-K2-L2)+(2*J2)+(3*K2)+(4*L2))/G2</f>
        <v>0.54075235109717867</v>
      </c>
      <c r="AA2" s="6">
        <f>Y2+Z2</f>
        <v>0.89507153118502636</v>
      </c>
      <c r="AB2" s="6">
        <f>P2/(P2+G2)</f>
        <v>4.6337817638266068E-2</v>
      </c>
      <c r="AC2" s="6">
        <f>Q2/(Q2+G2)</f>
        <v>0.11511789181692095</v>
      </c>
      <c r="AD2" s="6">
        <f>Z2-X2</f>
        <v>0.22570532915360503</v>
      </c>
    </row>
    <row r="3" spans="1:30" x14ac:dyDescent="0.2">
      <c r="A3" s="3" t="s">
        <v>110</v>
      </c>
      <c r="B3" s="3">
        <v>2003</v>
      </c>
      <c r="C3" s="3">
        <v>1</v>
      </c>
      <c r="D3" s="3" t="s">
        <v>79</v>
      </c>
      <c r="E3" s="3" t="s">
        <v>3</v>
      </c>
      <c r="F3" s="3">
        <v>130</v>
      </c>
      <c r="G3" s="3">
        <v>390</v>
      </c>
      <c r="H3" s="3">
        <v>111</v>
      </c>
      <c r="I3" s="3">
        <v>133</v>
      </c>
      <c r="J3" s="3">
        <v>22</v>
      </c>
      <c r="K3" s="3">
        <v>1</v>
      </c>
      <c r="L3" s="3">
        <v>45</v>
      </c>
      <c r="M3" s="3">
        <v>90</v>
      </c>
      <c r="N3" s="3">
        <v>7</v>
      </c>
      <c r="O3" s="3">
        <v>0</v>
      </c>
      <c r="P3" s="3">
        <v>148</v>
      </c>
      <c r="Q3" s="3">
        <v>58</v>
      </c>
      <c r="R3" s="3" t="s">
        <v>235</v>
      </c>
      <c r="S3" s="3" t="s">
        <v>37</v>
      </c>
      <c r="T3" s="3" t="s">
        <v>28</v>
      </c>
      <c r="U3" s="3" t="s">
        <v>31</v>
      </c>
      <c r="V3" s="3" t="s">
        <v>41</v>
      </c>
      <c r="W3" s="3" t="s">
        <v>37</v>
      </c>
      <c r="X3" s="6">
        <f t="shared" ref="X3:X66" si="0">I3/G3</f>
        <v>0.34102564102564104</v>
      </c>
      <c r="Y3" s="6">
        <f t="shared" ref="Y3:Y66" si="1">(I3+P3+R3+S3)/(G3+P3+R3+S3+U3)</f>
        <v>0.5761047463175123</v>
      </c>
      <c r="Z3" s="6">
        <f t="shared" ref="Z3:Z66" si="2">((I3-J3-K3-L3)+(2*J3)+(3*K3)+(4*L3))/G3</f>
        <v>0.74871794871794872</v>
      </c>
      <c r="AA3" s="6">
        <f t="shared" ref="AA3:AA66" si="3">Y3+Z3</f>
        <v>1.3248226950354609</v>
      </c>
      <c r="AB3" s="6">
        <f t="shared" ref="AB3:AB66" si="4">P3/(P3+G3)</f>
        <v>0.27509293680297398</v>
      </c>
      <c r="AC3" s="6">
        <f t="shared" ref="AC3:AC66" si="5">Q3/(Q3+G3)</f>
        <v>0.12946428571428573</v>
      </c>
      <c r="AD3" s="6">
        <f t="shared" ref="AD3:AD66" si="6">Z3-X3</f>
        <v>0.40769230769230769</v>
      </c>
    </row>
    <row r="4" spans="1:30" x14ac:dyDescent="0.2">
      <c r="A4" s="2" t="s">
        <v>167</v>
      </c>
      <c r="B4" s="2">
        <v>2003</v>
      </c>
      <c r="C4" s="2">
        <v>1</v>
      </c>
      <c r="D4" s="2" t="s">
        <v>92</v>
      </c>
      <c r="E4" s="2" t="s">
        <v>6</v>
      </c>
      <c r="F4" s="2">
        <v>161</v>
      </c>
      <c r="G4" s="2">
        <v>570</v>
      </c>
      <c r="H4" s="2">
        <v>117</v>
      </c>
      <c r="I4" s="2">
        <v>172</v>
      </c>
      <c r="J4" s="2">
        <v>38</v>
      </c>
      <c r="K4" s="2">
        <v>1</v>
      </c>
      <c r="L4" s="2">
        <v>42</v>
      </c>
      <c r="M4" s="2">
        <v>145</v>
      </c>
      <c r="N4" s="2">
        <v>0</v>
      </c>
      <c r="O4" s="2">
        <v>0</v>
      </c>
      <c r="P4" s="2">
        <v>109</v>
      </c>
      <c r="Q4" s="2">
        <v>137</v>
      </c>
      <c r="R4" s="2" t="s">
        <v>63</v>
      </c>
      <c r="S4" s="2" t="s">
        <v>52</v>
      </c>
      <c r="T4" s="2" t="s">
        <v>28</v>
      </c>
      <c r="U4" s="2" t="s">
        <v>41</v>
      </c>
      <c r="V4" s="2" t="s">
        <v>42</v>
      </c>
      <c r="W4" s="2" t="s">
        <v>34</v>
      </c>
      <c r="X4" s="6">
        <f t="shared" si="0"/>
        <v>0.30175438596491228</v>
      </c>
      <c r="Y4" s="6">
        <f t="shared" si="1"/>
        <v>0.44368131868131866</v>
      </c>
      <c r="Z4" s="6">
        <f t="shared" si="2"/>
        <v>0.59298245614035083</v>
      </c>
      <c r="AA4" s="6">
        <f t="shared" si="3"/>
        <v>1.0366637748216694</v>
      </c>
      <c r="AB4" s="6">
        <f t="shared" si="4"/>
        <v>0.16053019145802652</v>
      </c>
      <c r="AC4" s="6">
        <f t="shared" si="5"/>
        <v>0.19377652050919378</v>
      </c>
      <c r="AD4" s="6">
        <f t="shared" si="6"/>
        <v>0.29122807017543856</v>
      </c>
    </row>
    <row r="5" spans="1:30" x14ac:dyDescent="0.2">
      <c r="A5" s="3" t="s">
        <v>168</v>
      </c>
      <c r="B5" s="3">
        <v>2003</v>
      </c>
      <c r="C5" s="3">
        <v>1</v>
      </c>
      <c r="D5" s="3" t="s">
        <v>60</v>
      </c>
      <c r="E5" s="3" t="s">
        <v>3</v>
      </c>
      <c r="F5" s="3">
        <v>137</v>
      </c>
      <c r="G5" s="3">
        <v>447</v>
      </c>
      <c r="H5" s="3">
        <v>89</v>
      </c>
      <c r="I5" s="3">
        <v>123</v>
      </c>
      <c r="J5" s="3">
        <v>32</v>
      </c>
      <c r="K5" s="3">
        <v>2</v>
      </c>
      <c r="L5" s="3">
        <v>39</v>
      </c>
      <c r="M5" s="3">
        <v>89</v>
      </c>
      <c r="N5" s="3">
        <v>1</v>
      </c>
      <c r="O5" s="3">
        <v>3</v>
      </c>
      <c r="P5" s="3">
        <v>77</v>
      </c>
      <c r="Q5" s="3">
        <v>127</v>
      </c>
      <c r="R5" s="3" t="s">
        <v>36</v>
      </c>
      <c r="S5" s="3" t="s">
        <v>33</v>
      </c>
      <c r="T5" s="3" t="s">
        <v>30</v>
      </c>
      <c r="U5" s="3" t="s">
        <v>31</v>
      </c>
      <c r="V5" s="3" t="s">
        <v>40</v>
      </c>
      <c r="W5" s="3" t="s">
        <v>39</v>
      </c>
      <c r="X5" s="6">
        <f t="shared" si="0"/>
        <v>0.27516778523489932</v>
      </c>
      <c r="Y5" s="6">
        <f t="shared" si="1"/>
        <v>0.39179104477611942</v>
      </c>
      <c r="Z5" s="6">
        <f t="shared" si="2"/>
        <v>0.6174496644295302</v>
      </c>
      <c r="AA5" s="6">
        <f t="shared" si="3"/>
        <v>1.0092407092056497</v>
      </c>
      <c r="AB5" s="6">
        <f t="shared" si="4"/>
        <v>0.14694656488549618</v>
      </c>
      <c r="AC5" s="6">
        <f t="shared" si="5"/>
        <v>0.22125435540069685</v>
      </c>
      <c r="AD5" s="6">
        <f t="shared" si="6"/>
        <v>0.34228187919463088</v>
      </c>
    </row>
    <row r="6" spans="1:30" x14ac:dyDescent="0.2">
      <c r="A6" s="2" t="s">
        <v>207</v>
      </c>
      <c r="B6" s="2">
        <v>2003</v>
      </c>
      <c r="C6" s="2">
        <v>1</v>
      </c>
      <c r="D6" s="2" t="s">
        <v>191</v>
      </c>
      <c r="E6" s="2" t="s">
        <v>6</v>
      </c>
      <c r="F6" s="2">
        <v>91</v>
      </c>
      <c r="G6" s="2">
        <v>319</v>
      </c>
      <c r="H6" s="2">
        <v>53</v>
      </c>
      <c r="I6" s="2">
        <v>79</v>
      </c>
      <c r="J6" s="2">
        <v>17</v>
      </c>
      <c r="K6" s="2">
        <v>2</v>
      </c>
      <c r="L6" s="2">
        <v>16</v>
      </c>
      <c r="M6" s="2">
        <v>50</v>
      </c>
      <c r="N6" s="2">
        <v>7</v>
      </c>
      <c r="O6" s="2">
        <v>2</v>
      </c>
      <c r="P6" s="2">
        <v>46</v>
      </c>
      <c r="Q6" s="2">
        <v>73</v>
      </c>
      <c r="R6" s="2" t="s">
        <v>33</v>
      </c>
      <c r="S6" s="2" t="s">
        <v>30</v>
      </c>
      <c r="T6" s="2" t="s">
        <v>28</v>
      </c>
      <c r="U6" s="2" t="s">
        <v>30</v>
      </c>
      <c r="V6" s="2" t="s">
        <v>39</v>
      </c>
      <c r="W6" s="2" t="s">
        <v>32</v>
      </c>
      <c r="X6" s="6">
        <f t="shared" si="0"/>
        <v>0.2476489028213166</v>
      </c>
      <c r="Y6" s="6">
        <f t="shared" si="1"/>
        <v>0.35040431266846361</v>
      </c>
      <c r="Z6" s="6">
        <f t="shared" si="2"/>
        <v>0.46394984326018807</v>
      </c>
      <c r="AA6" s="6">
        <f t="shared" si="3"/>
        <v>0.81435415592865168</v>
      </c>
      <c r="AB6" s="6">
        <f t="shared" si="4"/>
        <v>0.12602739726027398</v>
      </c>
      <c r="AC6" s="6">
        <f t="shared" si="5"/>
        <v>0.18622448979591838</v>
      </c>
      <c r="AD6" s="6">
        <f t="shared" si="6"/>
        <v>0.21630094043887146</v>
      </c>
    </row>
    <row r="7" spans="1:30" x14ac:dyDescent="0.2">
      <c r="A7" s="3" t="s">
        <v>193</v>
      </c>
      <c r="B7" s="3">
        <v>2003</v>
      </c>
      <c r="C7" s="3">
        <v>1</v>
      </c>
      <c r="D7" s="3" t="s">
        <v>164</v>
      </c>
      <c r="E7" s="3" t="s">
        <v>3</v>
      </c>
      <c r="F7" s="3">
        <v>160</v>
      </c>
      <c r="G7" s="3">
        <v>583</v>
      </c>
      <c r="H7" s="3">
        <v>135</v>
      </c>
      <c r="I7" s="3">
        <v>209</v>
      </c>
      <c r="J7" s="3">
        <v>49</v>
      </c>
      <c r="K7" s="3">
        <v>5</v>
      </c>
      <c r="L7" s="3">
        <v>33</v>
      </c>
      <c r="M7" s="3">
        <v>117</v>
      </c>
      <c r="N7" s="3">
        <v>0</v>
      </c>
      <c r="O7" s="3">
        <v>4</v>
      </c>
      <c r="P7" s="3">
        <v>111</v>
      </c>
      <c r="Q7" s="3">
        <v>72</v>
      </c>
      <c r="R7" s="3" t="s">
        <v>49</v>
      </c>
      <c r="S7" s="3" t="s">
        <v>31</v>
      </c>
      <c r="T7" s="3" t="s">
        <v>28</v>
      </c>
      <c r="U7" s="3" t="s">
        <v>41</v>
      </c>
      <c r="V7" s="3" t="s">
        <v>52</v>
      </c>
      <c r="W7" s="3" t="s">
        <v>34</v>
      </c>
      <c r="X7" s="6">
        <f t="shared" si="0"/>
        <v>0.35849056603773582</v>
      </c>
      <c r="Y7" s="6">
        <f t="shared" si="1"/>
        <v>0.47375690607734805</v>
      </c>
      <c r="Z7" s="6">
        <f t="shared" si="2"/>
        <v>0.6295025728987993</v>
      </c>
      <c r="AA7" s="6">
        <f t="shared" si="3"/>
        <v>1.1032594789761474</v>
      </c>
      <c r="AB7" s="6">
        <f t="shared" si="4"/>
        <v>0.15994236311239193</v>
      </c>
      <c r="AC7" s="6">
        <f t="shared" si="5"/>
        <v>0.1099236641221374</v>
      </c>
      <c r="AD7" s="6">
        <f t="shared" si="6"/>
        <v>0.27101200686106347</v>
      </c>
    </row>
    <row r="8" spans="1:30" x14ac:dyDescent="0.2">
      <c r="A8" s="2" t="s">
        <v>178</v>
      </c>
      <c r="B8" s="2">
        <v>2003</v>
      </c>
      <c r="C8" s="2">
        <v>1</v>
      </c>
      <c r="D8" s="2" t="s">
        <v>69</v>
      </c>
      <c r="E8" s="2" t="s">
        <v>6</v>
      </c>
      <c r="F8" s="2">
        <v>34</v>
      </c>
      <c r="G8" s="2">
        <v>5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2</v>
      </c>
      <c r="R8" s="2" t="s">
        <v>28</v>
      </c>
      <c r="S8" s="2" t="s">
        <v>28</v>
      </c>
      <c r="T8" s="2" t="s">
        <v>30</v>
      </c>
      <c r="U8" s="2" t="s">
        <v>28</v>
      </c>
      <c r="V8" s="2" t="s">
        <v>28</v>
      </c>
      <c r="W8" s="2" t="s">
        <v>30</v>
      </c>
      <c r="X8" s="6">
        <f t="shared" si="0"/>
        <v>0.2</v>
      </c>
      <c r="Y8" s="6">
        <f t="shared" si="1"/>
        <v>0.2</v>
      </c>
      <c r="Z8" s="6">
        <f t="shared" si="2"/>
        <v>0.2</v>
      </c>
      <c r="AA8" s="6">
        <f t="shared" si="3"/>
        <v>0.4</v>
      </c>
      <c r="AB8" s="6">
        <f t="shared" si="4"/>
        <v>0</v>
      </c>
      <c r="AC8" s="6">
        <f t="shared" si="5"/>
        <v>0.2857142857142857</v>
      </c>
      <c r="AD8" s="6">
        <f t="shared" si="6"/>
        <v>0</v>
      </c>
    </row>
    <row r="9" spans="1:30" x14ac:dyDescent="0.2">
      <c r="A9" s="3" t="s">
        <v>161</v>
      </c>
      <c r="B9" s="3">
        <v>2003</v>
      </c>
      <c r="C9" s="3">
        <v>1</v>
      </c>
      <c r="D9" s="3" t="s">
        <v>85</v>
      </c>
      <c r="E9" s="3" t="s">
        <v>3</v>
      </c>
      <c r="F9" s="3">
        <v>129</v>
      </c>
      <c r="G9" s="3">
        <v>457</v>
      </c>
      <c r="H9" s="3">
        <v>89</v>
      </c>
      <c r="I9" s="3">
        <v>150</v>
      </c>
      <c r="J9" s="3">
        <v>29</v>
      </c>
      <c r="K9" s="3">
        <v>3</v>
      </c>
      <c r="L9" s="3">
        <v>43</v>
      </c>
      <c r="M9" s="3">
        <v>109</v>
      </c>
      <c r="N9" s="3">
        <v>0</v>
      </c>
      <c r="O9" s="3">
        <v>1</v>
      </c>
      <c r="P9" s="3">
        <v>33</v>
      </c>
      <c r="Q9" s="3">
        <v>90</v>
      </c>
      <c r="R9" s="3" t="s">
        <v>32</v>
      </c>
      <c r="S9" s="3" t="s">
        <v>33</v>
      </c>
      <c r="T9" s="3" t="s">
        <v>28</v>
      </c>
      <c r="U9" s="3" t="s">
        <v>30</v>
      </c>
      <c r="V9" s="3" t="s">
        <v>37</v>
      </c>
      <c r="W9" s="3" t="s">
        <v>31</v>
      </c>
      <c r="X9" s="6">
        <f t="shared" si="0"/>
        <v>0.32822757111597373</v>
      </c>
      <c r="Y9" s="6">
        <f t="shared" si="1"/>
        <v>0.38400000000000001</v>
      </c>
      <c r="Z9" s="6">
        <f t="shared" si="2"/>
        <v>0.68708971553610498</v>
      </c>
      <c r="AA9" s="6">
        <f t="shared" si="3"/>
        <v>1.071089715536105</v>
      </c>
      <c r="AB9" s="6">
        <f t="shared" si="4"/>
        <v>6.7346938775510207E-2</v>
      </c>
      <c r="AC9" s="6">
        <f t="shared" si="5"/>
        <v>0.16453382084095064</v>
      </c>
      <c r="AD9" s="6">
        <f t="shared" si="6"/>
        <v>0.35886214442013126</v>
      </c>
    </row>
    <row r="10" spans="1:30" x14ac:dyDescent="0.2">
      <c r="A10" s="2" t="s">
        <v>123</v>
      </c>
      <c r="B10" s="2">
        <v>2003</v>
      </c>
      <c r="C10" s="2">
        <v>1</v>
      </c>
      <c r="D10" s="2" t="s">
        <v>91</v>
      </c>
      <c r="E10" s="2" t="s">
        <v>6</v>
      </c>
      <c r="F10" s="2">
        <v>145</v>
      </c>
      <c r="G10" s="2">
        <v>497</v>
      </c>
      <c r="H10" s="2">
        <v>72</v>
      </c>
      <c r="I10" s="2">
        <v>146</v>
      </c>
      <c r="J10" s="2">
        <v>25</v>
      </c>
      <c r="K10" s="2">
        <v>0</v>
      </c>
      <c r="L10" s="2">
        <v>24</v>
      </c>
      <c r="M10" s="2">
        <v>98</v>
      </c>
      <c r="N10" s="2">
        <v>0</v>
      </c>
      <c r="O10" s="2">
        <v>1</v>
      </c>
      <c r="P10" s="2">
        <v>92</v>
      </c>
      <c r="Q10" s="2">
        <v>95</v>
      </c>
      <c r="R10" s="2" t="s">
        <v>41</v>
      </c>
      <c r="S10" s="2" t="s">
        <v>41</v>
      </c>
      <c r="T10" s="2" t="s">
        <v>28</v>
      </c>
      <c r="U10" s="2" t="s">
        <v>41</v>
      </c>
      <c r="V10" s="2" t="s">
        <v>47</v>
      </c>
      <c r="W10" s="2" t="s">
        <v>37</v>
      </c>
      <c r="X10" s="6">
        <f t="shared" si="0"/>
        <v>0.29376257545271628</v>
      </c>
      <c r="Y10" s="6">
        <f t="shared" si="1"/>
        <v>0.41311475409836068</v>
      </c>
      <c r="Z10" s="6">
        <f t="shared" si="2"/>
        <v>0.48893360160965793</v>
      </c>
      <c r="AA10" s="6">
        <f t="shared" si="3"/>
        <v>0.90204835570801856</v>
      </c>
      <c r="AB10" s="6">
        <f t="shared" si="4"/>
        <v>0.15619694397283532</v>
      </c>
      <c r="AC10" s="6">
        <f t="shared" si="5"/>
        <v>0.16047297297297297</v>
      </c>
      <c r="AD10" s="6">
        <f t="shared" si="6"/>
        <v>0.19517102615694165</v>
      </c>
    </row>
    <row r="11" spans="1:30" x14ac:dyDescent="0.2">
      <c r="A11" s="3" t="s">
        <v>238</v>
      </c>
      <c r="B11" s="3">
        <v>2003</v>
      </c>
      <c r="C11" s="3">
        <v>1</v>
      </c>
      <c r="D11" s="3" t="s">
        <v>71</v>
      </c>
      <c r="E11" s="3" t="s">
        <v>6</v>
      </c>
      <c r="F11" s="3">
        <v>163</v>
      </c>
      <c r="G11" s="3">
        <v>623</v>
      </c>
      <c r="H11" s="3">
        <v>82</v>
      </c>
      <c r="I11" s="3">
        <v>179</v>
      </c>
      <c r="J11" s="3">
        <v>42</v>
      </c>
      <c r="K11" s="3">
        <v>1</v>
      </c>
      <c r="L11" s="3">
        <v>16</v>
      </c>
      <c r="M11" s="3">
        <v>106</v>
      </c>
      <c r="N11" s="3">
        <v>2</v>
      </c>
      <c r="O11" s="3">
        <v>2</v>
      </c>
      <c r="P11" s="3">
        <v>63</v>
      </c>
      <c r="Q11" s="3">
        <v>86</v>
      </c>
      <c r="R11" s="3" t="s">
        <v>32</v>
      </c>
      <c r="S11" s="3" t="s">
        <v>34</v>
      </c>
      <c r="T11" s="3" t="s">
        <v>28</v>
      </c>
      <c r="U11" s="3" t="s">
        <v>36</v>
      </c>
      <c r="V11" s="3" t="s">
        <v>55</v>
      </c>
      <c r="W11" s="3" t="s">
        <v>39</v>
      </c>
      <c r="X11" s="6">
        <f t="shared" si="0"/>
        <v>0.28731942215088285</v>
      </c>
      <c r="Y11" s="6">
        <f t="shared" si="1"/>
        <v>0.35714285714285715</v>
      </c>
      <c r="Z11" s="6">
        <f t="shared" si="2"/>
        <v>0.434991974317817</v>
      </c>
      <c r="AA11" s="6">
        <f t="shared" si="3"/>
        <v>0.7921348314606742</v>
      </c>
      <c r="AB11" s="6">
        <f t="shared" si="4"/>
        <v>9.1836734693877556E-2</v>
      </c>
      <c r="AC11" s="6">
        <f t="shared" si="5"/>
        <v>0.12129760225669958</v>
      </c>
      <c r="AD11" s="6">
        <f t="shared" si="6"/>
        <v>0.14767255216693415</v>
      </c>
    </row>
    <row r="12" spans="1:30" x14ac:dyDescent="0.2">
      <c r="A12" s="2" t="s">
        <v>181</v>
      </c>
      <c r="B12" s="2">
        <v>2003</v>
      </c>
      <c r="C12" s="2">
        <v>1</v>
      </c>
      <c r="D12" s="2" t="s">
        <v>71</v>
      </c>
      <c r="E12" s="2" t="s">
        <v>6</v>
      </c>
      <c r="F12" s="2">
        <v>142</v>
      </c>
      <c r="G12" s="2">
        <v>481</v>
      </c>
      <c r="H12" s="2">
        <v>83</v>
      </c>
      <c r="I12" s="2">
        <v>135</v>
      </c>
      <c r="J12" s="2">
        <v>24</v>
      </c>
      <c r="K12" s="2">
        <v>0</v>
      </c>
      <c r="L12" s="2">
        <v>30</v>
      </c>
      <c r="M12" s="2">
        <v>101</v>
      </c>
      <c r="N12" s="2">
        <v>2</v>
      </c>
      <c r="O12" s="2">
        <v>4</v>
      </c>
      <c r="P12" s="2">
        <v>93</v>
      </c>
      <c r="Q12" s="2">
        <v>110</v>
      </c>
      <c r="R12" s="2" t="s">
        <v>36</v>
      </c>
      <c r="S12" s="2" t="s">
        <v>37</v>
      </c>
      <c r="T12" s="2" t="s">
        <v>28</v>
      </c>
      <c r="U12" s="2" t="s">
        <v>33</v>
      </c>
      <c r="V12" s="2" t="s">
        <v>35</v>
      </c>
      <c r="W12" s="2" t="s">
        <v>31</v>
      </c>
      <c r="X12" s="6">
        <f t="shared" si="0"/>
        <v>0.28066528066528068</v>
      </c>
      <c r="Y12" s="6">
        <f t="shared" si="1"/>
        <v>0.41077441077441079</v>
      </c>
      <c r="Z12" s="6">
        <f t="shared" si="2"/>
        <v>0.51767151767151764</v>
      </c>
      <c r="AA12" s="6">
        <f t="shared" si="3"/>
        <v>0.92844592844592844</v>
      </c>
      <c r="AB12" s="6">
        <f t="shared" si="4"/>
        <v>0.16202090592334495</v>
      </c>
      <c r="AC12" s="6">
        <f t="shared" si="5"/>
        <v>0.18612521150592218</v>
      </c>
      <c r="AD12" s="6">
        <f t="shared" si="6"/>
        <v>0.23700623700623696</v>
      </c>
    </row>
    <row r="13" spans="1:30" x14ac:dyDescent="0.2">
      <c r="A13" s="3" t="s">
        <v>225</v>
      </c>
      <c r="B13" s="3">
        <v>2003</v>
      </c>
      <c r="C13" s="3">
        <v>1</v>
      </c>
      <c r="D13" s="3" t="s">
        <v>60</v>
      </c>
      <c r="E13" s="3" t="s">
        <v>3</v>
      </c>
      <c r="F13" s="3">
        <v>157</v>
      </c>
      <c r="G13" s="3">
        <v>591</v>
      </c>
      <c r="H13" s="3">
        <v>137</v>
      </c>
      <c r="I13" s="3">
        <v>212</v>
      </c>
      <c r="J13" s="3">
        <v>51</v>
      </c>
      <c r="K13" s="3">
        <v>1</v>
      </c>
      <c r="L13" s="3">
        <v>43</v>
      </c>
      <c r="M13" s="3">
        <v>124</v>
      </c>
      <c r="N13" s="3">
        <v>5</v>
      </c>
      <c r="O13" s="3">
        <v>1</v>
      </c>
      <c r="P13" s="3">
        <v>79</v>
      </c>
      <c r="Q13" s="3">
        <v>65</v>
      </c>
      <c r="R13" s="3" t="s">
        <v>38</v>
      </c>
      <c r="S13" s="3" t="s">
        <v>37</v>
      </c>
      <c r="T13" s="3" t="s">
        <v>28</v>
      </c>
      <c r="U13" s="3" t="s">
        <v>32</v>
      </c>
      <c r="V13" s="3" t="s">
        <v>35</v>
      </c>
      <c r="W13" s="3" t="s">
        <v>41</v>
      </c>
      <c r="X13" s="6">
        <f t="shared" si="0"/>
        <v>0.35871404399323181</v>
      </c>
      <c r="Y13" s="6">
        <f t="shared" si="1"/>
        <v>0.44906743185078912</v>
      </c>
      <c r="Z13" s="6">
        <f t="shared" si="2"/>
        <v>0.66666666666666663</v>
      </c>
      <c r="AA13" s="6">
        <f t="shared" si="3"/>
        <v>1.1157340985174558</v>
      </c>
      <c r="AB13" s="6">
        <f t="shared" si="4"/>
        <v>0.11791044776119403</v>
      </c>
      <c r="AC13" s="6">
        <f t="shared" si="5"/>
        <v>9.9085365853658541E-2</v>
      </c>
      <c r="AD13" s="6">
        <f t="shared" si="6"/>
        <v>0.30795262267343482</v>
      </c>
    </row>
    <row r="14" spans="1:30" x14ac:dyDescent="0.2">
      <c r="A14" s="2" t="s">
        <v>189</v>
      </c>
      <c r="B14" s="2">
        <v>2003</v>
      </c>
      <c r="C14" s="2">
        <v>1</v>
      </c>
      <c r="D14" s="2" t="s">
        <v>60</v>
      </c>
      <c r="E14" s="2" t="s">
        <v>3</v>
      </c>
      <c r="F14" s="2">
        <v>157</v>
      </c>
      <c r="G14" s="2">
        <v>587</v>
      </c>
      <c r="H14" s="2">
        <v>96</v>
      </c>
      <c r="I14" s="2">
        <v>194</v>
      </c>
      <c r="J14" s="2">
        <v>47</v>
      </c>
      <c r="K14" s="2">
        <v>1</v>
      </c>
      <c r="L14" s="2">
        <v>13</v>
      </c>
      <c r="M14" s="2">
        <v>100</v>
      </c>
      <c r="N14" s="2">
        <v>34</v>
      </c>
      <c r="O14" s="2">
        <v>7</v>
      </c>
      <c r="P14" s="2">
        <v>65</v>
      </c>
      <c r="Q14" s="2">
        <v>54</v>
      </c>
      <c r="R14" s="2" t="s">
        <v>38</v>
      </c>
      <c r="S14" s="2" t="s">
        <v>30</v>
      </c>
      <c r="T14" s="2" t="s">
        <v>34</v>
      </c>
      <c r="U14" s="2" t="s">
        <v>41</v>
      </c>
      <c r="V14" s="2" t="s">
        <v>49</v>
      </c>
      <c r="W14" s="2" t="s">
        <v>36</v>
      </c>
      <c r="X14" s="6">
        <f t="shared" si="0"/>
        <v>0.33049403747870526</v>
      </c>
      <c r="Y14" s="6">
        <f t="shared" si="1"/>
        <v>0.40476190476190477</v>
      </c>
      <c r="Z14" s="6">
        <f t="shared" si="2"/>
        <v>0.48040885860306642</v>
      </c>
      <c r="AA14" s="6">
        <f t="shared" si="3"/>
        <v>0.88517076336497125</v>
      </c>
      <c r="AB14" s="6">
        <f t="shared" si="4"/>
        <v>9.9693251533742325E-2</v>
      </c>
      <c r="AC14" s="6">
        <f t="shared" si="5"/>
        <v>8.4243369734789394E-2</v>
      </c>
      <c r="AD14" s="6">
        <f t="shared" si="6"/>
        <v>0.14991482112436116</v>
      </c>
    </row>
    <row r="15" spans="1:30" x14ac:dyDescent="0.2">
      <c r="A15" s="3" t="s">
        <v>173</v>
      </c>
      <c r="B15" s="3">
        <v>2003</v>
      </c>
      <c r="C15" s="3">
        <v>1</v>
      </c>
      <c r="D15" s="3" t="s">
        <v>90</v>
      </c>
      <c r="E15" s="3" t="s">
        <v>6</v>
      </c>
      <c r="F15" s="3">
        <v>161</v>
      </c>
      <c r="G15" s="3">
        <v>607</v>
      </c>
      <c r="H15" s="3">
        <v>124</v>
      </c>
      <c r="I15" s="3">
        <v>181</v>
      </c>
      <c r="J15" s="3">
        <v>30</v>
      </c>
      <c r="K15" s="3">
        <v>6</v>
      </c>
      <c r="L15" s="3">
        <v>47</v>
      </c>
      <c r="M15" s="3">
        <v>118</v>
      </c>
      <c r="N15" s="3">
        <v>17</v>
      </c>
      <c r="O15" s="3">
        <v>3</v>
      </c>
      <c r="P15" s="3">
        <v>87</v>
      </c>
      <c r="Q15" s="3">
        <v>126</v>
      </c>
      <c r="R15" s="3" t="s">
        <v>37</v>
      </c>
      <c r="S15" s="3" t="s">
        <v>44</v>
      </c>
      <c r="T15" s="3" t="s">
        <v>28</v>
      </c>
      <c r="U15" s="3" t="s">
        <v>36</v>
      </c>
      <c r="V15" s="3" t="s">
        <v>50</v>
      </c>
      <c r="W15" s="3" t="s">
        <v>36</v>
      </c>
      <c r="X15" s="6">
        <f t="shared" si="0"/>
        <v>0.29818780889621088</v>
      </c>
      <c r="Y15" s="6">
        <f t="shared" si="1"/>
        <v>0.40413793103448276</v>
      </c>
      <c r="Z15" s="6">
        <f t="shared" si="2"/>
        <v>0.59967051070840194</v>
      </c>
      <c r="AA15" s="6">
        <f t="shared" si="3"/>
        <v>1.0038084417428847</v>
      </c>
      <c r="AB15" s="6">
        <f t="shared" si="4"/>
        <v>0.12536023054755044</v>
      </c>
      <c r="AC15" s="6">
        <f t="shared" si="5"/>
        <v>0.17189631650750342</v>
      </c>
      <c r="AD15" s="6">
        <f t="shared" si="6"/>
        <v>0.30148270181219106</v>
      </c>
    </row>
    <row r="16" spans="1:30" x14ac:dyDescent="0.2">
      <c r="A16" s="2" t="s">
        <v>190</v>
      </c>
      <c r="B16" s="2">
        <v>2003</v>
      </c>
      <c r="C16" s="2">
        <v>1</v>
      </c>
      <c r="D16" s="2" t="s">
        <v>60</v>
      </c>
      <c r="E16" s="2" t="s">
        <v>3</v>
      </c>
      <c r="F16" s="2">
        <v>154</v>
      </c>
      <c r="G16" s="2">
        <v>559</v>
      </c>
      <c r="H16" s="2">
        <v>98</v>
      </c>
      <c r="I16" s="2">
        <v>160</v>
      </c>
      <c r="J16" s="2">
        <v>49</v>
      </c>
      <c r="K16" s="2">
        <v>1</v>
      </c>
      <c r="L16" s="2">
        <v>28</v>
      </c>
      <c r="M16" s="2">
        <v>104</v>
      </c>
      <c r="N16" s="2">
        <v>13</v>
      </c>
      <c r="O16" s="2">
        <v>3</v>
      </c>
      <c r="P16" s="2">
        <v>82</v>
      </c>
      <c r="Q16" s="2">
        <v>104</v>
      </c>
      <c r="R16" s="2" t="s">
        <v>32</v>
      </c>
      <c r="S16" s="2" t="s">
        <v>42</v>
      </c>
      <c r="T16" s="2" t="s">
        <v>28</v>
      </c>
      <c r="U16" s="2" t="s">
        <v>41</v>
      </c>
      <c r="V16" s="2" t="s">
        <v>52</v>
      </c>
      <c r="W16" s="2" t="s">
        <v>32</v>
      </c>
      <c r="X16" s="6">
        <f t="shared" si="0"/>
        <v>0.28622540250447226</v>
      </c>
      <c r="Y16" s="6">
        <f t="shared" si="1"/>
        <v>0.38670694864048338</v>
      </c>
      <c r="Z16" s="6">
        <f t="shared" si="2"/>
        <v>0.52772808586762077</v>
      </c>
      <c r="AA16" s="6">
        <f t="shared" si="3"/>
        <v>0.91443503450810415</v>
      </c>
      <c r="AB16" s="6">
        <f t="shared" si="4"/>
        <v>0.12792511700468018</v>
      </c>
      <c r="AC16" s="6">
        <f t="shared" si="5"/>
        <v>0.15686274509803921</v>
      </c>
      <c r="AD16" s="6">
        <f t="shared" si="6"/>
        <v>0.24150268336314851</v>
      </c>
    </row>
    <row r="17" spans="1:30" x14ac:dyDescent="0.2">
      <c r="A17" s="3" t="s">
        <v>182</v>
      </c>
      <c r="B17" s="3">
        <v>2003</v>
      </c>
      <c r="C17" s="3">
        <v>1</v>
      </c>
      <c r="D17" s="3" t="s">
        <v>79</v>
      </c>
      <c r="E17" s="3" t="s">
        <v>3</v>
      </c>
      <c r="F17" s="3">
        <v>29</v>
      </c>
      <c r="G17" s="3">
        <v>61</v>
      </c>
      <c r="H17" s="3">
        <v>2</v>
      </c>
      <c r="I17" s="3">
        <v>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2</v>
      </c>
      <c r="Q17" s="3">
        <v>30</v>
      </c>
      <c r="R17" s="3" t="s">
        <v>28</v>
      </c>
      <c r="S17" s="3" t="s">
        <v>28</v>
      </c>
      <c r="T17" s="3" t="s">
        <v>44</v>
      </c>
      <c r="U17" s="3" t="s">
        <v>28</v>
      </c>
      <c r="V17" s="3" t="s">
        <v>28</v>
      </c>
      <c r="W17" s="3" t="s">
        <v>30</v>
      </c>
      <c r="X17" s="6">
        <f t="shared" si="0"/>
        <v>6.5573770491803282E-2</v>
      </c>
      <c r="Y17" s="6">
        <f t="shared" si="1"/>
        <v>9.5238095238095233E-2</v>
      </c>
      <c r="Z17" s="6">
        <f t="shared" si="2"/>
        <v>6.5573770491803282E-2</v>
      </c>
      <c r="AA17" s="6">
        <f t="shared" si="3"/>
        <v>0.16081186572989853</v>
      </c>
      <c r="AB17" s="6">
        <f t="shared" si="4"/>
        <v>3.1746031746031744E-2</v>
      </c>
      <c r="AC17" s="6">
        <f t="shared" si="5"/>
        <v>0.32967032967032966</v>
      </c>
      <c r="AD17" s="6">
        <f t="shared" si="6"/>
        <v>0</v>
      </c>
    </row>
    <row r="18" spans="1:30" x14ac:dyDescent="0.2">
      <c r="A18" s="2" t="s">
        <v>134</v>
      </c>
      <c r="B18" s="2">
        <v>2003</v>
      </c>
      <c r="C18" s="2">
        <v>1</v>
      </c>
      <c r="D18" s="2" t="s">
        <v>85</v>
      </c>
      <c r="E18" s="2" t="s">
        <v>3</v>
      </c>
      <c r="F18" s="2">
        <v>155</v>
      </c>
      <c r="G18" s="2">
        <v>576</v>
      </c>
      <c r="H18" s="2">
        <v>126</v>
      </c>
      <c r="I18" s="2">
        <v>190</v>
      </c>
      <c r="J18" s="2">
        <v>37</v>
      </c>
      <c r="K18" s="2">
        <v>2</v>
      </c>
      <c r="L18" s="2">
        <v>39</v>
      </c>
      <c r="M18" s="2">
        <v>132</v>
      </c>
      <c r="N18" s="2">
        <v>18</v>
      </c>
      <c r="O18" s="2">
        <v>4</v>
      </c>
      <c r="P18" s="2">
        <v>86</v>
      </c>
      <c r="Q18" s="2">
        <v>55</v>
      </c>
      <c r="R18" s="2" t="s">
        <v>36</v>
      </c>
      <c r="S18" s="2" t="s">
        <v>39</v>
      </c>
      <c r="T18" s="2" t="s">
        <v>28</v>
      </c>
      <c r="U18" s="2" t="s">
        <v>39</v>
      </c>
      <c r="V18" s="2" t="s">
        <v>50</v>
      </c>
      <c r="W18" s="2" t="s">
        <v>42</v>
      </c>
      <c r="X18" s="6">
        <f t="shared" si="0"/>
        <v>0.3298611111111111</v>
      </c>
      <c r="Y18" s="6">
        <f t="shared" si="1"/>
        <v>0.42397660818713451</v>
      </c>
      <c r="Z18" s="6">
        <f t="shared" si="2"/>
        <v>0.60416666666666663</v>
      </c>
      <c r="AA18" s="6">
        <f t="shared" si="3"/>
        <v>1.0281432748538011</v>
      </c>
      <c r="AB18" s="6">
        <f t="shared" si="4"/>
        <v>0.12990936555891239</v>
      </c>
      <c r="AC18" s="6">
        <f t="shared" si="5"/>
        <v>8.7163232963549928E-2</v>
      </c>
      <c r="AD18" s="6">
        <f t="shared" si="6"/>
        <v>0.27430555555555552</v>
      </c>
    </row>
    <row r="19" spans="1:30" x14ac:dyDescent="0.2">
      <c r="A19" s="3" t="s">
        <v>213</v>
      </c>
      <c r="B19" s="3">
        <v>2003</v>
      </c>
      <c r="C19" s="3">
        <v>1</v>
      </c>
      <c r="D19" s="3" t="s">
        <v>71</v>
      </c>
      <c r="E19" s="3" t="s">
        <v>6</v>
      </c>
      <c r="F19" s="3">
        <v>156</v>
      </c>
      <c r="G19" s="3">
        <v>682</v>
      </c>
      <c r="H19" s="3">
        <v>114</v>
      </c>
      <c r="I19" s="3">
        <v>198</v>
      </c>
      <c r="J19" s="3">
        <v>36</v>
      </c>
      <c r="K19" s="3">
        <v>5</v>
      </c>
      <c r="L19" s="3">
        <v>38</v>
      </c>
      <c r="M19" s="3">
        <v>91</v>
      </c>
      <c r="N19" s="3">
        <v>35</v>
      </c>
      <c r="O19" s="3">
        <v>8</v>
      </c>
      <c r="P19" s="3">
        <v>38</v>
      </c>
      <c r="Q19" s="3">
        <v>130</v>
      </c>
      <c r="R19" s="3" t="s">
        <v>41</v>
      </c>
      <c r="S19" s="3" t="s">
        <v>38</v>
      </c>
      <c r="T19" s="3" t="s">
        <v>28</v>
      </c>
      <c r="U19" s="3" t="s">
        <v>31</v>
      </c>
      <c r="V19" s="3" t="s">
        <v>39</v>
      </c>
      <c r="W19" s="3" t="s">
        <v>33</v>
      </c>
      <c r="X19" s="6">
        <f t="shared" si="0"/>
        <v>0.29032258064516131</v>
      </c>
      <c r="Y19" s="6">
        <f t="shared" si="1"/>
        <v>0.34412955465587042</v>
      </c>
      <c r="Z19" s="6">
        <f t="shared" si="2"/>
        <v>0.52492668621700878</v>
      </c>
      <c r="AA19" s="6">
        <f t="shared" si="3"/>
        <v>0.86905624087287925</v>
      </c>
      <c r="AB19" s="6">
        <f t="shared" si="4"/>
        <v>5.2777777777777778E-2</v>
      </c>
      <c r="AC19" s="6">
        <f t="shared" si="5"/>
        <v>0.16009852216748768</v>
      </c>
      <c r="AD19" s="6">
        <f t="shared" si="6"/>
        <v>0.23460410557184747</v>
      </c>
    </row>
    <row r="20" spans="1:30" x14ac:dyDescent="0.2">
      <c r="A20" s="2" t="s">
        <v>228</v>
      </c>
      <c r="B20" s="2">
        <v>2003</v>
      </c>
      <c r="C20" s="2">
        <v>1</v>
      </c>
      <c r="D20" s="2" t="s">
        <v>91</v>
      </c>
      <c r="E20" s="2" t="s">
        <v>6</v>
      </c>
      <c r="F20" s="2">
        <v>159</v>
      </c>
      <c r="G20" s="2">
        <v>679</v>
      </c>
      <c r="H20" s="2">
        <v>111</v>
      </c>
      <c r="I20" s="2">
        <v>212</v>
      </c>
      <c r="J20" s="2">
        <v>29</v>
      </c>
      <c r="K20" s="2">
        <v>8</v>
      </c>
      <c r="L20" s="2">
        <v>13</v>
      </c>
      <c r="M20" s="2">
        <v>62</v>
      </c>
      <c r="N20" s="2">
        <v>34</v>
      </c>
      <c r="O20" s="2">
        <v>8</v>
      </c>
      <c r="P20" s="2">
        <v>36</v>
      </c>
      <c r="Q20" s="2">
        <v>69</v>
      </c>
      <c r="R20" s="2" t="s">
        <v>41</v>
      </c>
      <c r="S20" s="2" t="s">
        <v>36</v>
      </c>
      <c r="T20" s="2" t="s">
        <v>34</v>
      </c>
      <c r="U20" s="2" t="s">
        <v>30</v>
      </c>
      <c r="V20" s="2" t="s">
        <v>34</v>
      </c>
      <c r="W20" s="2" t="s">
        <v>42</v>
      </c>
      <c r="X20" s="6">
        <f t="shared" si="0"/>
        <v>0.31222385861561119</v>
      </c>
      <c r="Y20" s="6">
        <f t="shared" si="1"/>
        <v>0.35802469135802467</v>
      </c>
      <c r="Z20" s="6">
        <f t="shared" si="2"/>
        <v>0.43593519882179677</v>
      </c>
      <c r="AA20" s="6">
        <f t="shared" si="3"/>
        <v>0.79395989017982149</v>
      </c>
      <c r="AB20" s="6">
        <f t="shared" si="4"/>
        <v>5.0349650349650353E-2</v>
      </c>
      <c r="AC20" s="6">
        <f t="shared" si="5"/>
        <v>9.2245989304812828E-2</v>
      </c>
      <c r="AD20" s="6">
        <f t="shared" si="6"/>
        <v>0.12371134020618557</v>
      </c>
    </row>
    <row r="21" spans="1:30" x14ac:dyDescent="0.2">
      <c r="A21" s="3" t="s">
        <v>201</v>
      </c>
      <c r="B21" s="3">
        <v>2003</v>
      </c>
      <c r="C21" s="3">
        <v>1</v>
      </c>
      <c r="D21" s="3" t="s">
        <v>89</v>
      </c>
      <c r="E21" s="3" t="s">
        <v>3</v>
      </c>
      <c r="F21" s="3">
        <v>144</v>
      </c>
      <c r="G21" s="3">
        <v>509</v>
      </c>
      <c r="H21" s="3">
        <v>77</v>
      </c>
      <c r="I21" s="3">
        <v>158</v>
      </c>
      <c r="J21" s="3">
        <v>36</v>
      </c>
      <c r="K21" s="3">
        <v>0</v>
      </c>
      <c r="L21" s="3">
        <v>15</v>
      </c>
      <c r="M21" s="3">
        <v>65</v>
      </c>
      <c r="N21" s="3">
        <v>3</v>
      </c>
      <c r="O21" s="3">
        <v>2</v>
      </c>
      <c r="P21" s="3">
        <v>69</v>
      </c>
      <c r="Q21" s="3">
        <v>50</v>
      </c>
      <c r="R21" s="3" t="s">
        <v>36</v>
      </c>
      <c r="S21" s="3" t="s">
        <v>41</v>
      </c>
      <c r="T21" s="3" t="s">
        <v>31</v>
      </c>
      <c r="U21" s="3" t="s">
        <v>32</v>
      </c>
      <c r="V21" s="3" t="s">
        <v>50</v>
      </c>
      <c r="W21" s="3" t="s">
        <v>33</v>
      </c>
      <c r="X21" s="6">
        <f t="shared" si="0"/>
        <v>0.31041257367387032</v>
      </c>
      <c r="Y21" s="6">
        <f t="shared" si="1"/>
        <v>0.40268456375838924</v>
      </c>
      <c r="Z21" s="6">
        <f t="shared" si="2"/>
        <v>0.46954813359528486</v>
      </c>
      <c r="AA21" s="6">
        <f t="shared" si="3"/>
        <v>0.87223269735367404</v>
      </c>
      <c r="AB21" s="6">
        <f t="shared" si="4"/>
        <v>0.11937716262975778</v>
      </c>
      <c r="AC21" s="6">
        <f t="shared" si="5"/>
        <v>8.9445438282647588E-2</v>
      </c>
      <c r="AD21" s="6">
        <f t="shared" si="6"/>
        <v>0.15913555992141454</v>
      </c>
    </row>
    <row r="22" spans="1:30" x14ac:dyDescent="0.2">
      <c r="A22" s="2" t="s">
        <v>212</v>
      </c>
      <c r="B22" s="2">
        <v>2004</v>
      </c>
      <c r="C22" s="2">
        <v>1</v>
      </c>
      <c r="D22" s="2" t="s">
        <v>82</v>
      </c>
      <c r="E22" s="2" t="s">
        <v>3</v>
      </c>
      <c r="F22" s="2">
        <v>160</v>
      </c>
      <c r="G22" s="2">
        <v>544</v>
      </c>
      <c r="H22" s="2">
        <v>104</v>
      </c>
      <c r="I22" s="2">
        <v>172</v>
      </c>
      <c r="J22" s="2">
        <v>40</v>
      </c>
      <c r="K22" s="2">
        <v>3</v>
      </c>
      <c r="L22" s="2">
        <v>30</v>
      </c>
      <c r="M22" s="2">
        <v>106</v>
      </c>
      <c r="N22" s="2">
        <v>9</v>
      </c>
      <c r="O22" s="2">
        <v>7</v>
      </c>
      <c r="P22" s="2">
        <v>127</v>
      </c>
      <c r="Q22" s="2">
        <v>101</v>
      </c>
      <c r="R22" s="2" t="s">
        <v>43</v>
      </c>
      <c r="S22" s="2" t="s">
        <v>37</v>
      </c>
      <c r="T22" s="2" t="s">
        <v>28</v>
      </c>
      <c r="U22" s="2" t="s">
        <v>36</v>
      </c>
      <c r="V22" s="2" t="s">
        <v>37</v>
      </c>
      <c r="W22" s="2" t="s">
        <v>39</v>
      </c>
      <c r="X22" s="6">
        <f t="shared" si="0"/>
        <v>0.31617647058823528</v>
      </c>
      <c r="Y22" s="6">
        <f t="shared" si="1"/>
        <v>0.4607703281027104</v>
      </c>
      <c r="Z22" s="6">
        <f t="shared" si="2"/>
        <v>0.56617647058823528</v>
      </c>
      <c r="AA22" s="6">
        <f t="shared" si="3"/>
        <v>1.0269467986909457</v>
      </c>
      <c r="AB22" s="6">
        <f t="shared" si="4"/>
        <v>0.18926974664679583</v>
      </c>
      <c r="AC22" s="6">
        <f t="shared" si="5"/>
        <v>0.15658914728682172</v>
      </c>
      <c r="AD22" s="6">
        <f t="shared" si="6"/>
        <v>0.25</v>
      </c>
    </row>
    <row r="23" spans="1:30" x14ac:dyDescent="0.2">
      <c r="A23" s="3" t="s">
        <v>110</v>
      </c>
      <c r="B23" s="3">
        <v>2004</v>
      </c>
      <c r="C23" s="3">
        <v>1</v>
      </c>
      <c r="D23" s="3" t="s">
        <v>79</v>
      </c>
      <c r="E23" s="3" t="s">
        <v>3</v>
      </c>
      <c r="F23" s="3">
        <v>147</v>
      </c>
      <c r="G23" s="3">
        <v>373</v>
      </c>
      <c r="H23" s="3">
        <v>129</v>
      </c>
      <c r="I23" s="3">
        <v>135</v>
      </c>
      <c r="J23" s="3">
        <v>27</v>
      </c>
      <c r="K23" s="3">
        <v>3</v>
      </c>
      <c r="L23" s="3">
        <v>45</v>
      </c>
      <c r="M23" s="3">
        <v>101</v>
      </c>
      <c r="N23" s="3">
        <v>6</v>
      </c>
      <c r="O23" s="3">
        <v>1</v>
      </c>
      <c r="P23" s="3">
        <v>232</v>
      </c>
      <c r="Q23" s="3">
        <v>41</v>
      </c>
      <c r="R23" s="3" t="s">
        <v>245</v>
      </c>
      <c r="S23" s="3" t="s">
        <v>42</v>
      </c>
      <c r="T23" s="3" t="s">
        <v>28</v>
      </c>
      <c r="U23" s="3" t="s">
        <v>34</v>
      </c>
      <c r="V23" s="3" t="s">
        <v>32</v>
      </c>
      <c r="W23" s="3" t="s">
        <v>41</v>
      </c>
      <c r="X23" s="6">
        <f t="shared" si="0"/>
        <v>0.36193029490616624</v>
      </c>
      <c r="Y23" s="6">
        <f t="shared" si="1"/>
        <v>0.67299864314789692</v>
      </c>
      <c r="Z23" s="6">
        <f t="shared" si="2"/>
        <v>0.81233243967828417</v>
      </c>
      <c r="AA23" s="6">
        <f t="shared" si="3"/>
        <v>1.485331082826181</v>
      </c>
      <c r="AB23" s="6">
        <f t="shared" si="4"/>
        <v>0.38347107438016531</v>
      </c>
      <c r="AC23" s="6">
        <f t="shared" si="5"/>
        <v>9.9033816425120769E-2</v>
      </c>
      <c r="AD23" s="6">
        <f t="shared" si="6"/>
        <v>0.45040214477211793</v>
      </c>
    </row>
    <row r="24" spans="1:30" x14ac:dyDescent="0.2">
      <c r="A24" s="2" t="s">
        <v>101</v>
      </c>
      <c r="B24" s="2">
        <v>2004</v>
      </c>
      <c r="C24" s="2">
        <v>1</v>
      </c>
      <c r="D24" s="2" t="s">
        <v>82</v>
      </c>
      <c r="E24" s="2" t="s">
        <v>3</v>
      </c>
      <c r="F24" s="2">
        <v>33</v>
      </c>
      <c r="G24" s="2">
        <v>72</v>
      </c>
      <c r="H24" s="2">
        <v>1</v>
      </c>
      <c r="I24" s="2">
        <v>12</v>
      </c>
      <c r="J24" s="2">
        <v>1</v>
      </c>
      <c r="K24" s="2">
        <v>0</v>
      </c>
      <c r="L24" s="2">
        <v>0</v>
      </c>
      <c r="M24" s="2">
        <v>7</v>
      </c>
      <c r="N24" s="2">
        <v>0</v>
      </c>
      <c r="O24" s="2">
        <v>0</v>
      </c>
      <c r="P24" s="2">
        <v>3</v>
      </c>
      <c r="Q24" s="2">
        <v>24</v>
      </c>
      <c r="R24" s="2" t="s">
        <v>28</v>
      </c>
      <c r="S24" s="2" t="s">
        <v>28</v>
      </c>
      <c r="T24" s="2" t="s">
        <v>34</v>
      </c>
      <c r="U24" s="2" t="s">
        <v>28</v>
      </c>
      <c r="V24" s="2" t="s">
        <v>31</v>
      </c>
      <c r="W24" s="2" t="s">
        <v>30</v>
      </c>
      <c r="X24" s="6">
        <f t="shared" si="0"/>
        <v>0.16666666666666666</v>
      </c>
      <c r="Y24" s="6">
        <f t="shared" si="1"/>
        <v>0.2</v>
      </c>
      <c r="Z24" s="6">
        <f t="shared" si="2"/>
        <v>0.18055555555555555</v>
      </c>
      <c r="AA24" s="6">
        <f t="shared" si="3"/>
        <v>0.38055555555555554</v>
      </c>
      <c r="AB24" s="6">
        <f t="shared" si="4"/>
        <v>0.04</v>
      </c>
      <c r="AC24" s="6">
        <f t="shared" si="5"/>
        <v>0.25</v>
      </c>
      <c r="AD24" s="6">
        <f t="shared" si="6"/>
        <v>1.3888888888888895E-2</v>
      </c>
    </row>
    <row r="25" spans="1:30" x14ac:dyDescent="0.2">
      <c r="A25" s="3" t="s">
        <v>176</v>
      </c>
      <c r="B25" s="3">
        <v>2004</v>
      </c>
      <c r="C25" s="3">
        <v>1</v>
      </c>
      <c r="D25" s="3" t="s">
        <v>71</v>
      </c>
      <c r="E25" s="3" t="s">
        <v>6</v>
      </c>
      <c r="F25" s="3">
        <v>80</v>
      </c>
      <c r="G25" s="3">
        <v>264</v>
      </c>
      <c r="H25" s="3">
        <v>33</v>
      </c>
      <c r="I25" s="3">
        <v>55</v>
      </c>
      <c r="J25" s="3">
        <v>9</v>
      </c>
      <c r="K25" s="3">
        <v>0</v>
      </c>
      <c r="L25" s="3">
        <v>12</v>
      </c>
      <c r="M25" s="3">
        <v>40</v>
      </c>
      <c r="N25" s="3">
        <v>0</v>
      </c>
      <c r="O25" s="3">
        <v>1</v>
      </c>
      <c r="P25" s="3">
        <v>47</v>
      </c>
      <c r="Q25" s="3">
        <v>62</v>
      </c>
      <c r="R25" s="3" t="s">
        <v>30</v>
      </c>
      <c r="S25" s="3" t="s">
        <v>39</v>
      </c>
      <c r="T25" s="3" t="s">
        <v>28</v>
      </c>
      <c r="U25" s="3" t="s">
        <v>34</v>
      </c>
      <c r="V25" s="3" t="s">
        <v>32</v>
      </c>
      <c r="W25" s="3" t="s">
        <v>34</v>
      </c>
      <c r="X25" s="6">
        <f t="shared" si="0"/>
        <v>0.20833333333333334</v>
      </c>
      <c r="Y25" s="6">
        <f t="shared" si="1"/>
        <v>0.34365325077399383</v>
      </c>
      <c r="Z25" s="6">
        <f t="shared" si="2"/>
        <v>0.37878787878787878</v>
      </c>
      <c r="AA25" s="6">
        <f t="shared" si="3"/>
        <v>0.72244112956187267</v>
      </c>
      <c r="AB25" s="6">
        <f t="shared" si="4"/>
        <v>0.15112540192926044</v>
      </c>
      <c r="AC25" s="6">
        <f t="shared" si="5"/>
        <v>0.19018404907975461</v>
      </c>
      <c r="AD25" s="6">
        <f t="shared" si="6"/>
        <v>0.17045454545454544</v>
      </c>
    </row>
    <row r="26" spans="1:30" x14ac:dyDescent="0.2">
      <c r="A26" s="2" t="s">
        <v>186</v>
      </c>
      <c r="B26" s="2">
        <v>2004</v>
      </c>
      <c r="C26" s="2">
        <v>1</v>
      </c>
      <c r="D26" s="2" t="s">
        <v>191</v>
      </c>
      <c r="E26" s="2" t="s">
        <v>6</v>
      </c>
      <c r="F26" s="2">
        <v>156</v>
      </c>
      <c r="G26" s="2">
        <v>612</v>
      </c>
      <c r="H26" s="2">
        <v>124</v>
      </c>
      <c r="I26" s="2">
        <v>206</v>
      </c>
      <c r="J26" s="2">
        <v>39</v>
      </c>
      <c r="K26" s="2">
        <v>2</v>
      </c>
      <c r="L26" s="2">
        <v>39</v>
      </c>
      <c r="M26" s="2">
        <v>126</v>
      </c>
      <c r="N26" s="2">
        <v>15</v>
      </c>
      <c r="O26" s="2">
        <v>3</v>
      </c>
      <c r="P26" s="2">
        <v>52</v>
      </c>
      <c r="Q26" s="2">
        <v>74</v>
      </c>
      <c r="R26" s="2" t="s">
        <v>43</v>
      </c>
      <c r="S26" s="2" t="s">
        <v>39</v>
      </c>
      <c r="T26" s="2" t="s">
        <v>28</v>
      </c>
      <c r="U26" s="2" t="s">
        <v>39</v>
      </c>
      <c r="V26" s="2" t="s">
        <v>52</v>
      </c>
      <c r="W26" s="2" t="s">
        <v>42</v>
      </c>
      <c r="X26" s="6">
        <f t="shared" si="0"/>
        <v>0.33660130718954251</v>
      </c>
      <c r="Y26" s="6">
        <f t="shared" si="1"/>
        <v>0.40345821325648418</v>
      </c>
      <c r="Z26" s="6">
        <f t="shared" si="2"/>
        <v>0.59803921568627449</v>
      </c>
      <c r="AA26" s="6">
        <f t="shared" si="3"/>
        <v>1.0014974289427587</v>
      </c>
      <c r="AB26" s="6">
        <f t="shared" si="4"/>
        <v>7.8313253012048195E-2</v>
      </c>
      <c r="AC26" s="6">
        <f t="shared" si="5"/>
        <v>0.10787172011661808</v>
      </c>
      <c r="AD26" s="6">
        <f t="shared" si="6"/>
        <v>0.26143790849673199</v>
      </c>
    </row>
    <row r="27" spans="1:30" x14ac:dyDescent="0.2">
      <c r="A27" s="3" t="s">
        <v>177</v>
      </c>
      <c r="B27" s="3">
        <v>2004</v>
      </c>
      <c r="C27" s="3">
        <v>1</v>
      </c>
      <c r="D27" s="3" t="s">
        <v>71</v>
      </c>
      <c r="E27" s="3" t="s">
        <v>6</v>
      </c>
      <c r="F27" s="3">
        <v>154</v>
      </c>
      <c r="G27" s="3">
        <v>643</v>
      </c>
      <c r="H27" s="3">
        <v>111</v>
      </c>
      <c r="I27" s="3">
        <v>188</v>
      </c>
      <c r="J27" s="3">
        <v>44</v>
      </c>
      <c r="K27" s="3">
        <v>1</v>
      </c>
      <c r="L27" s="3">
        <v>23</v>
      </c>
      <c r="M27" s="3">
        <v>78</v>
      </c>
      <c r="N27" s="3">
        <v>23</v>
      </c>
      <c r="O27" s="3">
        <v>4</v>
      </c>
      <c r="P27" s="3">
        <v>46</v>
      </c>
      <c r="Q27" s="3">
        <v>99</v>
      </c>
      <c r="R27" s="3" t="s">
        <v>30</v>
      </c>
      <c r="S27" s="3" t="s">
        <v>43</v>
      </c>
      <c r="T27" s="3" t="s">
        <v>50</v>
      </c>
      <c r="U27" s="3" t="s">
        <v>31</v>
      </c>
      <c r="V27" s="3" t="s">
        <v>52</v>
      </c>
      <c r="W27" s="3" t="s">
        <v>36</v>
      </c>
      <c r="X27" s="6">
        <f t="shared" si="0"/>
        <v>0.29237947122861585</v>
      </c>
      <c r="Y27" s="6">
        <f t="shared" si="1"/>
        <v>0.35269121813031162</v>
      </c>
      <c r="Z27" s="6">
        <f t="shared" si="2"/>
        <v>0.47122861586314152</v>
      </c>
      <c r="AA27" s="6">
        <f t="shared" si="3"/>
        <v>0.82391983399345314</v>
      </c>
      <c r="AB27" s="6">
        <f t="shared" si="4"/>
        <v>6.6763425253991288E-2</v>
      </c>
      <c r="AC27" s="6">
        <f t="shared" si="5"/>
        <v>0.13342318059299191</v>
      </c>
      <c r="AD27" s="6">
        <f t="shared" si="6"/>
        <v>0.17884914463452567</v>
      </c>
    </row>
    <row r="28" spans="1:30" x14ac:dyDescent="0.2">
      <c r="A28" s="2" t="s">
        <v>160</v>
      </c>
      <c r="B28" s="2">
        <v>2004</v>
      </c>
      <c r="C28" s="2">
        <v>1</v>
      </c>
      <c r="D28" s="2" t="s">
        <v>82</v>
      </c>
      <c r="E28" s="2" t="s">
        <v>3</v>
      </c>
      <c r="F28" s="2">
        <v>145</v>
      </c>
      <c r="G28" s="2">
        <v>540</v>
      </c>
      <c r="H28" s="2">
        <v>96</v>
      </c>
      <c r="I28" s="2">
        <v>156</v>
      </c>
      <c r="J28" s="2">
        <v>34</v>
      </c>
      <c r="K28" s="2">
        <v>8</v>
      </c>
      <c r="L28" s="2">
        <v>27</v>
      </c>
      <c r="M28" s="2">
        <v>107</v>
      </c>
      <c r="N28" s="2">
        <v>7</v>
      </c>
      <c r="O28" s="2">
        <v>3</v>
      </c>
      <c r="P28" s="2">
        <v>49</v>
      </c>
      <c r="Q28" s="2">
        <v>96</v>
      </c>
      <c r="R28" s="2" t="s">
        <v>34</v>
      </c>
      <c r="S28" s="2" t="s">
        <v>36</v>
      </c>
      <c r="T28" s="2" t="s">
        <v>28</v>
      </c>
      <c r="U28" s="2" t="s">
        <v>40</v>
      </c>
      <c r="V28" s="2" t="s">
        <v>63</v>
      </c>
      <c r="W28" s="2" t="s">
        <v>33</v>
      </c>
      <c r="X28" s="6">
        <f t="shared" si="0"/>
        <v>0.28888888888888886</v>
      </c>
      <c r="Y28" s="6">
        <f t="shared" si="1"/>
        <v>0.35139573070607555</v>
      </c>
      <c r="Z28" s="6">
        <f t="shared" si="2"/>
        <v>0.53148148148148144</v>
      </c>
      <c r="AA28" s="6">
        <f t="shared" si="3"/>
        <v>0.88287721218755699</v>
      </c>
      <c r="AB28" s="6">
        <f t="shared" si="4"/>
        <v>8.3191850594227498E-2</v>
      </c>
      <c r="AC28" s="6">
        <f t="shared" si="5"/>
        <v>0.15094339622641509</v>
      </c>
      <c r="AD28" s="6">
        <f t="shared" si="6"/>
        <v>0.24259259259259258</v>
      </c>
    </row>
    <row r="29" spans="1:30" x14ac:dyDescent="0.2">
      <c r="A29" s="3" t="s">
        <v>218</v>
      </c>
      <c r="B29" s="3">
        <v>2004</v>
      </c>
      <c r="C29" s="3">
        <v>1</v>
      </c>
      <c r="D29" s="3" t="s">
        <v>86</v>
      </c>
      <c r="E29" s="3" t="s">
        <v>6</v>
      </c>
      <c r="F29" s="3">
        <v>33</v>
      </c>
      <c r="G29" s="3">
        <v>4</v>
      </c>
      <c r="H29" s="3">
        <v>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</v>
      </c>
      <c r="Q29" s="3">
        <v>3</v>
      </c>
      <c r="R29" s="3" t="s">
        <v>28</v>
      </c>
      <c r="S29" s="3" t="s">
        <v>30</v>
      </c>
      <c r="T29" s="3" t="s">
        <v>28</v>
      </c>
      <c r="U29" s="3" t="s">
        <v>28</v>
      </c>
      <c r="V29" s="3" t="s">
        <v>28</v>
      </c>
      <c r="W29" s="3" t="s">
        <v>30</v>
      </c>
      <c r="X29" s="6">
        <f t="shared" si="0"/>
        <v>0</v>
      </c>
      <c r="Y29" s="6">
        <f t="shared" si="1"/>
        <v>0.33333333333333331</v>
      </c>
      <c r="Z29" s="6">
        <f t="shared" si="2"/>
        <v>0</v>
      </c>
      <c r="AA29" s="6">
        <f t="shared" si="3"/>
        <v>0.33333333333333331</v>
      </c>
      <c r="AB29" s="6">
        <f t="shared" si="4"/>
        <v>0.2</v>
      </c>
      <c r="AC29" s="6">
        <f t="shared" si="5"/>
        <v>0.42857142857142855</v>
      </c>
      <c r="AD29" s="6">
        <f t="shared" si="6"/>
        <v>0</v>
      </c>
    </row>
    <row r="30" spans="1:30" x14ac:dyDescent="0.2">
      <c r="A30" s="2" t="s">
        <v>163</v>
      </c>
      <c r="B30" s="2">
        <v>2004</v>
      </c>
      <c r="C30" s="2">
        <v>1</v>
      </c>
      <c r="D30" s="2" t="s">
        <v>83</v>
      </c>
      <c r="E30" s="2" t="s">
        <v>3</v>
      </c>
      <c r="F30" s="2">
        <v>129</v>
      </c>
      <c r="G30" s="2">
        <v>455</v>
      </c>
      <c r="H30" s="2">
        <v>47</v>
      </c>
      <c r="I30" s="2">
        <v>121</v>
      </c>
      <c r="J30" s="2">
        <v>21</v>
      </c>
      <c r="K30" s="2">
        <v>0</v>
      </c>
      <c r="L30" s="2">
        <v>20</v>
      </c>
      <c r="M30" s="2">
        <v>54</v>
      </c>
      <c r="N30" s="2">
        <v>0</v>
      </c>
      <c r="O30" s="2">
        <v>0</v>
      </c>
      <c r="P30" s="2">
        <v>68</v>
      </c>
      <c r="Q30" s="2">
        <v>78</v>
      </c>
      <c r="R30" s="2" t="s">
        <v>43</v>
      </c>
      <c r="S30" s="2" t="s">
        <v>31</v>
      </c>
      <c r="T30" s="2" t="s">
        <v>28</v>
      </c>
      <c r="U30" s="2" t="s">
        <v>34</v>
      </c>
      <c r="V30" s="2" t="s">
        <v>43</v>
      </c>
      <c r="W30" s="2" t="s">
        <v>31</v>
      </c>
      <c r="X30" s="6">
        <f t="shared" si="0"/>
        <v>0.26593406593406593</v>
      </c>
      <c r="Y30" s="6">
        <f t="shared" si="1"/>
        <v>0.37822878228782286</v>
      </c>
      <c r="Z30" s="6">
        <f t="shared" si="2"/>
        <v>0.44395604395604393</v>
      </c>
      <c r="AA30" s="6">
        <f t="shared" si="3"/>
        <v>0.8221848262438668</v>
      </c>
      <c r="AB30" s="6">
        <f t="shared" si="4"/>
        <v>0.13001912045889102</v>
      </c>
      <c r="AC30" s="6">
        <f t="shared" si="5"/>
        <v>0.14634146341463414</v>
      </c>
      <c r="AD30" s="6">
        <f t="shared" si="6"/>
        <v>0.178021978021978</v>
      </c>
    </row>
    <row r="31" spans="1:30" x14ac:dyDescent="0.2">
      <c r="A31" s="3" t="s">
        <v>225</v>
      </c>
      <c r="B31" s="3">
        <v>2004</v>
      </c>
      <c r="C31" s="3">
        <v>1</v>
      </c>
      <c r="D31" s="3" t="s">
        <v>60</v>
      </c>
      <c r="E31" s="3" t="s">
        <v>3</v>
      </c>
      <c r="F31" s="3">
        <v>154</v>
      </c>
      <c r="G31" s="3">
        <v>592</v>
      </c>
      <c r="H31" s="3">
        <v>133</v>
      </c>
      <c r="I31" s="3">
        <v>196</v>
      </c>
      <c r="J31" s="3">
        <v>51</v>
      </c>
      <c r="K31" s="3">
        <v>2</v>
      </c>
      <c r="L31" s="3">
        <v>46</v>
      </c>
      <c r="M31" s="3">
        <v>123</v>
      </c>
      <c r="N31" s="3">
        <v>5</v>
      </c>
      <c r="O31" s="3">
        <v>5</v>
      </c>
      <c r="P31" s="3">
        <v>84</v>
      </c>
      <c r="Q31" s="3">
        <v>52</v>
      </c>
      <c r="R31" s="3" t="s">
        <v>38</v>
      </c>
      <c r="S31" s="3" t="s">
        <v>41</v>
      </c>
      <c r="T31" s="3" t="s">
        <v>28</v>
      </c>
      <c r="U31" s="3" t="s">
        <v>42</v>
      </c>
      <c r="V31" s="3" t="s">
        <v>49</v>
      </c>
      <c r="W31" s="3" t="s">
        <v>34</v>
      </c>
      <c r="X31" s="6">
        <f t="shared" si="0"/>
        <v>0.33108108108108109</v>
      </c>
      <c r="Y31" s="6">
        <f t="shared" si="1"/>
        <v>0.42471590909090912</v>
      </c>
      <c r="Z31" s="6">
        <f t="shared" si="2"/>
        <v>0.65709459459459463</v>
      </c>
      <c r="AA31" s="6">
        <f t="shared" si="3"/>
        <v>1.0818105036855037</v>
      </c>
      <c r="AB31" s="6">
        <f t="shared" si="4"/>
        <v>0.1242603550295858</v>
      </c>
      <c r="AC31" s="6">
        <f t="shared" si="5"/>
        <v>8.0745341614906832E-2</v>
      </c>
      <c r="AD31" s="6">
        <f t="shared" si="6"/>
        <v>0.32601351351351354</v>
      </c>
    </row>
    <row r="32" spans="1:30" x14ac:dyDescent="0.2">
      <c r="A32" s="2" t="s">
        <v>171</v>
      </c>
      <c r="B32" s="2">
        <v>2004</v>
      </c>
      <c r="C32" s="2">
        <v>1</v>
      </c>
      <c r="D32" s="2" t="s">
        <v>68</v>
      </c>
      <c r="E32" s="2" t="s">
        <v>6</v>
      </c>
      <c r="F32" s="2">
        <v>152</v>
      </c>
      <c r="G32" s="2">
        <v>568</v>
      </c>
      <c r="H32" s="2">
        <v>108</v>
      </c>
      <c r="I32" s="2">
        <v>175</v>
      </c>
      <c r="J32" s="2">
        <v>44</v>
      </c>
      <c r="K32" s="2">
        <v>0</v>
      </c>
      <c r="L32" s="2">
        <v>43</v>
      </c>
      <c r="M32" s="2">
        <v>130</v>
      </c>
      <c r="N32" s="2">
        <v>2</v>
      </c>
      <c r="O32" s="2">
        <v>4</v>
      </c>
      <c r="P32" s="2">
        <v>82</v>
      </c>
      <c r="Q32" s="2">
        <v>124</v>
      </c>
      <c r="R32" s="2" t="s">
        <v>44</v>
      </c>
      <c r="S32" s="2" t="s">
        <v>36</v>
      </c>
      <c r="T32" s="2" t="s">
        <v>28</v>
      </c>
      <c r="U32" s="2" t="s">
        <v>41</v>
      </c>
      <c r="V32" s="2" t="s">
        <v>47</v>
      </c>
      <c r="W32" s="2" t="s">
        <v>41</v>
      </c>
      <c r="X32" s="6">
        <f t="shared" si="0"/>
        <v>0.30809859154929575</v>
      </c>
      <c r="Y32" s="6">
        <f t="shared" si="1"/>
        <v>0.41002949852507375</v>
      </c>
      <c r="Z32" s="6">
        <f t="shared" si="2"/>
        <v>0.61267605633802813</v>
      </c>
      <c r="AA32" s="6">
        <f t="shared" si="3"/>
        <v>1.0227055548631019</v>
      </c>
      <c r="AB32" s="6">
        <f t="shared" si="4"/>
        <v>0.12615384615384614</v>
      </c>
      <c r="AC32" s="6">
        <f t="shared" si="5"/>
        <v>0.1791907514450867</v>
      </c>
      <c r="AD32" s="6">
        <f t="shared" si="6"/>
        <v>0.30457746478873238</v>
      </c>
    </row>
    <row r="33" spans="1:30" x14ac:dyDescent="0.2">
      <c r="A33" s="3" t="s">
        <v>189</v>
      </c>
      <c r="B33" s="3">
        <v>2004</v>
      </c>
      <c r="C33" s="3">
        <v>1</v>
      </c>
      <c r="D33" s="3" t="s">
        <v>60</v>
      </c>
      <c r="E33" s="3" t="s">
        <v>3</v>
      </c>
      <c r="F33" s="3">
        <v>149</v>
      </c>
      <c r="G33" s="3">
        <v>586</v>
      </c>
      <c r="H33" s="3">
        <v>84</v>
      </c>
      <c r="I33" s="3">
        <v>168</v>
      </c>
      <c r="J33" s="3">
        <v>37</v>
      </c>
      <c r="K33" s="3">
        <v>0</v>
      </c>
      <c r="L33" s="3">
        <v>10</v>
      </c>
      <c r="M33" s="3">
        <v>72</v>
      </c>
      <c r="N33" s="3">
        <v>17</v>
      </c>
      <c r="O33" s="3">
        <v>11</v>
      </c>
      <c r="P33" s="3">
        <v>39</v>
      </c>
      <c r="Q33" s="3">
        <v>78</v>
      </c>
      <c r="R33" s="3" t="s">
        <v>32</v>
      </c>
      <c r="S33" s="3" t="s">
        <v>30</v>
      </c>
      <c r="T33" s="3" t="s">
        <v>36</v>
      </c>
      <c r="U33" s="3" t="s">
        <v>37</v>
      </c>
      <c r="V33" s="3" t="s">
        <v>43</v>
      </c>
      <c r="W33" s="3" t="s">
        <v>36</v>
      </c>
      <c r="X33" s="6">
        <f t="shared" si="0"/>
        <v>0.28668941979522183</v>
      </c>
      <c r="Y33" s="6">
        <f t="shared" si="1"/>
        <v>0.33229329173166927</v>
      </c>
      <c r="Z33" s="6">
        <f t="shared" si="2"/>
        <v>0.40102389078498296</v>
      </c>
      <c r="AA33" s="6">
        <f t="shared" si="3"/>
        <v>0.73331718251665223</v>
      </c>
      <c r="AB33" s="6">
        <f t="shared" si="4"/>
        <v>6.2399999999999997E-2</v>
      </c>
      <c r="AC33" s="6">
        <f t="shared" si="5"/>
        <v>0.11746987951807229</v>
      </c>
      <c r="AD33" s="6">
        <f t="shared" si="6"/>
        <v>0.11433447098976113</v>
      </c>
    </row>
    <row r="34" spans="1:30" x14ac:dyDescent="0.2">
      <c r="A34" s="2" t="s">
        <v>173</v>
      </c>
      <c r="B34" s="2">
        <v>2004</v>
      </c>
      <c r="C34" s="2">
        <v>1</v>
      </c>
      <c r="D34" s="2" t="s">
        <v>71</v>
      </c>
      <c r="E34" s="2" t="s">
        <v>6</v>
      </c>
      <c r="F34" s="2">
        <v>155</v>
      </c>
      <c r="G34" s="2">
        <v>601</v>
      </c>
      <c r="H34" s="2">
        <v>112</v>
      </c>
      <c r="I34" s="2">
        <v>172</v>
      </c>
      <c r="J34" s="2">
        <v>24</v>
      </c>
      <c r="K34" s="2">
        <v>2</v>
      </c>
      <c r="L34" s="2">
        <v>36</v>
      </c>
      <c r="M34" s="2">
        <v>106</v>
      </c>
      <c r="N34" s="2">
        <v>28</v>
      </c>
      <c r="O34" s="2">
        <v>4</v>
      </c>
      <c r="P34" s="2">
        <v>80</v>
      </c>
      <c r="Q34" s="2">
        <v>131</v>
      </c>
      <c r="R34" s="2" t="s">
        <v>36</v>
      </c>
      <c r="S34" s="2" t="s">
        <v>37</v>
      </c>
      <c r="T34" s="2" t="s">
        <v>28</v>
      </c>
      <c r="U34" s="2" t="s">
        <v>41</v>
      </c>
      <c r="V34" s="2" t="s">
        <v>45</v>
      </c>
      <c r="W34" s="2" t="s">
        <v>32</v>
      </c>
      <c r="X34" s="6">
        <f t="shared" si="0"/>
        <v>0.28618968386023297</v>
      </c>
      <c r="Y34" s="6">
        <f t="shared" si="1"/>
        <v>0.38068181818181818</v>
      </c>
      <c r="Z34" s="6">
        <f t="shared" si="2"/>
        <v>0.5124792013311148</v>
      </c>
      <c r="AA34" s="6">
        <f t="shared" si="3"/>
        <v>0.89316101951293292</v>
      </c>
      <c r="AB34" s="6">
        <f t="shared" si="4"/>
        <v>0.11747430249632893</v>
      </c>
      <c r="AC34" s="6">
        <f t="shared" si="5"/>
        <v>0.17896174863387979</v>
      </c>
      <c r="AD34" s="6">
        <f t="shared" si="6"/>
        <v>0.22628951747088183</v>
      </c>
    </row>
    <row r="35" spans="1:30" x14ac:dyDescent="0.2">
      <c r="A35" s="3" t="s">
        <v>155</v>
      </c>
      <c r="B35" s="3">
        <v>2004</v>
      </c>
      <c r="C35" s="3">
        <v>1</v>
      </c>
      <c r="D35" s="3" t="s">
        <v>67</v>
      </c>
      <c r="E35" s="3" t="s">
        <v>6</v>
      </c>
      <c r="F35" s="3">
        <v>135</v>
      </c>
      <c r="G35" s="3">
        <v>527</v>
      </c>
      <c r="H35" s="3">
        <v>72</v>
      </c>
      <c r="I35" s="3">
        <v>176</v>
      </c>
      <c r="J35" s="3">
        <v>32</v>
      </c>
      <c r="K35" s="3">
        <v>2</v>
      </c>
      <c r="L35" s="3">
        <v>19</v>
      </c>
      <c r="M35" s="3">
        <v>86</v>
      </c>
      <c r="N35" s="3">
        <v>7</v>
      </c>
      <c r="O35" s="3">
        <v>4</v>
      </c>
      <c r="P35" s="3">
        <v>41</v>
      </c>
      <c r="Q35" s="3">
        <v>91</v>
      </c>
      <c r="R35" s="3" t="s">
        <v>36</v>
      </c>
      <c r="S35" s="3" t="s">
        <v>34</v>
      </c>
      <c r="T35" s="3" t="s">
        <v>28</v>
      </c>
      <c r="U35" s="3" t="s">
        <v>33</v>
      </c>
      <c r="V35" s="3" t="s">
        <v>44</v>
      </c>
      <c r="W35" s="3" t="s">
        <v>31</v>
      </c>
      <c r="X35" s="6">
        <f t="shared" si="0"/>
        <v>0.33396584440227706</v>
      </c>
      <c r="Y35" s="6">
        <f t="shared" si="1"/>
        <v>0.3889845094664372</v>
      </c>
      <c r="Z35" s="6">
        <f t="shared" si="2"/>
        <v>0.5104364326375711</v>
      </c>
      <c r="AA35" s="6">
        <f t="shared" si="3"/>
        <v>0.89942094210400825</v>
      </c>
      <c r="AB35" s="6">
        <f t="shared" si="4"/>
        <v>7.2183098591549297E-2</v>
      </c>
      <c r="AC35" s="6">
        <f t="shared" si="5"/>
        <v>0.14724919093851133</v>
      </c>
      <c r="AD35" s="6">
        <f t="shared" si="6"/>
        <v>0.17647058823529405</v>
      </c>
    </row>
    <row r="36" spans="1:30" x14ac:dyDescent="0.2">
      <c r="A36" s="2" t="s">
        <v>190</v>
      </c>
      <c r="B36" s="2">
        <v>2004</v>
      </c>
      <c r="C36" s="2">
        <v>1</v>
      </c>
      <c r="D36" s="2" t="s">
        <v>60</v>
      </c>
      <c r="E36" s="2" t="s">
        <v>3</v>
      </c>
      <c r="F36" s="2">
        <v>142</v>
      </c>
      <c r="G36" s="2">
        <v>500</v>
      </c>
      <c r="H36" s="2">
        <v>109</v>
      </c>
      <c r="I36" s="2">
        <v>157</v>
      </c>
      <c r="J36" s="2">
        <v>32</v>
      </c>
      <c r="K36" s="2">
        <v>4</v>
      </c>
      <c r="L36" s="2">
        <v>34</v>
      </c>
      <c r="M36" s="2">
        <v>124</v>
      </c>
      <c r="N36" s="2">
        <v>4</v>
      </c>
      <c r="O36" s="2">
        <v>3</v>
      </c>
      <c r="P36" s="2">
        <v>72</v>
      </c>
      <c r="Q36" s="2">
        <v>92</v>
      </c>
      <c r="R36" s="2" t="s">
        <v>32</v>
      </c>
      <c r="S36" s="2" t="s">
        <v>35</v>
      </c>
      <c r="T36" s="2" t="s">
        <v>30</v>
      </c>
      <c r="U36" s="2" t="s">
        <v>41</v>
      </c>
      <c r="V36" s="2" t="s">
        <v>39</v>
      </c>
      <c r="W36" s="2" t="s">
        <v>32</v>
      </c>
      <c r="X36" s="6">
        <f t="shared" si="0"/>
        <v>0.314</v>
      </c>
      <c r="Y36" s="6">
        <f t="shared" si="1"/>
        <v>0.41373534338358459</v>
      </c>
      <c r="Z36" s="6">
        <f t="shared" si="2"/>
        <v>0.59799999999999998</v>
      </c>
      <c r="AA36" s="6">
        <f t="shared" si="3"/>
        <v>1.0117353433835845</v>
      </c>
      <c r="AB36" s="6">
        <f t="shared" si="4"/>
        <v>0.12587412587412589</v>
      </c>
      <c r="AC36" s="6">
        <f t="shared" si="5"/>
        <v>0.1554054054054054</v>
      </c>
      <c r="AD36" s="6">
        <f t="shared" si="6"/>
        <v>0.28399999999999997</v>
      </c>
    </row>
    <row r="37" spans="1:30" x14ac:dyDescent="0.2">
      <c r="A37" s="3" t="s">
        <v>213</v>
      </c>
      <c r="B37" s="3">
        <v>2004</v>
      </c>
      <c r="C37" s="3">
        <v>1</v>
      </c>
      <c r="D37" s="3" t="s">
        <v>90</v>
      </c>
      <c r="E37" s="3" t="s">
        <v>6</v>
      </c>
      <c r="F37" s="3">
        <v>145</v>
      </c>
      <c r="G37" s="3">
        <v>608</v>
      </c>
      <c r="H37" s="3">
        <v>77</v>
      </c>
      <c r="I37" s="3">
        <v>170</v>
      </c>
      <c r="J37" s="3">
        <v>32</v>
      </c>
      <c r="K37" s="3">
        <v>4</v>
      </c>
      <c r="L37" s="3">
        <v>28</v>
      </c>
      <c r="M37" s="3">
        <v>91</v>
      </c>
      <c r="N37" s="3">
        <v>18</v>
      </c>
      <c r="O37" s="3">
        <v>5</v>
      </c>
      <c r="P37" s="3">
        <v>33</v>
      </c>
      <c r="Q37" s="3">
        <v>121</v>
      </c>
      <c r="R37" s="3" t="s">
        <v>33</v>
      </c>
      <c r="S37" s="3" t="s">
        <v>37</v>
      </c>
      <c r="T37" s="3" t="s">
        <v>28</v>
      </c>
      <c r="U37" s="3" t="s">
        <v>41</v>
      </c>
      <c r="V37" s="3" t="s">
        <v>41</v>
      </c>
      <c r="W37" s="3" t="s">
        <v>33</v>
      </c>
      <c r="X37" s="6">
        <f t="shared" si="0"/>
        <v>0.27960526315789475</v>
      </c>
      <c r="Y37" s="6">
        <f t="shared" si="1"/>
        <v>0.32779456193353473</v>
      </c>
      <c r="Z37" s="6">
        <f t="shared" si="2"/>
        <v>0.48355263157894735</v>
      </c>
      <c r="AA37" s="6">
        <f t="shared" si="3"/>
        <v>0.81134719351248208</v>
      </c>
      <c r="AB37" s="6">
        <f t="shared" si="4"/>
        <v>5.1482059282371297E-2</v>
      </c>
      <c r="AC37" s="6">
        <f t="shared" si="5"/>
        <v>0.16598079561042525</v>
      </c>
      <c r="AD37" s="6">
        <f t="shared" si="6"/>
        <v>0.2039473684210526</v>
      </c>
    </row>
    <row r="38" spans="1:30" x14ac:dyDescent="0.2">
      <c r="A38" s="2" t="s">
        <v>143</v>
      </c>
      <c r="B38" s="2">
        <v>2004</v>
      </c>
      <c r="C38" s="2">
        <v>1</v>
      </c>
      <c r="D38" s="2" t="s">
        <v>27</v>
      </c>
      <c r="E38" s="2" t="s">
        <v>3</v>
      </c>
      <c r="F38" s="2">
        <v>126</v>
      </c>
      <c r="G38" s="2">
        <v>478</v>
      </c>
      <c r="H38" s="2">
        <v>69</v>
      </c>
      <c r="I38" s="2">
        <v>121</v>
      </c>
      <c r="J38" s="2">
        <v>21</v>
      </c>
      <c r="K38" s="2">
        <v>0</v>
      </c>
      <c r="L38" s="2">
        <v>35</v>
      </c>
      <c r="M38" s="2">
        <v>80</v>
      </c>
      <c r="N38" s="2">
        <v>0</v>
      </c>
      <c r="O38" s="2">
        <v>0</v>
      </c>
      <c r="P38" s="2">
        <v>56</v>
      </c>
      <c r="Q38" s="2">
        <v>133</v>
      </c>
      <c r="R38" s="2" t="s">
        <v>33</v>
      </c>
      <c r="S38" s="2" t="s">
        <v>31</v>
      </c>
      <c r="T38" s="2" t="s">
        <v>28</v>
      </c>
      <c r="U38" s="2" t="s">
        <v>34</v>
      </c>
      <c r="V38" s="2" t="s">
        <v>42</v>
      </c>
      <c r="W38" s="2" t="s">
        <v>42</v>
      </c>
      <c r="X38" s="6">
        <f t="shared" si="0"/>
        <v>0.25313807531380755</v>
      </c>
      <c r="Y38" s="6">
        <f t="shared" si="1"/>
        <v>0.33701657458563539</v>
      </c>
      <c r="Z38" s="6">
        <f t="shared" si="2"/>
        <v>0.51673640167364021</v>
      </c>
      <c r="AA38" s="6">
        <f t="shared" si="3"/>
        <v>0.8537529762592756</v>
      </c>
      <c r="AB38" s="6">
        <f t="shared" si="4"/>
        <v>0.10486891385767791</v>
      </c>
      <c r="AC38" s="6">
        <f t="shared" si="5"/>
        <v>0.21767594108019639</v>
      </c>
      <c r="AD38" s="6">
        <f t="shared" si="6"/>
        <v>0.26359832635983266</v>
      </c>
    </row>
    <row r="39" spans="1:30" x14ac:dyDescent="0.2">
      <c r="A39" s="3" t="s">
        <v>228</v>
      </c>
      <c r="B39" s="3">
        <v>2004</v>
      </c>
      <c r="C39" s="3">
        <v>1</v>
      </c>
      <c r="D39" s="3" t="s">
        <v>91</v>
      </c>
      <c r="E39" s="3" t="s">
        <v>6</v>
      </c>
      <c r="F39" s="3">
        <v>161</v>
      </c>
      <c r="G39" s="3">
        <v>704</v>
      </c>
      <c r="H39" s="3">
        <v>101</v>
      </c>
      <c r="I39" s="3">
        <v>262</v>
      </c>
      <c r="J39" s="3">
        <v>24</v>
      </c>
      <c r="K39" s="3">
        <v>5</v>
      </c>
      <c r="L39" s="3">
        <v>8</v>
      </c>
      <c r="M39" s="3">
        <v>60</v>
      </c>
      <c r="N39" s="3">
        <v>36</v>
      </c>
      <c r="O39" s="3">
        <v>11</v>
      </c>
      <c r="P39" s="3">
        <v>49</v>
      </c>
      <c r="Q39" s="3">
        <v>63</v>
      </c>
      <c r="R39" s="3" t="s">
        <v>52</v>
      </c>
      <c r="S39" s="3" t="s">
        <v>33</v>
      </c>
      <c r="T39" s="3" t="s">
        <v>31</v>
      </c>
      <c r="U39" s="3" t="s">
        <v>34</v>
      </c>
      <c r="V39" s="3" t="s">
        <v>36</v>
      </c>
      <c r="W39" s="3" t="s">
        <v>39</v>
      </c>
      <c r="X39" s="6">
        <f t="shared" si="0"/>
        <v>0.37215909090909088</v>
      </c>
      <c r="Y39" s="6">
        <f t="shared" si="1"/>
        <v>0.42875481386392811</v>
      </c>
      <c r="Z39" s="6">
        <f t="shared" si="2"/>
        <v>0.45454545454545453</v>
      </c>
      <c r="AA39" s="6">
        <f t="shared" si="3"/>
        <v>0.88330026840938269</v>
      </c>
      <c r="AB39" s="6">
        <f t="shared" si="4"/>
        <v>6.5073041168658696E-2</v>
      </c>
      <c r="AC39" s="6">
        <f t="shared" si="5"/>
        <v>8.2138200782268578E-2</v>
      </c>
      <c r="AD39" s="6">
        <f t="shared" si="6"/>
        <v>8.2386363636363646E-2</v>
      </c>
    </row>
    <row r="40" spans="1:30" x14ac:dyDescent="0.2">
      <c r="A40" s="2" t="s">
        <v>183</v>
      </c>
      <c r="B40" s="2">
        <v>2005</v>
      </c>
      <c r="C40" s="2">
        <v>1</v>
      </c>
      <c r="D40" s="2" t="s">
        <v>29</v>
      </c>
      <c r="E40" s="2" t="s">
        <v>3</v>
      </c>
      <c r="F40" s="2">
        <v>162</v>
      </c>
      <c r="G40" s="2">
        <v>588</v>
      </c>
      <c r="H40" s="2">
        <v>104</v>
      </c>
      <c r="I40" s="2">
        <v>168</v>
      </c>
      <c r="J40" s="2">
        <v>37</v>
      </c>
      <c r="K40" s="2">
        <v>1</v>
      </c>
      <c r="L40" s="2">
        <v>24</v>
      </c>
      <c r="M40" s="2">
        <v>102</v>
      </c>
      <c r="N40" s="2">
        <v>31</v>
      </c>
      <c r="O40" s="2">
        <v>9</v>
      </c>
      <c r="P40" s="2">
        <v>117</v>
      </c>
      <c r="Q40" s="2">
        <v>134</v>
      </c>
      <c r="R40" s="2" t="s">
        <v>44</v>
      </c>
      <c r="S40" s="2" t="s">
        <v>36</v>
      </c>
      <c r="T40" s="2" t="s">
        <v>28</v>
      </c>
      <c r="U40" s="2" t="s">
        <v>39</v>
      </c>
      <c r="V40" s="2" t="s">
        <v>41</v>
      </c>
      <c r="W40" s="2" t="s">
        <v>42</v>
      </c>
      <c r="X40" s="6">
        <f t="shared" si="0"/>
        <v>0.2857142857142857</v>
      </c>
      <c r="Y40" s="6">
        <f t="shared" si="1"/>
        <v>0.41689373297002724</v>
      </c>
      <c r="Z40" s="6">
        <f t="shared" si="2"/>
        <v>0.47448979591836737</v>
      </c>
      <c r="AA40" s="6">
        <f t="shared" si="3"/>
        <v>0.89138352888839467</v>
      </c>
      <c r="AB40" s="6">
        <f t="shared" si="4"/>
        <v>0.16595744680851063</v>
      </c>
      <c r="AC40" s="6">
        <f t="shared" si="5"/>
        <v>0.18559556786703602</v>
      </c>
      <c r="AD40" s="6">
        <f t="shared" si="6"/>
        <v>0.18877551020408168</v>
      </c>
    </row>
    <row r="41" spans="1:30" x14ac:dyDescent="0.2">
      <c r="A41" s="3" t="s">
        <v>206</v>
      </c>
      <c r="B41" s="3">
        <v>2005</v>
      </c>
      <c r="C41" s="3">
        <v>1</v>
      </c>
      <c r="D41" s="3" t="s">
        <v>83</v>
      </c>
      <c r="E41" s="3" t="s">
        <v>3</v>
      </c>
      <c r="F41" s="3">
        <v>151</v>
      </c>
      <c r="G41" s="3">
        <v>582</v>
      </c>
      <c r="H41" s="3">
        <v>83</v>
      </c>
      <c r="I41" s="3">
        <v>155</v>
      </c>
      <c r="J41" s="3">
        <v>34</v>
      </c>
      <c r="K41" s="3">
        <v>2</v>
      </c>
      <c r="L41" s="3">
        <v>16</v>
      </c>
      <c r="M41" s="3">
        <v>78</v>
      </c>
      <c r="N41" s="3">
        <v>17</v>
      </c>
      <c r="O41" s="3">
        <v>6</v>
      </c>
      <c r="P41" s="3">
        <v>56</v>
      </c>
      <c r="Q41" s="3">
        <v>96</v>
      </c>
      <c r="R41" s="3" t="s">
        <v>32</v>
      </c>
      <c r="S41" s="3" t="s">
        <v>31</v>
      </c>
      <c r="T41" s="3" t="s">
        <v>33</v>
      </c>
      <c r="U41" s="3" t="s">
        <v>36</v>
      </c>
      <c r="V41" s="3" t="s">
        <v>42</v>
      </c>
      <c r="W41" s="3" t="s">
        <v>41</v>
      </c>
      <c r="X41" s="6">
        <f t="shared" si="0"/>
        <v>0.26632302405498282</v>
      </c>
      <c r="Y41" s="6">
        <f t="shared" si="1"/>
        <v>0.3348694316436252</v>
      </c>
      <c r="Z41" s="6">
        <f t="shared" si="2"/>
        <v>0.41408934707903783</v>
      </c>
      <c r="AA41" s="6">
        <f t="shared" si="3"/>
        <v>0.74895877872266303</v>
      </c>
      <c r="AB41" s="6">
        <f t="shared" si="4"/>
        <v>8.7774294670846395E-2</v>
      </c>
      <c r="AC41" s="6">
        <f t="shared" si="5"/>
        <v>0.1415929203539823</v>
      </c>
      <c r="AD41" s="6">
        <f t="shared" si="6"/>
        <v>0.14776632302405501</v>
      </c>
    </row>
    <row r="42" spans="1:30" x14ac:dyDescent="0.2">
      <c r="A42" s="2" t="s">
        <v>216</v>
      </c>
      <c r="B42" s="2">
        <v>2005</v>
      </c>
      <c r="C42" s="2">
        <v>1</v>
      </c>
      <c r="D42" s="2" t="s">
        <v>69</v>
      </c>
      <c r="E42" s="2" t="s">
        <v>6</v>
      </c>
      <c r="F42" s="2">
        <v>33</v>
      </c>
      <c r="G42" s="2">
        <v>3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</v>
      </c>
      <c r="R42" s="2" t="s">
        <v>28</v>
      </c>
      <c r="S42" s="2" t="s">
        <v>28</v>
      </c>
      <c r="T42" s="2" t="s">
        <v>28</v>
      </c>
      <c r="U42" s="2" t="s">
        <v>28</v>
      </c>
      <c r="V42" s="2" t="s">
        <v>28</v>
      </c>
      <c r="W42" s="2" t="s">
        <v>30</v>
      </c>
      <c r="X42" s="6">
        <f t="shared" si="0"/>
        <v>0</v>
      </c>
      <c r="Y42" s="6">
        <f t="shared" si="1"/>
        <v>0</v>
      </c>
      <c r="Z42" s="6">
        <f t="shared" si="2"/>
        <v>0</v>
      </c>
      <c r="AA42" s="6">
        <f t="shared" si="3"/>
        <v>0</v>
      </c>
      <c r="AB42" s="6">
        <f t="shared" si="4"/>
        <v>0</v>
      </c>
      <c r="AC42" s="6">
        <f t="shared" si="5"/>
        <v>0.25</v>
      </c>
      <c r="AD42" s="6">
        <f t="shared" si="6"/>
        <v>0</v>
      </c>
    </row>
    <row r="43" spans="1:30" x14ac:dyDescent="0.2">
      <c r="A43" s="3" t="s">
        <v>192</v>
      </c>
      <c r="B43" s="3">
        <v>2005</v>
      </c>
      <c r="C43" s="3">
        <v>1</v>
      </c>
      <c r="D43" s="3" t="s">
        <v>60</v>
      </c>
      <c r="E43" s="3" t="s">
        <v>3</v>
      </c>
      <c r="F43" s="3">
        <v>33</v>
      </c>
      <c r="G43" s="3">
        <v>77</v>
      </c>
      <c r="H43" s="3">
        <v>7</v>
      </c>
      <c r="I43" s="3">
        <v>5</v>
      </c>
      <c r="J43" s="3">
        <v>2</v>
      </c>
      <c r="K43" s="3">
        <v>0</v>
      </c>
      <c r="L43" s="3">
        <v>0</v>
      </c>
      <c r="M43" s="3">
        <v>2</v>
      </c>
      <c r="N43" s="3">
        <v>0</v>
      </c>
      <c r="O43" s="3">
        <v>1</v>
      </c>
      <c r="P43" s="3">
        <v>5</v>
      </c>
      <c r="Q43" s="3">
        <v>23</v>
      </c>
      <c r="R43" s="3" t="s">
        <v>28</v>
      </c>
      <c r="S43" s="3" t="s">
        <v>28</v>
      </c>
      <c r="T43" s="3" t="s">
        <v>37</v>
      </c>
      <c r="U43" s="3" t="s">
        <v>30</v>
      </c>
      <c r="V43" s="3" t="s">
        <v>31</v>
      </c>
      <c r="W43" s="3" t="s">
        <v>30</v>
      </c>
      <c r="X43" s="6">
        <f t="shared" si="0"/>
        <v>6.4935064935064929E-2</v>
      </c>
      <c r="Y43" s="6">
        <f t="shared" si="1"/>
        <v>0.12048192771084337</v>
      </c>
      <c r="Z43" s="6">
        <f t="shared" si="2"/>
        <v>9.0909090909090912E-2</v>
      </c>
      <c r="AA43" s="6">
        <f t="shared" si="3"/>
        <v>0.21139101861993428</v>
      </c>
      <c r="AB43" s="6">
        <f t="shared" si="4"/>
        <v>6.097560975609756E-2</v>
      </c>
      <c r="AC43" s="6">
        <f t="shared" si="5"/>
        <v>0.23</v>
      </c>
      <c r="AD43" s="6">
        <f t="shared" si="6"/>
        <v>2.5974025974025983E-2</v>
      </c>
    </row>
    <row r="44" spans="1:30" x14ac:dyDescent="0.2">
      <c r="A44" s="2" t="s">
        <v>175</v>
      </c>
      <c r="B44" s="2">
        <v>2005</v>
      </c>
      <c r="C44" s="2">
        <v>1</v>
      </c>
      <c r="D44" s="2" t="s">
        <v>68</v>
      </c>
      <c r="E44" s="2" t="s">
        <v>6</v>
      </c>
      <c r="F44" s="2">
        <v>148</v>
      </c>
      <c r="G44" s="2">
        <v>624</v>
      </c>
      <c r="H44" s="2">
        <v>117</v>
      </c>
      <c r="I44" s="2">
        <v>197</v>
      </c>
      <c r="J44" s="2">
        <v>35</v>
      </c>
      <c r="K44" s="2">
        <v>6</v>
      </c>
      <c r="L44" s="2">
        <v>10</v>
      </c>
      <c r="M44" s="2">
        <v>75</v>
      </c>
      <c r="N44" s="2">
        <v>18</v>
      </c>
      <c r="O44" s="2">
        <v>1</v>
      </c>
      <c r="P44" s="2">
        <v>53</v>
      </c>
      <c r="Q44" s="2">
        <v>69</v>
      </c>
      <c r="R44" s="2" t="s">
        <v>34</v>
      </c>
      <c r="S44" s="2" t="s">
        <v>31</v>
      </c>
      <c r="T44" s="2" t="s">
        <v>28</v>
      </c>
      <c r="U44" s="2" t="s">
        <v>42</v>
      </c>
      <c r="V44" s="2" t="s">
        <v>32</v>
      </c>
      <c r="W44" s="2" t="s">
        <v>39</v>
      </c>
      <c r="X44" s="6">
        <f t="shared" si="0"/>
        <v>0.31570512820512819</v>
      </c>
      <c r="Y44" s="6">
        <f t="shared" si="1"/>
        <v>0.36903039073806077</v>
      </c>
      <c r="Z44" s="6">
        <f t="shared" si="2"/>
        <v>0.4391025641025641</v>
      </c>
      <c r="AA44" s="6">
        <f t="shared" si="3"/>
        <v>0.80813295484062486</v>
      </c>
      <c r="AB44" s="6">
        <f t="shared" si="4"/>
        <v>7.8286558345642535E-2</v>
      </c>
      <c r="AC44" s="6">
        <f t="shared" si="5"/>
        <v>9.9567099567099568E-2</v>
      </c>
      <c r="AD44" s="6">
        <f t="shared" si="6"/>
        <v>0.1233974358974359</v>
      </c>
    </row>
    <row r="45" spans="1:30" x14ac:dyDescent="0.2">
      <c r="A45" s="3" t="s">
        <v>223</v>
      </c>
      <c r="B45" s="3">
        <v>2005</v>
      </c>
      <c r="C45" s="3">
        <v>1</v>
      </c>
      <c r="D45" s="3" t="s">
        <v>60</v>
      </c>
      <c r="E45" s="3" t="s">
        <v>3</v>
      </c>
      <c r="F45" s="3">
        <v>158</v>
      </c>
      <c r="G45" s="3">
        <v>630</v>
      </c>
      <c r="H45" s="3">
        <v>90</v>
      </c>
      <c r="I45" s="3">
        <v>185</v>
      </c>
      <c r="J45" s="3">
        <v>26</v>
      </c>
      <c r="K45" s="3">
        <v>7</v>
      </c>
      <c r="L45" s="3">
        <v>8</v>
      </c>
      <c r="M45" s="3">
        <v>61</v>
      </c>
      <c r="N45" s="3">
        <v>11</v>
      </c>
      <c r="O45" s="3">
        <v>8</v>
      </c>
      <c r="P45" s="3">
        <v>58</v>
      </c>
      <c r="Q45" s="3">
        <v>44</v>
      </c>
      <c r="R45" s="3" t="s">
        <v>28</v>
      </c>
      <c r="S45" s="3" t="s">
        <v>35</v>
      </c>
      <c r="T45" s="3" t="s">
        <v>39</v>
      </c>
      <c r="U45" s="3" t="s">
        <v>33</v>
      </c>
      <c r="V45" s="3" t="s">
        <v>35</v>
      </c>
      <c r="W45" s="3" t="s">
        <v>36</v>
      </c>
      <c r="X45" s="6">
        <f t="shared" si="0"/>
        <v>0.29365079365079366</v>
      </c>
      <c r="Y45" s="6">
        <f t="shared" si="1"/>
        <v>0.36312056737588655</v>
      </c>
      <c r="Z45" s="6">
        <f t="shared" si="2"/>
        <v>0.39523809523809522</v>
      </c>
      <c r="AA45" s="6">
        <f t="shared" si="3"/>
        <v>0.75835866261398177</v>
      </c>
      <c r="AB45" s="6">
        <f t="shared" si="4"/>
        <v>8.4302325581395346E-2</v>
      </c>
      <c r="AC45" s="6">
        <f t="shared" si="5"/>
        <v>6.5281899109792291E-2</v>
      </c>
      <c r="AD45" s="6">
        <f t="shared" si="6"/>
        <v>0.10158730158730156</v>
      </c>
    </row>
    <row r="46" spans="1:30" x14ac:dyDescent="0.2">
      <c r="A46" s="2" t="s">
        <v>168</v>
      </c>
      <c r="B46" s="2">
        <v>2005</v>
      </c>
      <c r="C46" s="2">
        <v>1</v>
      </c>
      <c r="D46" s="2" t="s">
        <v>60</v>
      </c>
      <c r="E46" s="2" t="s">
        <v>3</v>
      </c>
      <c r="F46" s="2">
        <v>142</v>
      </c>
      <c r="G46" s="2">
        <v>467</v>
      </c>
      <c r="H46" s="2">
        <v>88</v>
      </c>
      <c r="I46" s="2">
        <v>123</v>
      </c>
      <c r="J46" s="2">
        <v>37</v>
      </c>
      <c r="K46" s="2">
        <v>1</v>
      </c>
      <c r="L46" s="2">
        <v>29</v>
      </c>
      <c r="M46" s="2">
        <v>89</v>
      </c>
      <c r="N46" s="2">
        <v>5</v>
      </c>
      <c r="O46" s="2">
        <v>5</v>
      </c>
      <c r="P46" s="2">
        <v>91</v>
      </c>
      <c r="Q46" s="2">
        <v>139</v>
      </c>
      <c r="R46" s="2" t="s">
        <v>37</v>
      </c>
      <c r="S46" s="2" t="s">
        <v>33</v>
      </c>
      <c r="T46" s="2" t="s">
        <v>30</v>
      </c>
      <c r="U46" s="2" t="s">
        <v>33</v>
      </c>
      <c r="V46" s="2" t="s">
        <v>36</v>
      </c>
      <c r="W46" s="2" t="s">
        <v>39</v>
      </c>
      <c r="X46" s="6">
        <f t="shared" si="0"/>
        <v>0.2633832976445396</v>
      </c>
      <c r="Y46" s="6">
        <f t="shared" si="1"/>
        <v>0.39583333333333331</v>
      </c>
      <c r="Z46" s="6">
        <f t="shared" si="2"/>
        <v>0.53319057815845827</v>
      </c>
      <c r="AA46" s="6">
        <f t="shared" si="3"/>
        <v>0.92902391149179153</v>
      </c>
      <c r="AB46" s="6">
        <f t="shared" si="4"/>
        <v>0.16308243727598568</v>
      </c>
      <c r="AC46" s="6">
        <f t="shared" si="5"/>
        <v>0.22937293729372937</v>
      </c>
      <c r="AD46" s="6">
        <f t="shared" si="6"/>
        <v>0.26980728051391867</v>
      </c>
    </row>
    <row r="47" spans="1:30" x14ac:dyDescent="0.2">
      <c r="A47" s="3" t="s">
        <v>186</v>
      </c>
      <c r="B47" s="3">
        <v>2005</v>
      </c>
      <c r="C47" s="3">
        <v>1</v>
      </c>
      <c r="D47" s="3" t="s">
        <v>2</v>
      </c>
      <c r="E47" s="3" t="s">
        <v>6</v>
      </c>
      <c r="F47" s="3">
        <v>141</v>
      </c>
      <c r="G47" s="3">
        <v>520</v>
      </c>
      <c r="H47" s="3">
        <v>95</v>
      </c>
      <c r="I47" s="3">
        <v>165</v>
      </c>
      <c r="J47" s="3">
        <v>29</v>
      </c>
      <c r="K47" s="3">
        <v>2</v>
      </c>
      <c r="L47" s="3">
        <v>32</v>
      </c>
      <c r="M47" s="3">
        <v>108</v>
      </c>
      <c r="N47" s="3">
        <v>13</v>
      </c>
      <c r="O47" s="3">
        <v>1</v>
      </c>
      <c r="P47" s="3">
        <v>61</v>
      </c>
      <c r="Q47" s="3">
        <v>48</v>
      </c>
      <c r="R47" s="3" t="s">
        <v>61</v>
      </c>
      <c r="S47" s="3" t="s">
        <v>39</v>
      </c>
      <c r="T47" s="3" t="s">
        <v>28</v>
      </c>
      <c r="U47" s="3" t="s">
        <v>32</v>
      </c>
      <c r="V47" s="3" t="s">
        <v>50</v>
      </c>
      <c r="W47" s="3" t="s">
        <v>42</v>
      </c>
      <c r="X47" s="6">
        <f t="shared" si="0"/>
        <v>0.31730769230769229</v>
      </c>
      <c r="Y47" s="6">
        <f t="shared" si="1"/>
        <v>0.41935483870967744</v>
      </c>
      <c r="Z47" s="6">
        <f t="shared" si="2"/>
        <v>0.56538461538461537</v>
      </c>
      <c r="AA47" s="6">
        <f t="shared" si="3"/>
        <v>0.98473945409429287</v>
      </c>
      <c r="AB47" s="6">
        <f t="shared" si="4"/>
        <v>0.10499139414802065</v>
      </c>
      <c r="AC47" s="6">
        <f t="shared" si="5"/>
        <v>8.4507042253521125E-2</v>
      </c>
      <c r="AD47" s="6">
        <f t="shared" si="6"/>
        <v>0.24807692307692308</v>
      </c>
    </row>
    <row r="48" spans="1:30" x14ac:dyDescent="0.2">
      <c r="A48" s="2" t="s">
        <v>160</v>
      </c>
      <c r="B48" s="2">
        <v>2005</v>
      </c>
      <c r="C48" s="2">
        <v>1</v>
      </c>
      <c r="D48" s="2" t="s">
        <v>80</v>
      </c>
      <c r="E48" s="2" t="s">
        <v>3</v>
      </c>
      <c r="F48" s="2">
        <v>149</v>
      </c>
      <c r="G48" s="2">
        <v>553</v>
      </c>
      <c r="H48" s="2">
        <v>100</v>
      </c>
      <c r="I48" s="2">
        <v>160</v>
      </c>
      <c r="J48" s="2">
        <v>36</v>
      </c>
      <c r="K48" s="2">
        <v>0</v>
      </c>
      <c r="L48" s="2">
        <v>29</v>
      </c>
      <c r="M48" s="2">
        <v>105</v>
      </c>
      <c r="N48" s="2">
        <v>6</v>
      </c>
      <c r="O48" s="2">
        <v>2</v>
      </c>
      <c r="P48" s="2">
        <v>72</v>
      </c>
      <c r="Q48" s="2">
        <v>85</v>
      </c>
      <c r="R48" s="2" t="s">
        <v>39</v>
      </c>
      <c r="S48" s="2" t="s">
        <v>39</v>
      </c>
      <c r="T48" s="2" t="s">
        <v>28</v>
      </c>
      <c r="U48" s="2" t="s">
        <v>33</v>
      </c>
      <c r="V48" s="2" t="s">
        <v>52</v>
      </c>
      <c r="W48" s="2" t="s">
        <v>33</v>
      </c>
      <c r="X48" s="6">
        <f t="shared" si="0"/>
        <v>0.28933092224231466</v>
      </c>
      <c r="Y48" s="6">
        <f t="shared" si="1"/>
        <v>0.38449612403100775</v>
      </c>
      <c r="Z48" s="6">
        <f t="shared" si="2"/>
        <v>0.51175406871609408</v>
      </c>
      <c r="AA48" s="6">
        <f t="shared" si="3"/>
        <v>0.89625019274710183</v>
      </c>
      <c r="AB48" s="6">
        <f t="shared" si="4"/>
        <v>0.1152</v>
      </c>
      <c r="AC48" s="6">
        <f t="shared" si="5"/>
        <v>0.13322884012539185</v>
      </c>
      <c r="AD48" s="6">
        <f t="shared" si="6"/>
        <v>0.22242314647377942</v>
      </c>
    </row>
    <row r="49" spans="1:30" x14ac:dyDescent="0.2">
      <c r="A49" s="3" t="s">
        <v>195</v>
      </c>
      <c r="B49" s="3">
        <v>2005</v>
      </c>
      <c r="C49" s="3">
        <v>1</v>
      </c>
      <c r="D49" s="3" t="s">
        <v>27</v>
      </c>
      <c r="E49" s="3" t="s">
        <v>3</v>
      </c>
      <c r="F49" s="3">
        <v>158</v>
      </c>
      <c r="G49" s="3">
        <v>594</v>
      </c>
      <c r="H49" s="3">
        <v>120</v>
      </c>
      <c r="I49" s="3">
        <v>199</v>
      </c>
      <c r="J49" s="3">
        <v>50</v>
      </c>
      <c r="K49" s="3">
        <v>3</v>
      </c>
      <c r="L49" s="3">
        <v>46</v>
      </c>
      <c r="M49" s="3">
        <v>107</v>
      </c>
      <c r="N49" s="3">
        <v>15</v>
      </c>
      <c r="O49" s="3">
        <v>3</v>
      </c>
      <c r="P49" s="3">
        <v>85</v>
      </c>
      <c r="Q49" s="3">
        <v>109</v>
      </c>
      <c r="R49" s="3" t="s">
        <v>63</v>
      </c>
      <c r="S49" s="3" t="s">
        <v>32</v>
      </c>
      <c r="T49" s="3" t="s">
        <v>28</v>
      </c>
      <c r="U49" s="3" t="s">
        <v>41</v>
      </c>
      <c r="V49" s="3" t="s">
        <v>38</v>
      </c>
      <c r="W49" s="3" t="s">
        <v>34</v>
      </c>
      <c r="X49" s="6">
        <f t="shared" si="0"/>
        <v>0.33501683501683499</v>
      </c>
      <c r="Y49" s="6">
        <f t="shared" si="1"/>
        <v>0.43697478991596639</v>
      </c>
      <c r="Z49" s="6">
        <f t="shared" si="2"/>
        <v>0.66161616161616166</v>
      </c>
      <c r="AA49" s="6">
        <f t="shared" si="3"/>
        <v>1.0985909515321279</v>
      </c>
      <c r="AB49" s="6">
        <f t="shared" si="4"/>
        <v>0.1251840942562592</v>
      </c>
      <c r="AC49" s="6">
        <f t="shared" si="5"/>
        <v>0.155049786628734</v>
      </c>
      <c r="AD49" s="6">
        <f t="shared" si="6"/>
        <v>0.32659932659932667</v>
      </c>
    </row>
    <row r="50" spans="1:30" x14ac:dyDescent="0.2">
      <c r="A50" s="2" t="s">
        <v>198</v>
      </c>
      <c r="B50" s="2">
        <v>2005</v>
      </c>
      <c r="C50" s="2">
        <v>1</v>
      </c>
      <c r="D50" s="2" t="s">
        <v>68</v>
      </c>
      <c r="E50" s="2" t="s">
        <v>6</v>
      </c>
      <c r="F50" s="2">
        <v>159</v>
      </c>
      <c r="G50" s="2">
        <v>601</v>
      </c>
      <c r="H50" s="2">
        <v>119</v>
      </c>
      <c r="I50" s="2">
        <v>180</v>
      </c>
      <c r="J50" s="2">
        <v>40</v>
      </c>
      <c r="K50" s="2">
        <v>1</v>
      </c>
      <c r="L50" s="2">
        <v>47</v>
      </c>
      <c r="M50" s="2">
        <v>148</v>
      </c>
      <c r="N50" s="2">
        <v>1</v>
      </c>
      <c r="O50" s="2">
        <v>0</v>
      </c>
      <c r="P50" s="2">
        <v>102</v>
      </c>
      <c r="Q50" s="2">
        <v>124</v>
      </c>
      <c r="R50" s="2" t="s">
        <v>42</v>
      </c>
      <c r="S50" s="2" t="s">
        <v>30</v>
      </c>
      <c r="T50" s="2" t="s">
        <v>28</v>
      </c>
      <c r="U50" s="2" t="s">
        <v>42</v>
      </c>
      <c r="V50" s="2" t="s">
        <v>35</v>
      </c>
      <c r="W50" s="2" t="s">
        <v>37</v>
      </c>
      <c r="X50" s="6">
        <f t="shared" si="0"/>
        <v>0.29950083194675542</v>
      </c>
      <c r="Y50" s="6">
        <f t="shared" si="1"/>
        <v>0.40443213296398894</v>
      </c>
      <c r="Z50" s="6">
        <f t="shared" si="2"/>
        <v>0.60399334442595676</v>
      </c>
      <c r="AA50" s="6">
        <f t="shared" si="3"/>
        <v>1.0084254773899457</v>
      </c>
      <c r="AB50" s="6">
        <f t="shared" si="4"/>
        <v>0.14509246088193456</v>
      </c>
      <c r="AC50" s="6">
        <f t="shared" si="5"/>
        <v>0.17103448275862068</v>
      </c>
      <c r="AD50" s="6">
        <f t="shared" si="6"/>
        <v>0.30449251247920134</v>
      </c>
    </row>
    <row r="51" spans="1:30" x14ac:dyDescent="0.2">
      <c r="A51" s="3" t="s">
        <v>163</v>
      </c>
      <c r="B51" s="3">
        <v>2005</v>
      </c>
      <c r="C51" s="3">
        <v>1</v>
      </c>
      <c r="D51" s="3" t="s">
        <v>83</v>
      </c>
      <c r="E51" s="3" t="s">
        <v>3</v>
      </c>
      <c r="F51" s="3">
        <v>113</v>
      </c>
      <c r="G51" s="3">
        <v>398</v>
      </c>
      <c r="H51" s="3">
        <v>41</v>
      </c>
      <c r="I51" s="3">
        <v>100</v>
      </c>
      <c r="J51" s="3">
        <v>23</v>
      </c>
      <c r="K51" s="3">
        <v>0</v>
      </c>
      <c r="L51" s="3">
        <v>19</v>
      </c>
      <c r="M51" s="3">
        <v>62</v>
      </c>
      <c r="N51" s="3">
        <v>0</v>
      </c>
      <c r="O51" s="3">
        <v>0</v>
      </c>
      <c r="P51" s="3">
        <v>41</v>
      </c>
      <c r="Q51" s="3">
        <v>67</v>
      </c>
      <c r="R51" s="3" t="s">
        <v>36</v>
      </c>
      <c r="S51" s="3" t="s">
        <v>34</v>
      </c>
      <c r="T51" s="3" t="s">
        <v>28</v>
      </c>
      <c r="U51" s="3" t="s">
        <v>28</v>
      </c>
      <c r="V51" s="3" t="s">
        <v>41</v>
      </c>
      <c r="W51" s="3" t="s">
        <v>31</v>
      </c>
      <c r="X51" s="6">
        <f t="shared" si="0"/>
        <v>0.25125628140703515</v>
      </c>
      <c r="Y51" s="6">
        <f t="shared" si="1"/>
        <v>0.33482142857142855</v>
      </c>
      <c r="Z51" s="6">
        <f t="shared" si="2"/>
        <v>0.45226130653266333</v>
      </c>
      <c r="AA51" s="6">
        <f t="shared" si="3"/>
        <v>0.78708273510409188</v>
      </c>
      <c r="AB51" s="6">
        <f t="shared" si="4"/>
        <v>9.3394077448747156E-2</v>
      </c>
      <c r="AC51" s="6">
        <f t="shared" si="5"/>
        <v>0.14408602150537633</v>
      </c>
      <c r="AD51" s="6">
        <f t="shared" si="6"/>
        <v>0.20100502512562818</v>
      </c>
    </row>
    <row r="52" spans="1:30" x14ac:dyDescent="0.2">
      <c r="A52" s="2" t="s">
        <v>225</v>
      </c>
      <c r="B52" s="2">
        <v>2005</v>
      </c>
      <c r="C52" s="2">
        <v>1</v>
      </c>
      <c r="D52" s="2" t="s">
        <v>60</v>
      </c>
      <c r="E52" s="2" t="s">
        <v>3</v>
      </c>
      <c r="F52" s="2">
        <v>161</v>
      </c>
      <c r="G52" s="2">
        <v>591</v>
      </c>
      <c r="H52" s="2">
        <v>129</v>
      </c>
      <c r="I52" s="2">
        <v>195</v>
      </c>
      <c r="J52" s="2">
        <v>38</v>
      </c>
      <c r="K52" s="2">
        <v>2</v>
      </c>
      <c r="L52" s="2">
        <v>41</v>
      </c>
      <c r="M52" s="2">
        <v>117</v>
      </c>
      <c r="N52" s="2">
        <v>16</v>
      </c>
      <c r="O52" s="2">
        <v>2</v>
      </c>
      <c r="P52" s="2">
        <v>97</v>
      </c>
      <c r="Q52" s="2">
        <v>65</v>
      </c>
      <c r="R52" s="2" t="s">
        <v>62</v>
      </c>
      <c r="S52" s="2" t="s">
        <v>42</v>
      </c>
      <c r="T52" s="2" t="s">
        <v>28</v>
      </c>
      <c r="U52" s="2" t="s">
        <v>34</v>
      </c>
      <c r="V52" s="2" t="s">
        <v>52</v>
      </c>
      <c r="W52" s="2" t="s">
        <v>37</v>
      </c>
      <c r="X52" s="6">
        <f t="shared" si="0"/>
        <v>0.32994923857868019</v>
      </c>
      <c r="Y52" s="6">
        <f t="shared" si="1"/>
        <v>0.45116918844566711</v>
      </c>
      <c r="Z52" s="6">
        <f t="shared" si="2"/>
        <v>0.6091370558375635</v>
      </c>
      <c r="AA52" s="6">
        <f t="shared" si="3"/>
        <v>1.0603062442832307</v>
      </c>
      <c r="AB52" s="6">
        <f t="shared" si="4"/>
        <v>0.14098837209302326</v>
      </c>
      <c r="AC52" s="6">
        <f t="shared" si="5"/>
        <v>9.9085365853658541E-2</v>
      </c>
      <c r="AD52" s="6">
        <f t="shared" si="6"/>
        <v>0.27918781725888331</v>
      </c>
    </row>
    <row r="53" spans="1:30" x14ac:dyDescent="0.2">
      <c r="A53" s="3" t="s">
        <v>211</v>
      </c>
      <c r="B53" s="3">
        <v>2005</v>
      </c>
      <c r="C53" s="3">
        <v>1</v>
      </c>
      <c r="D53" s="3" t="s">
        <v>27</v>
      </c>
      <c r="E53" s="3" t="s">
        <v>3</v>
      </c>
      <c r="F53" s="3">
        <v>123</v>
      </c>
      <c r="G53" s="3">
        <v>463</v>
      </c>
      <c r="H53" s="3">
        <v>72</v>
      </c>
      <c r="I53" s="3">
        <v>140</v>
      </c>
      <c r="J53" s="3">
        <v>30</v>
      </c>
      <c r="K53" s="3">
        <v>0</v>
      </c>
      <c r="L53" s="3">
        <v>31</v>
      </c>
      <c r="M53" s="3">
        <v>92</v>
      </c>
      <c r="N53" s="3">
        <v>0</v>
      </c>
      <c r="O53" s="3">
        <v>1</v>
      </c>
      <c r="P53" s="3">
        <v>35</v>
      </c>
      <c r="Q53" s="3">
        <v>60</v>
      </c>
      <c r="R53" s="3" t="s">
        <v>33</v>
      </c>
      <c r="S53" s="3" t="s">
        <v>36</v>
      </c>
      <c r="T53" s="3" t="s">
        <v>28</v>
      </c>
      <c r="U53" s="3" t="s">
        <v>31</v>
      </c>
      <c r="V53" s="3" t="s">
        <v>44</v>
      </c>
      <c r="W53" s="3" t="s">
        <v>32</v>
      </c>
      <c r="X53" s="6">
        <f t="shared" si="0"/>
        <v>0.30237580993520519</v>
      </c>
      <c r="Y53" s="6">
        <f t="shared" si="1"/>
        <v>0.36274509803921567</v>
      </c>
      <c r="Z53" s="6">
        <f t="shared" si="2"/>
        <v>0.56803455723542118</v>
      </c>
      <c r="AA53" s="6">
        <f t="shared" si="3"/>
        <v>0.9307796552746368</v>
      </c>
      <c r="AB53" s="6">
        <f t="shared" si="4"/>
        <v>7.0281124497991967E-2</v>
      </c>
      <c r="AC53" s="6">
        <f t="shared" si="5"/>
        <v>0.1147227533460803</v>
      </c>
      <c r="AD53" s="6">
        <f t="shared" si="6"/>
        <v>0.26565874730021599</v>
      </c>
    </row>
    <row r="54" spans="1:30" x14ac:dyDescent="0.2">
      <c r="A54" s="2" t="s">
        <v>171</v>
      </c>
      <c r="B54" s="2">
        <v>2005</v>
      </c>
      <c r="C54" s="2">
        <v>1</v>
      </c>
      <c r="D54" s="2" t="s">
        <v>68</v>
      </c>
      <c r="E54" s="2" t="s">
        <v>6</v>
      </c>
      <c r="F54" s="2">
        <v>152</v>
      </c>
      <c r="G54" s="2">
        <v>554</v>
      </c>
      <c r="H54" s="2">
        <v>112</v>
      </c>
      <c r="I54" s="2">
        <v>162</v>
      </c>
      <c r="J54" s="2">
        <v>30</v>
      </c>
      <c r="K54" s="2">
        <v>1</v>
      </c>
      <c r="L54" s="2">
        <v>45</v>
      </c>
      <c r="M54" s="2">
        <v>144</v>
      </c>
      <c r="N54" s="2">
        <v>1</v>
      </c>
      <c r="O54" s="2">
        <v>0</v>
      </c>
      <c r="P54" s="2">
        <v>80</v>
      </c>
      <c r="Q54" s="2">
        <v>119</v>
      </c>
      <c r="R54" s="2" t="s">
        <v>42</v>
      </c>
      <c r="S54" s="2" t="s">
        <v>37</v>
      </c>
      <c r="T54" s="2" t="s">
        <v>28</v>
      </c>
      <c r="U54" s="2" t="s">
        <v>36</v>
      </c>
      <c r="V54" s="2" t="s">
        <v>54</v>
      </c>
      <c r="W54" s="2" t="s">
        <v>41</v>
      </c>
      <c r="X54" s="6">
        <f t="shared" si="0"/>
        <v>0.29241877256317689</v>
      </c>
      <c r="Y54" s="6">
        <f t="shared" si="1"/>
        <v>0.39605462822458271</v>
      </c>
      <c r="Z54" s="6">
        <f t="shared" si="2"/>
        <v>0.59386281588447654</v>
      </c>
      <c r="AA54" s="6">
        <f t="shared" si="3"/>
        <v>0.98991744410905924</v>
      </c>
      <c r="AB54" s="6">
        <f t="shared" si="4"/>
        <v>0.12618296529968454</v>
      </c>
      <c r="AC54" s="6">
        <f t="shared" si="5"/>
        <v>0.17682020802377416</v>
      </c>
      <c r="AD54" s="6">
        <f t="shared" si="6"/>
        <v>0.30144404332129965</v>
      </c>
    </row>
    <row r="55" spans="1:30" x14ac:dyDescent="0.2">
      <c r="A55" s="3" t="s">
        <v>226</v>
      </c>
      <c r="B55" s="3">
        <v>2005</v>
      </c>
      <c r="C55" s="3">
        <v>1</v>
      </c>
      <c r="D55" s="3" t="s">
        <v>78</v>
      </c>
      <c r="E55" s="3" t="s">
        <v>6</v>
      </c>
      <c r="F55" s="3">
        <v>143</v>
      </c>
      <c r="G55" s="3">
        <v>561</v>
      </c>
      <c r="H55" s="3">
        <v>92</v>
      </c>
      <c r="I55" s="3">
        <v>176</v>
      </c>
      <c r="J55" s="3">
        <v>45</v>
      </c>
      <c r="K55" s="3">
        <v>7</v>
      </c>
      <c r="L55" s="3">
        <v>18</v>
      </c>
      <c r="M55" s="3">
        <v>73</v>
      </c>
      <c r="N55" s="3">
        <v>27</v>
      </c>
      <c r="O55" s="3">
        <v>10</v>
      </c>
      <c r="P55" s="3">
        <v>67</v>
      </c>
      <c r="Q55" s="3">
        <v>83</v>
      </c>
      <c r="R55" s="3" t="s">
        <v>32</v>
      </c>
      <c r="S55" s="3" t="s">
        <v>34</v>
      </c>
      <c r="T55" s="3" t="s">
        <v>32</v>
      </c>
      <c r="U55" s="3" t="s">
        <v>33</v>
      </c>
      <c r="V55" s="3" t="s">
        <v>36</v>
      </c>
      <c r="W55" s="3" t="s">
        <v>33</v>
      </c>
      <c r="X55" s="6">
        <f t="shared" si="0"/>
        <v>0.31372549019607843</v>
      </c>
      <c r="Y55" s="6">
        <f t="shared" si="1"/>
        <v>0.39218750000000002</v>
      </c>
      <c r="Z55" s="6">
        <f t="shared" si="2"/>
        <v>0.51515151515151514</v>
      </c>
      <c r="AA55" s="6">
        <f t="shared" si="3"/>
        <v>0.90733901515151516</v>
      </c>
      <c r="AB55" s="6">
        <f t="shared" si="4"/>
        <v>0.10668789808917198</v>
      </c>
      <c r="AC55" s="6">
        <f t="shared" si="5"/>
        <v>0.12888198757763975</v>
      </c>
      <c r="AD55" s="6">
        <f t="shared" si="6"/>
        <v>0.20142602495543671</v>
      </c>
    </row>
    <row r="56" spans="1:30" x14ac:dyDescent="0.2">
      <c r="A56" s="2" t="s">
        <v>173</v>
      </c>
      <c r="B56" s="2">
        <v>2005</v>
      </c>
      <c r="C56" s="2">
        <v>1</v>
      </c>
      <c r="D56" s="2" t="s">
        <v>71</v>
      </c>
      <c r="E56" s="2" t="s">
        <v>6</v>
      </c>
      <c r="F56" s="2">
        <v>162</v>
      </c>
      <c r="G56" s="2">
        <v>605</v>
      </c>
      <c r="H56" s="2">
        <v>124</v>
      </c>
      <c r="I56" s="2">
        <v>194</v>
      </c>
      <c r="J56" s="2">
        <v>29</v>
      </c>
      <c r="K56" s="2">
        <v>1</v>
      </c>
      <c r="L56" s="2">
        <v>48</v>
      </c>
      <c r="M56" s="2">
        <v>130</v>
      </c>
      <c r="N56" s="2">
        <v>21</v>
      </c>
      <c r="O56" s="2">
        <v>6</v>
      </c>
      <c r="P56" s="2">
        <v>91</v>
      </c>
      <c r="Q56" s="2">
        <v>139</v>
      </c>
      <c r="R56" s="2" t="s">
        <v>39</v>
      </c>
      <c r="S56" s="2" t="s">
        <v>50</v>
      </c>
      <c r="T56" s="2" t="s">
        <v>28</v>
      </c>
      <c r="U56" s="2" t="s">
        <v>34</v>
      </c>
      <c r="V56" s="2" t="s">
        <v>39</v>
      </c>
      <c r="W56" s="2" t="s">
        <v>32</v>
      </c>
      <c r="X56" s="6">
        <f t="shared" si="0"/>
        <v>0.32066115702479336</v>
      </c>
      <c r="Y56" s="6">
        <f t="shared" si="1"/>
        <v>0.42738589211618255</v>
      </c>
      <c r="Z56" s="6">
        <f t="shared" si="2"/>
        <v>0.60991735537190084</v>
      </c>
      <c r="AA56" s="6">
        <f t="shared" si="3"/>
        <v>1.0373032474880834</v>
      </c>
      <c r="AB56" s="6">
        <f t="shared" si="4"/>
        <v>0.1307471264367816</v>
      </c>
      <c r="AC56" s="6">
        <f t="shared" si="5"/>
        <v>0.18682795698924731</v>
      </c>
      <c r="AD56" s="6">
        <f t="shared" si="6"/>
        <v>0.28925619834710747</v>
      </c>
    </row>
    <row r="57" spans="1:30" x14ac:dyDescent="0.2">
      <c r="A57" s="3" t="s">
        <v>240</v>
      </c>
      <c r="B57" s="3">
        <v>2005</v>
      </c>
      <c r="C57" s="3">
        <v>1</v>
      </c>
      <c r="D57" s="3" t="s">
        <v>90</v>
      </c>
      <c r="E57" s="3" t="s">
        <v>6</v>
      </c>
      <c r="F57" s="3">
        <v>162</v>
      </c>
      <c r="G57" s="3">
        <v>644</v>
      </c>
      <c r="H57" s="3">
        <v>112</v>
      </c>
      <c r="I57" s="3">
        <v>194</v>
      </c>
      <c r="J57" s="3">
        <v>41</v>
      </c>
      <c r="K57" s="3">
        <v>3</v>
      </c>
      <c r="L57" s="3">
        <v>43</v>
      </c>
      <c r="M57" s="3">
        <v>144</v>
      </c>
      <c r="N57" s="3">
        <v>4</v>
      </c>
      <c r="O57" s="3">
        <v>0</v>
      </c>
      <c r="P57" s="3">
        <v>72</v>
      </c>
      <c r="Q57" s="3">
        <v>124</v>
      </c>
      <c r="R57" s="3" t="s">
        <v>32</v>
      </c>
      <c r="S57" s="3" t="s">
        <v>40</v>
      </c>
      <c r="T57" s="3" t="s">
        <v>28</v>
      </c>
      <c r="U57" s="3" t="s">
        <v>34</v>
      </c>
      <c r="V57" s="3" t="s">
        <v>45</v>
      </c>
      <c r="W57" s="3" t="s">
        <v>34</v>
      </c>
      <c r="X57" s="6">
        <f t="shared" si="0"/>
        <v>0.30124223602484473</v>
      </c>
      <c r="Y57" s="6">
        <f t="shared" si="1"/>
        <v>0.3836734693877551</v>
      </c>
      <c r="Z57" s="6">
        <f t="shared" si="2"/>
        <v>0.57453416149068326</v>
      </c>
      <c r="AA57" s="6">
        <f t="shared" si="3"/>
        <v>0.95820763087843841</v>
      </c>
      <c r="AB57" s="6">
        <f t="shared" si="4"/>
        <v>0.1005586592178771</v>
      </c>
      <c r="AC57" s="6">
        <f t="shared" si="5"/>
        <v>0.16145833333333334</v>
      </c>
      <c r="AD57" s="6">
        <f t="shared" si="6"/>
        <v>0.27329192546583853</v>
      </c>
    </row>
    <row r="58" spans="1:30" x14ac:dyDescent="0.2">
      <c r="A58" s="2" t="s">
        <v>199</v>
      </c>
      <c r="B58" s="2">
        <v>2005</v>
      </c>
      <c r="C58" s="2">
        <v>1</v>
      </c>
      <c r="D58" s="2" t="s">
        <v>78</v>
      </c>
      <c r="E58" s="2" t="s">
        <v>6</v>
      </c>
      <c r="F58" s="2">
        <v>162</v>
      </c>
      <c r="G58" s="2">
        <v>654</v>
      </c>
      <c r="H58" s="2">
        <v>89</v>
      </c>
      <c r="I58" s="2">
        <v>199</v>
      </c>
      <c r="J58" s="2">
        <v>50</v>
      </c>
      <c r="K58" s="2">
        <v>5</v>
      </c>
      <c r="L58" s="2">
        <v>26</v>
      </c>
      <c r="M58" s="2">
        <v>98</v>
      </c>
      <c r="N58" s="2">
        <v>5</v>
      </c>
      <c r="O58" s="2">
        <v>1</v>
      </c>
      <c r="P58" s="2">
        <v>40</v>
      </c>
      <c r="Q58" s="2">
        <v>83</v>
      </c>
      <c r="R58" s="2" t="s">
        <v>42</v>
      </c>
      <c r="S58" s="2" t="s">
        <v>41</v>
      </c>
      <c r="T58" s="2" t="s">
        <v>28</v>
      </c>
      <c r="U58" s="2" t="s">
        <v>34</v>
      </c>
      <c r="V58" s="2" t="s">
        <v>61</v>
      </c>
      <c r="W58" s="2" t="s">
        <v>36</v>
      </c>
      <c r="X58" s="6">
        <f t="shared" si="0"/>
        <v>0.30428134556574926</v>
      </c>
      <c r="Y58" s="6">
        <f t="shared" si="1"/>
        <v>0.35764375876577842</v>
      </c>
      <c r="Z58" s="6">
        <f t="shared" si="2"/>
        <v>0.51529051987767582</v>
      </c>
      <c r="AA58" s="6">
        <f t="shared" si="3"/>
        <v>0.87293427864345419</v>
      </c>
      <c r="AB58" s="6">
        <f t="shared" si="4"/>
        <v>5.7636887608069162E-2</v>
      </c>
      <c r="AC58" s="6">
        <f t="shared" si="5"/>
        <v>0.11261872455902307</v>
      </c>
      <c r="AD58" s="6">
        <f t="shared" si="6"/>
        <v>0.21100917431192656</v>
      </c>
    </row>
    <row r="59" spans="1:30" x14ac:dyDescent="0.2">
      <c r="A59" s="3" t="s">
        <v>200</v>
      </c>
      <c r="B59" s="3">
        <v>2005</v>
      </c>
      <c r="C59" s="3">
        <v>1</v>
      </c>
      <c r="D59" s="3" t="s">
        <v>68</v>
      </c>
      <c r="E59" s="3" t="s">
        <v>6</v>
      </c>
      <c r="F59" s="3">
        <v>133</v>
      </c>
      <c r="G59" s="3">
        <v>470</v>
      </c>
      <c r="H59" s="3">
        <v>70</v>
      </c>
      <c r="I59" s="3">
        <v>132</v>
      </c>
      <c r="J59" s="3">
        <v>30</v>
      </c>
      <c r="K59" s="3">
        <v>1</v>
      </c>
      <c r="L59" s="3">
        <v>22</v>
      </c>
      <c r="M59" s="3">
        <v>70</v>
      </c>
      <c r="N59" s="3">
        <v>2</v>
      </c>
      <c r="O59" s="3">
        <v>0</v>
      </c>
      <c r="P59" s="3">
        <v>62</v>
      </c>
      <c r="Q59" s="3">
        <v>117</v>
      </c>
      <c r="R59" s="3" t="s">
        <v>34</v>
      </c>
      <c r="S59" s="3" t="s">
        <v>34</v>
      </c>
      <c r="T59" s="3" t="s">
        <v>30</v>
      </c>
      <c r="U59" s="3" t="s">
        <v>34</v>
      </c>
      <c r="V59" s="3" t="s">
        <v>37</v>
      </c>
      <c r="W59" s="3" t="s">
        <v>31</v>
      </c>
      <c r="X59" s="6">
        <f t="shared" si="0"/>
        <v>0.28085106382978725</v>
      </c>
      <c r="Y59" s="6">
        <f t="shared" si="1"/>
        <v>0.36968576709796674</v>
      </c>
      <c r="Z59" s="6">
        <f t="shared" si="2"/>
        <v>0.48936170212765956</v>
      </c>
      <c r="AA59" s="6">
        <f t="shared" si="3"/>
        <v>0.85904746922562625</v>
      </c>
      <c r="AB59" s="6">
        <f t="shared" si="4"/>
        <v>0.11654135338345864</v>
      </c>
      <c r="AC59" s="6">
        <f t="shared" si="5"/>
        <v>0.19931856899488926</v>
      </c>
      <c r="AD59" s="6">
        <f t="shared" si="6"/>
        <v>0.20851063829787231</v>
      </c>
    </row>
    <row r="60" spans="1:30" x14ac:dyDescent="0.2">
      <c r="A60" s="2" t="s">
        <v>234</v>
      </c>
      <c r="B60" s="2">
        <v>2006</v>
      </c>
      <c r="C60" s="2">
        <v>1</v>
      </c>
      <c r="D60" s="2" t="s">
        <v>46</v>
      </c>
      <c r="E60" s="2" t="s">
        <v>3</v>
      </c>
      <c r="F60" s="2">
        <v>159</v>
      </c>
      <c r="G60" s="2">
        <v>570</v>
      </c>
      <c r="H60" s="2">
        <v>101</v>
      </c>
      <c r="I60" s="2">
        <v>163</v>
      </c>
      <c r="J60" s="2">
        <v>29</v>
      </c>
      <c r="K60" s="2">
        <v>3</v>
      </c>
      <c r="L60" s="2">
        <v>35</v>
      </c>
      <c r="M60" s="2">
        <v>109</v>
      </c>
      <c r="N60" s="2">
        <v>11</v>
      </c>
      <c r="O60" s="2">
        <v>2</v>
      </c>
      <c r="P60" s="2">
        <v>102</v>
      </c>
      <c r="Q60" s="2">
        <v>156</v>
      </c>
      <c r="R60" s="2" t="s">
        <v>42</v>
      </c>
      <c r="S60" s="2" t="s">
        <v>39</v>
      </c>
      <c r="T60" s="2" t="s">
        <v>28</v>
      </c>
      <c r="U60" s="2" t="s">
        <v>42</v>
      </c>
      <c r="V60" s="2" t="s">
        <v>44</v>
      </c>
      <c r="W60" s="2" t="s">
        <v>42</v>
      </c>
      <c r="X60" s="6">
        <f t="shared" si="0"/>
        <v>0.28596491228070176</v>
      </c>
      <c r="Y60" s="6">
        <f t="shared" si="1"/>
        <v>0.4040114613180516</v>
      </c>
      <c r="Z60" s="6">
        <f t="shared" si="2"/>
        <v>0.53157894736842104</v>
      </c>
      <c r="AA60" s="6">
        <f t="shared" si="3"/>
        <v>0.93559040868647259</v>
      </c>
      <c r="AB60" s="6">
        <f t="shared" si="4"/>
        <v>0.15178571428571427</v>
      </c>
      <c r="AC60" s="6">
        <f t="shared" si="5"/>
        <v>0.21487603305785125</v>
      </c>
      <c r="AD60" s="6">
        <f t="shared" si="6"/>
        <v>0.24561403508771928</v>
      </c>
    </row>
    <row r="61" spans="1:30" x14ac:dyDescent="0.2">
      <c r="A61" s="3" t="s">
        <v>206</v>
      </c>
      <c r="B61" s="3">
        <v>2006</v>
      </c>
      <c r="C61" s="3">
        <v>1</v>
      </c>
      <c r="D61" s="3" t="s">
        <v>83</v>
      </c>
      <c r="E61" s="3" t="s">
        <v>3</v>
      </c>
      <c r="F61" s="3">
        <v>140</v>
      </c>
      <c r="G61" s="3">
        <v>510</v>
      </c>
      <c r="H61" s="3">
        <v>127</v>
      </c>
      <c r="I61" s="3">
        <v>140</v>
      </c>
      <c r="J61" s="3">
        <v>38</v>
      </c>
      <c r="K61" s="3">
        <v>1</v>
      </c>
      <c r="L61" s="3">
        <v>41</v>
      </c>
      <c r="M61" s="3">
        <v>116</v>
      </c>
      <c r="N61" s="3">
        <v>18</v>
      </c>
      <c r="O61" s="3">
        <v>3</v>
      </c>
      <c r="P61" s="3">
        <v>95</v>
      </c>
      <c r="Q61" s="3">
        <v>99</v>
      </c>
      <c r="R61" s="3" t="s">
        <v>36</v>
      </c>
      <c r="S61" s="3" t="s">
        <v>33</v>
      </c>
      <c r="T61" s="3" t="s">
        <v>30</v>
      </c>
      <c r="U61" s="3" t="s">
        <v>41</v>
      </c>
      <c r="V61" s="3" t="s">
        <v>36</v>
      </c>
      <c r="W61" s="3" t="s">
        <v>39</v>
      </c>
      <c r="X61" s="6">
        <f t="shared" si="0"/>
        <v>0.27450980392156865</v>
      </c>
      <c r="Y61" s="6">
        <f t="shared" si="1"/>
        <v>0.39389067524115756</v>
      </c>
      <c r="Z61" s="6">
        <f t="shared" si="2"/>
        <v>0.59411764705882353</v>
      </c>
      <c r="AA61" s="6">
        <f t="shared" si="3"/>
        <v>0.98800832229998115</v>
      </c>
      <c r="AB61" s="6">
        <f t="shared" si="4"/>
        <v>0.15702479338842976</v>
      </c>
      <c r="AC61" s="6">
        <f t="shared" si="5"/>
        <v>0.1625615763546798</v>
      </c>
      <c r="AD61" s="6">
        <f t="shared" si="6"/>
        <v>0.31960784313725488</v>
      </c>
    </row>
    <row r="62" spans="1:30" x14ac:dyDescent="0.2">
      <c r="A62" s="2" t="s">
        <v>186</v>
      </c>
      <c r="B62" s="2">
        <v>2006</v>
      </c>
      <c r="C62" s="2">
        <v>1</v>
      </c>
      <c r="D62" s="2" t="s">
        <v>2</v>
      </c>
      <c r="E62" s="2" t="s">
        <v>6</v>
      </c>
      <c r="F62" s="2">
        <v>156</v>
      </c>
      <c r="G62" s="2">
        <v>607</v>
      </c>
      <c r="H62" s="2">
        <v>92</v>
      </c>
      <c r="I62" s="2">
        <v>200</v>
      </c>
      <c r="J62" s="2">
        <v>34</v>
      </c>
      <c r="K62" s="2">
        <v>1</v>
      </c>
      <c r="L62" s="2">
        <v>33</v>
      </c>
      <c r="M62" s="2">
        <v>116</v>
      </c>
      <c r="N62" s="2">
        <v>15</v>
      </c>
      <c r="O62" s="2">
        <v>5</v>
      </c>
      <c r="P62" s="2">
        <v>50</v>
      </c>
      <c r="Q62" s="2">
        <v>68</v>
      </c>
      <c r="R62" s="2" t="s">
        <v>55</v>
      </c>
      <c r="S62" s="2" t="s">
        <v>33</v>
      </c>
      <c r="T62" s="2" t="s">
        <v>28</v>
      </c>
      <c r="U62" s="2" t="s">
        <v>33</v>
      </c>
      <c r="V62" s="2" t="s">
        <v>50</v>
      </c>
      <c r="W62" s="2" t="s">
        <v>41</v>
      </c>
      <c r="X62" s="6">
        <f t="shared" si="0"/>
        <v>0.32948929159802304</v>
      </c>
      <c r="Y62" s="6">
        <f t="shared" si="1"/>
        <v>0.40434782608695652</v>
      </c>
      <c r="Z62" s="6">
        <f t="shared" si="2"/>
        <v>0.55189456342668863</v>
      </c>
      <c r="AA62" s="6">
        <f t="shared" si="3"/>
        <v>0.95624238951364515</v>
      </c>
      <c r="AB62" s="6">
        <f t="shared" si="4"/>
        <v>7.6103500761035003E-2</v>
      </c>
      <c r="AC62" s="6">
        <f t="shared" si="5"/>
        <v>0.10074074074074074</v>
      </c>
      <c r="AD62" s="6">
        <f t="shared" si="6"/>
        <v>0.2224052718286656</v>
      </c>
    </row>
    <row r="63" spans="1:30" x14ac:dyDescent="0.2">
      <c r="A63" s="3" t="s">
        <v>177</v>
      </c>
      <c r="B63" s="3">
        <v>2006</v>
      </c>
      <c r="C63" s="3">
        <v>1</v>
      </c>
      <c r="D63" s="3" t="s">
        <v>71</v>
      </c>
      <c r="E63" s="3" t="s">
        <v>6</v>
      </c>
      <c r="F63" s="3">
        <v>154</v>
      </c>
      <c r="G63" s="3">
        <v>623</v>
      </c>
      <c r="H63" s="3">
        <v>118</v>
      </c>
      <c r="I63" s="3">
        <v>214</v>
      </c>
      <c r="J63" s="3">
        <v>39</v>
      </c>
      <c r="K63" s="3">
        <v>3</v>
      </c>
      <c r="L63" s="3">
        <v>14</v>
      </c>
      <c r="M63" s="3">
        <v>97</v>
      </c>
      <c r="N63" s="3">
        <v>34</v>
      </c>
      <c r="O63" s="3">
        <v>5</v>
      </c>
      <c r="P63" s="3">
        <v>69</v>
      </c>
      <c r="Q63" s="3">
        <v>102</v>
      </c>
      <c r="R63" s="3" t="s">
        <v>33</v>
      </c>
      <c r="S63" s="3" t="s">
        <v>38</v>
      </c>
      <c r="T63" s="3" t="s">
        <v>41</v>
      </c>
      <c r="U63" s="3" t="s">
        <v>33</v>
      </c>
      <c r="V63" s="3" t="s">
        <v>35</v>
      </c>
      <c r="W63" s="3" t="s">
        <v>36</v>
      </c>
      <c r="X63" s="6">
        <f t="shared" si="0"/>
        <v>0.3434991974317817</v>
      </c>
      <c r="Y63" s="6">
        <f t="shared" si="1"/>
        <v>0.4199438202247191</v>
      </c>
      <c r="Z63" s="6">
        <f t="shared" si="2"/>
        <v>0.48314606741573035</v>
      </c>
      <c r="AA63" s="6">
        <f t="shared" si="3"/>
        <v>0.9030898876404494</v>
      </c>
      <c r="AB63" s="6">
        <f t="shared" si="4"/>
        <v>9.9710982658959543E-2</v>
      </c>
      <c r="AC63" s="6">
        <f t="shared" si="5"/>
        <v>0.1406896551724138</v>
      </c>
      <c r="AD63" s="6">
        <f t="shared" si="6"/>
        <v>0.13964686998394865</v>
      </c>
    </row>
    <row r="64" spans="1:30" x14ac:dyDescent="0.2">
      <c r="A64" s="2" t="s">
        <v>209</v>
      </c>
      <c r="B64" s="2">
        <v>2006</v>
      </c>
      <c r="C64" s="2">
        <v>1</v>
      </c>
      <c r="D64" s="2" t="s">
        <v>83</v>
      </c>
      <c r="E64" s="2" t="s">
        <v>3</v>
      </c>
      <c r="F64" s="2">
        <v>124</v>
      </c>
      <c r="G64" s="2">
        <v>512</v>
      </c>
      <c r="H64" s="2">
        <v>80</v>
      </c>
      <c r="I64" s="2">
        <v>163</v>
      </c>
      <c r="J64" s="2">
        <v>39</v>
      </c>
      <c r="K64" s="2">
        <v>1</v>
      </c>
      <c r="L64" s="2">
        <v>5</v>
      </c>
      <c r="M64" s="2">
        <v>49</v>
      </c>
      <c r="N64" s="2">
        <v>3</v>
      </c>
      <c r="O64" s="2">
        <v>0</v>
      </c>
      <c r="P64" s="2">
        <v>24</v>
      </c>
      <c r="Q64" s="2">
        <v>38</v>
      </c>
      <c r="R64" s="2" t="s">
        <v>28</v>
      </c>
      <c r="S64" s="2" t="s">
        <v>36</v>
      </c>
      <c r="T64" s="2" t="s">
        <v>41</v>
      </c>
      <c r="U64" s="2" t="s">
        <v>31</v>
      </c>
      <c r="V64" s="2" t="s">
        <v>44</v>
      </c>
      <c r="W64" s="2" t="s">
        <v>31</v>
      </c>
      <c r="X64" s="6">
        <f t="shared" si="0"/>
        <v>0.318359375</v>
      </c>
      <c r="Y64" s="6">
        <f t="shared" si="1"/>
        <v>0.3547794117647059</v>
      </c>
      <c r="Z64" s="6">
        <f t="shared" si="2"/>
        <v>0.427734375</v>
      </c>
      <c r="AA64" s="6">
        <f t="shared" si="3"/>
        <v>0.78251378676470584</v>
      </c>
      <c r="AB64" s="6">
        <f t="shared" si="4"/>
        <v>4.4776119402985072E-2</v>
      </c>
      <c r="AC64" s="6">
        <f t="shared" si="5"/>
        <v>6.9090909090909092E-2</v>
      </c>
      <c r="AD64" s="6">
        <f t="shared" si="6"/>
        <v>0.109375</v>
      </c>
    </row>
    <row r="65" spans="1:30" x14ac:dyDescent="0.2">
      <c r="A65" s="3" t="s">
        <v>179</v>
      </c>
      <c r="B65" s="3">
        <v>2006</v>
      </c>
      <c r="C65" s="3">
        <v>1</v>
      </c>
      <c r="D65" s="3" t="s">
        <v>68</v>
      </c>
      <c r="E65" s="3" t="s">
        <v>6</v>
      </c>
      <c r="F65" s="3">
        <v>155</v>
      </c>
      <c r="G65" s="3">
        <v>635</v>
      </c>
      <c r="H65" s="3">
        <v>75</v>
      </c>
      <c r="I65" s="3">
        <v>181</v>
      </c>
      <c r="J65" s="3">
        <v>33</v>
      </c>
      <c r="K65" s="3">
        <v>0</v>
      </c>
      <c r="L65" s="3">
        <v>5</v>
      </c>
      <c r="M65" s="3">
        <v>59</v>
      </c>
      <c r="N65" s="3">
        <v>4</v>
      </c>
      <c r="O65" s="3">
        <v>1</v>
      </c>
      <c r="P65" s="3">
        <v>49</v>
      </c>
      <c r="Q65" s="3">
        <v>63</v>
      </c>
      <c r="R65" s="3" t="s">
        <v>30</v>
      </c>
      <c r="S65" s="3" t="s">
        <v>38</v>
      </c>
      <c r="T65" s="3" t="s">
        <v>31</v>
      </c>
      <c r="U65" s="3" t="s">
        <v>32</v>
      </c>
      <c r="V65" s="3" t="s">
        <v>50</v>
      </c>
      <c r="W65" s="3" t="s">
        <v>33</v>
      </c>
      <c r="X65" s="6">
        <f t="shared" si="0"/>
        <v>0.28503937007874014</v>
      </c>
      <c r="Y65" s="6">
        <f t="shared" si="1"/>
        <v>0.34615384615384615</v>
      </c>
      <c r="Z65" s="6">
        <f t="shared" si="2"/>
        <v>0.3606299212598425</v>
      </c>
      <c r="AA65" s="6">
        <f t="shared" si="3"/>
        <v>0.70678376741368865</v>
      </c>
      <c r="AB65" s="6">
        <f t="shared" si="4"/>
        <v>7.1637426900584791E-2</v>
      </c>
      <c r="AC65" s="6">
        <f t="shared" si="5"/>
        <v>9.0257879656160458E-2</v>
      </c>
      <c r="AD65" s="6">
        <f t="shared" si="6"/>
        <v>7.5590551181102361E-2</v>
      </c>
    </row>
    <row r="66" spans="1:30" x14ac:dyDescent="0.2">
      <c r="A66" s="2" t="s">
        <v>198</v>
      </c>
      <c r="B66" s="2">
        <v>2006</v>
      </c>
      <c r="C66" s="2">
        <v>1</v>
      </c>
      <c r="D66" s="2" t="s">
        <v>68</v>
      </c>
      <c r="E66" s="2" t="s">
        <v>6</v>
      </c>
      <c r="F66" s="2">
        <v>151</v>
      </c>
      <c r="G66" s="2">
        <v>558</v>
      </c>
      <c r="H66" s="2">
        <v>115</v>
      </c>
      <c r="I66" s="2">
        <v>160</v>
      </c>
      <c r="J66" s="2">
        <v>29</v>
      </c>
      <c r="K66" s="2">
        <v>2</v>
      </c>
      <c r="L66" s="2">
        <v>54</v>
      </c>
      <c r="M66" s="2">
        <v>137</v>
      </c>
      <c r="N66" s="2">
        <v>1</v>
      </c>
      <c r="O66" s="2">
        <v>0</v>
      </c>
      <c r="P66" s="2">
        <v>119</v>
      </c>
      <c r="Q66" s="2">
        <v>117</v>
      </c>
      <c r="R66" s="2" t="s">
        <v>63</v>
      </c>
      <c r="S66" s="2" t="s">
        <v>33</v>
      </c>
      <c r="T66" s="2" t="s">
        <v>28</v>
      </c>
      <c r="U66" s="2" t="s">
        <v>32</v>
      </c>
      <c r="V66" s="2" t="s">
        <v>38</v>
      </c>
      <c r="W66" s="2" t="s">
        <v>34</v>
      </c>
      <c r="X66" s="6">
        <f t="shared" si="0"/>
        <v>0.28673835125448027</v>
      </c>
      <c r="Y66" s="6">
        <f t="shared" si="1"/>
        <v>0.43159379407616361</v>
      </c>
      <c r="Z66" s="6">
        <f t="shared" si="2"/>
        <v>0.63620071684587809</v>
      </c>
      <c r="AA66" s="6">
        <f t="shared" si="3"/>
        <v>1.0677945109220417</v>
      </c>
      <c r="AB66" s="6">
        <f t="shared" si="4"/>
        <v>0.17577548005908419</v>
      </c>
      <c r="AC66" s="6">
        <f t="shared" si="5"/>
        <v>0.17333333333333334</v>
      </c>
      <c r="AD66" s="6">
        <f t="shared" si="6"/>
        <v>0.34946236559139782</v>
      </c>
    </row>
    <row r="67" spans="1:30" x14ac:dyDescent="0.2">
      <c r="A67" s="3" t="s">
        <v>219</v>
      </c>
      <c r="B67" s="3">
        <v>2006</v>
      </c>
      <c r="C67" s="3">
        <v>1</v>
      </c>
      <c r="D67" s="3" t="s">
        <v>80</v>
      </c>
      <c r="E67" s="3" t="s">
        <v>3</v>
      </c>
      <c r="F67" s="3">
        <v>34</v>
      </c>
      <c r="G67" s="3">
        <v>65</v>
      </c>
      <c r="H67" s="3">
        <v>3</v>
      </c>
      <c r="I67" s="3">
        <v>12</v>
      </c>
      <c r="J67" s="3">
        <v>3</v>
      </c>
      <c r="K67" s="3">
        <v>0</v>
      </c>
      <c r="L67" s="3">
        <v>0</v>
      </c>
      <c r="M67" s="3">
        <v>5</v>
      </c>
      <c r="N67" s="3">
        <v>0</v>
      </c>
      <c r="O67" s="3">
        <v>0</v>
      </c>
      <c r="P67" s="3">
        <v>0</v>
      </c>
      <c r="Q67" s="3">
        <v>16</v>
      </c>
      <c r="R67" s="3" t="s">
        <v>28</v>
      </c>
      <c r="S67" s="3" t="s">
        <v>28</v>
      </c>
      <c r="T67" s="3" t="s">
        <v>32</v>
      </c>
      <c r="U67" s="3" t="s">
        <v>28</v>
      </c>
      <c r="V67" s="3" t="s">
        <v>28</v>
      </c>
      <c r="W67" s="3" t="s">
        <v>30</v>
      </c>
      <c r="X67" s="6">
        <f t="shared" ref="X67:X130" si="7">I67/G67</f>
        <v>0.18461538461538463</v>
      </c>
      <c r="Y67" s="6">
        <f t="shared" ref="Y67:Y130" si="8">(I67+P67+R67+S67)/(G67+P67+R67+S67+U67)</f>
        <v>0.18461538461538463</v>
      </c>
      <c r="Z67" s="6">
        <f t="shared" ref="Z67:Z130" si="9">((I67-J67-K67-L67)+(2*J67)+(3*K67)+(4*L67))/G67</f>
        <v>0.23076923076923078</v>
      </c>
      <c r="AA67" s="6">
        <f t="shared" ref="AA67:AA130" si="10">Y67+Z67</f>
        <v>0.41538461538461541</v>
      </c>
      <c r="AB67" s="6">
        <f t="shared" ref="AB67:AB130" si="11">P67/(P67+G67)</f>
        <v>0</v>
      </c>
      <c r="AC67" s="6">
        <f t="shared" ref="AC67:AC130" si="12">Q67/(Q67+G67)</f>
        <v>0.19753086419753085</v>
      </c>
      <c r="AD67" s="6">
        <f t="shared" ref="AD67:AD130" si="13">Z67-X67</f>
        <v>4.6153846153846156E-2</v>
      </c>
    </row>
    <row r="68" spans="1:30" x14ac:dyDescent="0.2">
      <c r="A68" s="2" t="s">
        <v>225</v>
      </c>
      <c r="B68" s="2">
        <v>2006</v>
      </c>
      <c r="C68" s="2">
        <v>1</v>
      </c>
      <c r="D68" s="2" t="s">
        <v>60</v>
      </c>
      <c r="E68" s="2" t="s">
        <v>3</v>
      </c>
      <c r="F68" s="2">
        <v>143</v>
      </c>
      <c r="G68" s="2">
        <v>535</v>
      </c>
      <c r="H68" s="2">
        <v>119</v>
      </c>
      <c r="I68" s="2">
        <v>177</v>
      </c>
      <c r="J68" s="2">
        <v>33</v>
      </c>
      <c r="K68" s="2">
        <v>1</v>
      </c>
      <c r="L68" s="2">
        <v>49</v>
      </c>
      <c r="M68" s="2">
        <v>137</v>
      </c>
      <c r="N68" s="2">
        <v>7</v>
      </c>
      <c r="O68" s="2">
        <v>2</v>
      </c>
      <c r="P68" s="2">
        <v>92</v>
      </c>
      <c r="Q68" s="2">
        <v>50</v>
      </c>
      <c r="R68" s="2" t="s">
        <v>58</v>
      </c>
      <c r="S68" s="2" t="s">
        <v>33</v>
      </c>
      <c r="T68" s="2" t="s">
        <v>28</v>
      </c>
      <c r="U68" s="2" t="s">
        <v>34</v>
      </c>
      <c r="V68" s="2" t="s">
        <v>54</v>
      </c>
      <c r="W68" s="2" t="s">
        <v>34</v>
      </c>
      <c r="X68" s="6">
        <f t="shared" si="7"/>
        <v>0.33084112149532713</v>
      </c>
      <c r="Y68" s="6">
        <f t="shared" si="8"/>
        <v>0.45468277945619334</v>
      </c>
      <c r="Z68" s="6">
        <f t="shared" si="9"/>
        <v>0.67102803738317762</v>
      </c>
      <c r="AA68" s="6">
        <f t="shared" si="10"/>
        <v>1.125710816839371</v>
      </c>
      <c r="AB68" s="6">
        <f t="shared" si="11"/>
        <v>0.14673046251993621</v>
      </c>
      <c r="AC68" s="6">
        <f t="shared" si="12"/>
        <v>8.5470085470085472E-2</v>
      </c>
      <c r="AD68" s="6">
        <f t="shared" si="13"/>
        <v>0.34018691588785049</v>
      </c>
    </row>
    <row r="69" spans="1:30" x14ac:dyDescent="0.2">
      <c r="A69" s="3" t="s">
        <v>189</v>
      </c>
      <c r="B69" s="3">
        <v>2006</v>
      </c>
      <c r="C69" s="3">
        <v>1</v>
      </c>
      <c r="D69" s="3" t="s">
        <v>85</v>
      </c>
      <c r="E69" s="3" t="s">
        <v>3</v>
      </c>
      <c r="F69" s="3">
        <v>149</v>
      </c>
      <c r="G69" s="3">
        <v>598</v>
      </c>
      <c r="H69" s="3">
        <v>100</v>
      </c>
      <c r="I69" s="3">
        <v>175</v>
      </c>
      <c r="J69" s="3">
        <v>40</v>
      </c>
      <c r="K69" s="3">
        <v>2</v>
      </c>
      <c r="L69" s="3">
        <v>14</v>
      </c>
      <c r="M69" s="3">
        <v>70</v>
      </c>
      <c r="N69" s="3">
        <v>17</v>
      </c>
      <c r="O69" s="3">
        <v>6</v>
      </c>
      <c r="P69" s="3">
        <v>62</v>
      </c>
      <c r="Q69" s="3">
        <v>89</v>
      </c>
      <c r="R69" s="3" t="s">
        <v>28</v>
      </c>
      <c r="S69" s="3" t="s">
        <v>34</v>
      </c>
      <c r="T69" s="3" t="s">
        <v>39</v>
      </c>
      <c r="U69" s="3" t="s">
        <v>31</v>
      </c>
      <c r="V69" s="3" t="s">
        <v>47</v>
      </c>
      <c r="W69" s="3" t="s">
        <v>36</v>
      </c>
      <c r="X69" s="6">
        <f t="shared" si="7"/>
        <v>0.29264214046822745</v>
      </c>
      <c r="Y69" s="6">
        <f t="shared" si="8"/>
        <v>0.36090225563909772</v>
      </c>
      <c r="Z69" s="6">
        <f t="shared" si="9"/>
        <v>0.43645484949832775</v>
      </c>
      <c r="AA69" s="6">
        <f t="shared" si="10"/>
        <v>0.79735710513742553</v>
      </c>
      <c r="AB69" s="6">
        <f t="shared" si="11"/>
        <v>9.3939393939393934E-2</v>
      </c>
      <c r="AC69" s="6">
        <f t="shared" si="12"/>
        <v>0.12954876273653565</v>
      </c>
      <c r="AD69" s="6">
        <f t="shared" si="13"/>
        <v>0.14381270903010029</v>
      </c>
    </row>
    <row r="70" spans="1:30" x14ac:dyDescent="0.2">
      <c r="A70" s="2" t="s">
        <v>173</v>
      </c>
      <c r="B70" s="2">
        <v>2006</v>
      </c>
      <c r="C70" s="2">
        <v>1</v>
      </c>
      <c r="D70" s="2" t="s">
        <v>71</v>
      </c>
      <c r="E70" s="2" t="s">
        <v>6</v>
      </c>
      <c r="F70" s="2">
        <v>154</v>
      </c>
      <c r="G70" s="2">
        <v>572</v>
      </c>
      <c r="H70" s="2">
        <v>113</v>
      </c>
      <c r="I70" s="2">
        <v>166</v>
      </c>
      <c r="J70" s="2">
        <v>26</v>
      </c>
      <c r="K70" s="2">
        <v>1</v>
      </c>
      <c r="L70" s="2">
        <v>35</v>
      </c>
      <c r="M70" s="2">
        <v>121</v>
      </c>
      <c r="N70" s="2">
        <v>15</v>
      </c>
      <c r="O70" s="2">
        <v>4</v>
      </c>
      <c r="P70" s="2">
        <v>90</v>
      </c>
      <c r="Q70" s="2">
        <v>139</v>
      </c>
      <c r="R70" s="2" t="s">
        <v>39</v>
      </c>
      <c r="S70" s="2" t="s">
        <v>39</v>
      </c>
      <c r="T70" s="2" t="s">
        <v>28</v>
      </c>
      <c r="U70" s="2" t="s">
        <v>33</v>
      </c>
      <c r="V70" s="2" t="s">
        <v>64</v>
      </c>
      <c r="W70" s="2" t="s">
        <v>32</v>
      </c>
      <c r="X70" s="6">
        <f t="shared" si="7"/>
        <v>0.29020979020979021</v>
      </c>
      <c r="Y70" s="6">
        <f t="shared" si="8"/>
        <v>0.39882697947214074</v>
      </c>
      <c r="Z70" s="6">
        <f t="shared" si="9"/>
        <v>0.52272727272727271</v>
      </c>
      <c r="AA70" s="6">
        <f t="shared" si="10"/>
        <v>0.92155425219941345</v>
      </c>
      <c r="AB70" s="6">
        <f t="shared" si="11"/>
        <v>0.13595166163141995</v>
      </c>
      <c r="AC70" s="6">
        <f t="shared" si="12"/>
        <v>0.19549929676511954</v>
      </c>
      <c r="AD70" s="6">
        <f t="shared" si="13"/>
        <v>0.2325174825174825</v>
      </c>
    </row>
    <row r="71" spans="1:30" x14ac:dyDescent="0.2">
      <c r="A71" s="3" t="s">
        <v>155</v>
      </c>
      <c r="B71" s="3">
        <v>2006</v>
      </c>
      <c r="C71" s="3">
        <v>1</v>
      </c>
      <c r="D71" s="3" t="s">
        <v>67</v>
      </c>
      <c r="E71" s="3" t="s">
        <v>6</v>
      </c>
      <c r="F71" s="3">
        <v>136</v>
      </c>
      <c r="G71" s="3">
        <v>547</v>
      </c>
      <c r="H71" s="3">
        <v>74</v>
      </c>
      <c r="I71" s="3">
        <v>164</v>
      </c>
      <c r="J71" s="3">
        <v>28</v>
      </c>
      <c r="K71" s="3">
        <v>4</v>
      </c>
      <c r="L71" s="3">
        <v>13</v>
      </c>
      <c r="M71" s="3">
        <v>69</v>
      </c>
      <c r="N71" s="3">
        <v>8</v>
      </c>
      <c r="O71" s="3">
        <v>3</v>
      </c>
      <c r="P71" s="3">
        <v>26</v>
      </c>
      <c r="Q71" s="3">
        <v>86</v>
      </c>
      <c r="R71" s="3" t="s">
        <v>33</v>
      </c>
      <c r="S71" s="3" t="s">
        <v>30</v>
      </c>
      <c r="T71" s="3" t="s">
        <v>33</v>
      </c>
      <c r="U71" s="3" t="s">
        <v>31</v>
      </c>
      <c r="V71" s="3" t="s">
        <v>50</v>
      </c>
      <c r="W71" s="3" t="s">
        <v>31</v>
      </c>
      <c r="X71" s="6">
        <f t="shared" si="7"/>
        <v>0.29981718464351004</v>
      </c>
      <c r="Y71" s="6">
        <f t="shared" si="8"/>
        <v>0.33620689655172414</v>
      </c>
      <c r="Z71" s="6">
        <f t="shared" si="9"/>
        <v>0.43692870201096889</v>
      </c>
      <c r="AA71" s="6">
        <f t="shared" si="10"/>
        <v>0.77313559856269309</v>
      </c>
      <c r="AB71" s="6">
        <f t="shared" si="11"/>
        <v>4.5375218150087257E-2</v>
      </c>
      <c r="AC71" s="6">
        <f t="shared" si="12"/>
        <v>0.1358609794628752</v>
      </c>
      <c r="AD71" s="6">
        <f t="shared" si="13"/>
        <v>0.13711151736745886</v>
      </c>
    </row>
    <row r="72" spans="1:30" x14ac:dyDescent="0.2">
      <c r="A72" s="2" t="s">
        <v>142</v>
      </c>
      <c r="B72" s="2">
        <v>2006</v>
      </c>
      <c r="C72" s="2">
        <v>1</v>
      </c>
      <c r="D72" s="2" t="s">
        <v>67</v>
      </c>
      <c r="E72" s="2" t="s">
        <v>6</v>
      </c>
      <c r="F72" s="2">
        <v>34</v>
      </c>
      <c r="G72" s="2">
        <v>7</v>
      </c>
      <c r="H72" s="2">
        <v>0</v>
      </c>
      <c r="I72" s="2">
        <v>1</v>
      </c>
      <c r="J72" s="2">
        <v>1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2</v>
      </c>
      <c r="R72" s="2" t="s">
        <v>28</v>
      </c>
      <c r="S72" s="2" t="s">
        <v>28</v>
      </c>
      <c r="T72" s="2" t="s">
        <v>28</v>
      </c>
      <c r="U72" s="2" t="s">
        <v>28</v>
      </c>
      <c r="V72" s="2" t="s">
        <v>28</v>
      </c>
      <c r="W72" s="2" t="s">
        <v>30</v>
      </c>
      <c r="X72" s="6">
        <f t="shared" si="7"/>
        <v>0.14285714285714285</v>
      </c>
      <c r="Y72" s="6">
        <f t="shared" si="8"/>
        <v>0.14285714285714285</v>
      </c>
      <c r="Z72" s="6">
        <f t="shared" si="9"/>
        <v>0.2857142857142857</v>
      </c>
      <c r="AA72" s="6">
        <f t="shared" si="10"/>
        <v>0.42857142857142855</v>
      </c>
      <c r="AB72" s="6">
        <f t="shared" si="11"/>
        <v>0</v>
      </c>
      <c r="AC72" s="6">
        <f t="shared" si="12"/>
        <v>0.22222222222222221</v>
      </c>
      <c r="AD72" s="6">
        <f t="shared" si="13"/>
        <v>0.14285714285714285</v>
      </c>
    </row>
    <row r="73" spans="1:30" x14ac:dyDescent="0.2">
      <c r="A73" s="3" t="s">
        <v>213</v>
      </c>
      <c r="B73" s="3">
        <v>2006</v>
      </c>
      <c r="C73" s="3">
        <v>1</v>
      </c>
      <c r="D73" s="3" t="s">
        <v>59</v>
      </c>
      <c r="E73" s="3" t="s">
        <v>3</v>
      </c>
      <c r="F73" s="3">
        <v>159</v>
      </c>
      <c r="G73" s="3">
        <v>647</v>
      </c>
      <c r="H73" s="3">
        <v>119</v>
      </c>
      <c r="I73" s="3">
        <v>179</v>
      </c>
      <c r="J73" s="3">
        <v>41</v>
      </c>
      <c r="K73" s="3">
        <v>2</v>
      </c>
      <c r="L73" s="3">
        <v>46</v>
      </c>
      <c r="M73" s="3">
        <v>95</v>
      </c>
      <c r="N73" s="3">
        <v>41</v>
      </c>
      <c r="O73" s="3">
        <v>17</v>
      </c>
      <c r="P73" s="3">
        <v>67</v>
      </c>
      <c r="Q73" s="3">
        <v>160</v>
      </c>
      <c r="R73" s="3" t="s">
        <v>50</v>
      </c>
      <c r="S73" s="3" t="s">
        <v>42</v>
      </c>
      <c r="T73" s="3" t="s">
        <v>31</v>
      </c>
      <c r="U73" s="3" t="s">
        <v>34</v>
      </c>
      <c r="V73" s="3" t="s">
        <v>34</v>
      </c>
      <c r="W73" s="3" t="s">
        <v>41</v>
      </c>
      <c r="X73" s="6">
        <f t="shared" si="7"/>
        <v>0.27666151468315303</v>
      </c>
      <c r="Y73" s="6">
        <f t="shared" si="8"/>
        <v>0.36522911051212936</v>
      </c>
      <c r="Z73" s="6">
        <f t="shared" si="9"/>
        <v>0.55950540958268935</v>
      </c>
      <c r="AA73" s="6">
        <f t="shared" si="10"/>
        <v>0.92473452009481871</v>
      </c>
      <c r="AB73" s="6">
        <f t="shared" si="11"/>
        <v>9.3837535014005602E-2</v>
      </c>
      <c r="AC73" s="6">
        <f t="shared" si="12"/>
        <v>0.19826517967781909</v>
      </c>
      <c r="AD73" s="6">
        <f t="shared" si="13"/>
        <v>0.28284389489953632</v>
      </c>
    </row>
    <row r="74" spans="1:30" x14ac:dyDescent="0.2">
      <c r="A74" s="2" t="s">
        <v>228</v>
      </c>
      <c r="B74" s="2">
        <v>2006</v>
      </c>
      <c r="C74" s="2">
        <v>1</v>
      </c>
      <c r="D74" s="2" t="s">
        <v>91</v>
      </c>
      <c r="E74" s="2" t="s">
        <v>6</v>
      </c>
      <c r="F74" s="2">
        <v>161</v>
      </c>
      <c r="G74" s="2">
        <v>695</v>
      </c>
      <c r="H74" s="2">
        <v>110</v>
      </c>
      <c r="I74" s="2">
        <v>224</v>
      </c>
      <c r="J74" s="2">
        <v>20</v>
      </c>
      <c r="K74" s="2">
        <v>9</v>
      </c>
      <c r="L74" s="2">
        <v>9</v>
      </c>
      <c r="M74" s="2">
        <v>49</v>
      </c>
      <c r="N74" s="2">
        <v>45</v>
      </c>
      <c r="O74" s="2">
        <v>2</v>
      </c>
      <c r="P74" s="2">
        <v>49</v>
      </c>
      <c r="Q74" s="2">
        <v>71</v>
      </c>
      <c r="R74" s="2" t="s">
        <v>50</v>
      </c>
      <c r="S74" s="2" t="s">
        <v>32</v>
      </c>
      <c r="T74" s="2" t="s">
        <v>30</v>
      </c>
      <c r="U74" s="2" t="s">
        <v>31</v>
      </c>
      <c r="V74" s="2" t="s">
        <v>31</v>
      </c>
      <c r="W74" s="2" t="s">
        <v>42</v>
      </c>
      <c r="X74" s="6">
        <f t="shared" si="7"/>
        <v>0.32230215827338127</v>
      </c>
      <c r="Y74" s="6">
        <f t="shared" si="8"/>
        <v>0.3833116036505867</v>
      </c>
      <c r="Z74" s="6">
        <f t="shared" si="9"/>
        <v>0.4158273381294964</v>
      </c>
      <c r="AA74" s="6">
        <f t="shared" si="10"/>
        <v>0.79913894178008316</v>
      </c>
      <c r="AB74" s="6">
        <f t="shared" si="11"/>
        <v>6.5860215053763438E-2</v>
      </c>
      <c r="AC74" s="6">
        <f t="shared" si="12"/>
        <v>9.2689295039164496E-2</v>
      </c>
      <c r="AD74" s="6">
        <f t="shared" si="13"/>
        <v>9.3525179856115137E-2</v>
      </c>
    </row>
    <row r="75" spans="1:30" x14ac:dyDescent="0.2">
      <c r="A75" s="3" t="s">
        <v>241</v>
      </c>
      <c r="B75" s="3">
        <v>2006</v>
      </c>
      <c r="C75" s="3">
        <v>1</v>
      </c>
      <c r="D75" s="3" t="s">
        <v>29</v>
      </c>
      <c r="E75" s="3" t="s">
        <v>3</v>
      </c>
      <c r="F75" s="3">
        <v>160</v>
      </c>
      <c r="G75" s="3">
        <v>658</v>
      </c>
      <c r="H75" s="3">
        <v>131</v>
      </c>
      <c r="I75" s="3">
        <v>203</v>
      </c>
      <c r="J75" s="3">
        <v>40</v>
      </c>
      <c r="K75" s="3">
        <v>4</v>
      </c>
      <c r="L75" s="3">
        <v>32</v>
      </c>
      <c r="M75" s="3">
        <v>102</v>
      </c>
      <c r="N75" s="3">
        <v>15</v>
      </c>
      <c r="O75" s="3">
        <v>4</v>
      </c>
      <c r="P75" s="3">
        <v>63</v>
      </c>
      <c r="Q75" s="3">
        <v>132</v>
      </c>
      <c r="R75" s="3" t="s">
        <v>30</v>
      </c>
      <c r="S75" s="3" t="s">
        <v>43</v>
      </c>
      <c r="T75" s="3" t="s">
        <v>28</v>
      </c>
      <c r="U75" s="3" t="s">
        <v>33</v>
      </c>
      <c r="V75" s="3" t="s">
        <v>42</v>
      </c>
      <c r="W75" s="3" t="s">
        <v>33</v>
      </c>
      <c r="X75" s="6">
        <f t="shared" si="7"/>
        <v>0.30851063829787234</v>
      </c>
      <c r="Y75" s="6">
        <f t="shared" si="8"/>
        <v>0.37972972972972974</v>
      </c>
      <c r="Z75" s="6">
        <f t="shared" si="9"/>
        <v>0.52735562310030393</v>
      </c>
      <c r="AA75" s="6">
        <f t="shared" si="10"/>
        <v>0.90708535283003366</v>
      </c>
      <c r="AB75" s="6">
        <f t="shared" si="11"/>
        <v>8.7378640776699032E-2</v>
      </c>
      <c r="AC75" s="6">
        <f t="shared" si="12"/>
        <v>0.16708860759493671</v>
      </c>
      <c r="AD75" s="6">
        <f t="shared" si="13"/>
        <v>0.21884498480243159</v>
      </c>
    </row>
    <row r="76" spans="1:30" x14ac:dyDescent="0.2">
      <c r="A76" s="2" t="s">
        <v>214</v>
      </c>
      <c r="B76" s="2">
        <v>2006</v>
      </c>
      <c r="C76" s="2">
        <v>1</v>
      </c>
      <c r="D76" s="2" t="s">
        <v>92</v>
      </c>
      <c r="E76" s="2" t="s">
        <v>6</v>
      </c>
      <c r="F76" s="2">
        <v>154</v>
      </c>
      <c r="G76" s="2">
        <v>611</v>
      </c>
      <c r="H76" s="2">
        <v>91</v>
      </c>
      <c r="I76" s="2">
        <v>185</v>
      </c>
      <c r="J76" s="2">
        <v>40</v>
      </c>
      <c r="K76" s="2">
        <v>5</v>
      </c>
      <c r="L76" s="2">
        <v>32</v>
      </c>
      <c r="M76" s="2">
        <v>106</v>
      </c>
      <c r="N76" s="2">
        <v>17</v>
      </c>
      <c r="O76" s="2">
        <v>4</v>
      </c>
      <c r="P76" s="2">
        <v>54</v>
      </c>
      <c r="Q76" s="2">
        <v>90</v>
      </c>
      <c r="R76" s="2" t="s">
        <v>28</v>
      </c>
      <c r="S76" s="2" t="s">
        <v>34</v>
      </c>
      <c r="T76" s="2" t="s">
        <v>28</v>
      </c>
      <c r="U76" s="2" t="s">
        <v>42</v>
      </c>
      <c r="V76" s="2" t="s">
        <v>35</v>
      </c>
      <c r="W76" s="2" t="s">
        <v>39</v>
      </c>
      <c r="X76" s="6">
        <f t="shared" si="7"/>
        <v>0.30278232405891981</v>
      </c>
      <c r="Y76" s="6">
        <f t="shared" si="8"/>
        <v>0.35745937961595275</v>
      </c>
      <c r="Z76" s="6">
        <f t="shared" si="9"/>
        <v>0.54173486088379708</v>
      </c>
      <c r="AA76" s="6">
        <f t="shared" si="10"/>
        <v>0.89919424049974983</v>
      </c>
      <c r="AB76" s="6">
        <f t="shared" si="11"/>
        <v>8.1203007518796999E-2</v>
      </c>
      <c r="AC76" s="6">
        <f t="shared" si="12"/>
        <v>0.12838801711840228</v>
      </c>
      <c r="AD76" s="6">
        <f t="shared" si="13"/>
        <v>0.23895253682487727</v>
      </c>
    </row>
    <row r="77" spans="1:30" x14ac:dyDescent="0.2">
      <c r="A77" s="3" t="s">
        <v>253</v>
      </c>
      <c r="B77" s="3">
        <v>2006</v>
      </c>
      <c r="C77" s="3">
        <v>1</v>
      </c>
      <c r="D77" s="3" t="s">
        <v>83</v>
      </c>
      <c r="E77" s="3" t="s">
        <v>3</v>
      </c>
      <c r="F77" s="3">
        <v>154</v>
      </c>
      <c r="G77" s="3">
        <v>582</v>
      </c>
      <c r="H77" s="3">
        <v>96</v>
      </c>
      <c r="I77" s="3">
        <v>181</v>
      </c>
      <c r="J77" s="3">
        <v>40</v>
      </c>
      <c r="K77" s="3">
        <v>5</v>
      </c>
      <c r="L77" s="3">
        <v>26</v>
      </c>
      <c r="M77" s="3">
        <v>116</v>
      </c>
      <c r="N77" s="3">
        <v>20</v>
      </c>
      <c r="O77" s="3">
        <v>5</v>
      </c>
      <c r="P77" s="3">
        <v>66</v>
      </c>
      <c r="Q77" s="3">
        <v>113</v>
      </c>
      <c r="R77" s="3" t="s">
        <v>35</v>
      </c>
      <c r="S77" s="3" t="s">
        <v>32</v>
      </c>
      <c r="T77" s="3" t="s">
        <v>28</v>
      </c>
      <c r="U77" s="3" t="s">
        <v>39</v>
      </c>
      <c r="V77" s="3" t="s">
        <v>44</v>
      </c>
      <c r="W77" s="3" t="s">
        <v>32</v>
      </c>
      <c r="X77" s="6">
        <f t="shared" si="7"/>
        <v>0.31099656357388317</v>
      </c>
      <c r="Y77" s="6">
        <f t="shared" si="8"/>
        <v>0.39317507418397624</v>
      </c>
      <c r="Z77" s="6">
        <f t="shared" si="9"/>
        <v>0.53092783505154639</v>
      </c>
      <c r="AA77" s="6">
        <f t="shared" si="10"/>
        <v>0.92410290923552263</v>
      </c>
      <c r="AB77" s="6">
        <f t="shared" si="11"/>
        <v>0.10185185185185185</v>
      </c>
      <c r="AC77" s="6">
        <f t="shared" si="12"/>
        <v>0.16258992805755396</v>
      </c>
      <c r="AD77" s="6">
        <f t="shared" si="13"/>
        <v>0.21993127147766323</v>
      </c>
    </row>
    <row r="78" spans="1:30" x14ac:dyDescent="0.2">
      <c r="A78" s="2" t="s">
        <v>206</v>
      </c>
      <c r="B78" s="2">
        <v>2007</v>
      </c>
      <c r="C78" s="2">
        <v>1</v>
      </c>
      <c r="D78" s="2" t="s">
        <v>83</v>
      </c>
      <c r="E78" s="2" t="s">
        <v>3</v>
      </c>
      <c r="F78" s="2">
        <v>144</v>
      </c>
      <c r="G78" s="2">
        <v>554</v>
      </c>
      <c r="H78" s="2">
        <v>93</v>
      </c>
      <c r="I78" s="2">
        <v>153</v>
      </c>
      <c r="J78" s="2">
        <v>33</v>
      </c>
      <c r="K78" s="2">
        <v>3</v>
      </c>
      <c r="L78" s="2">
        <v>33</v>
      </c>
      <c r="M78" s="2">
        <v>112</v>
      </c>
      <c r="N78" s="2">
        <v>23</v>
      </c>
      <c r="O78" s="2">
        <v>2</v>
      </c>
      <c r="P78" s="2">
        <v>69</v>
      </c>
      <c r="Q78" s="2">
        <v>111</v>
      </c>
      <c r="R78" s="2" t="s">
        <v>37</v>
      </c>
      <c r="S78" s="2" t="s">
        <v>31</v>
      </c>
      <c r="T78" s="2" t="s">
        <v>30</v>
      </c>
      <c r="U78" s="2" t="s">
        <v>37</v>
      </c>
      <c r="V78" s="2" t="s">
        <v>39</v>
      </c>
      <c r="W78" s="2" t="s">
        <v>39</v>
      </c>
      <c r="X78" s="6">
        <f t="shared" si="7"/>
        <v>0.27617328519855594</v>
      </c>
      <c r="Y78" s="6">
        <f t="shared" si="8"/>
        <v>0.36279069767441863</v>
      </c>
      <c r="Z78" s="6">
        <f t="shared" si="9"/>
        <v>0.52527075812274371</v>
      </c>
      <c r="AA78" s="6">
        <f t="shared" si="10"/>
        <v>0.88806145579716234</v>
      </c>
      <c r="AB78" s="6">
        <f t="shared" si="11"/>
        <v>0.11075441412520064</v>
      </c>
      <c r="AC78" s="6">
        <f t="shared" si="12"/>
        <v>0.16691729323308271</v>
      </c>
      <c r="AD78" s="6">
        <f t="shared" si="13"/>
        <v>0.24909747292418777</v>
      </c>
    </row>
    <row r="79" spans="1:30" x14ac:dyDescent="0.2">
      <c r="A79" s="3" t="s">
        <v>110</v>
      </c>
      <c r="B79" s="3">
        <v>2007</v>
      </c>
      <c r="C79" s="3">
        <v>1</v>
      </c>
      <c r="D79" s="3" t="s">
        <v>79</v>
      </c>
      <c r="E79" s="3" t="s">
        <v>3</v>
      </c>
      <c r="F79" s="3">
        <v>126</v>
      </c>
      <c r="G79" s="3">
        <v>340</v>
      </c>
      <c r="H79" s="3">
        <v>75</v>
      </c>
      <c r="I79" s="3">
        <v>94</v>
      </c>
      <c r="J79" s="3">
        <v>14</v>
      </c>
      <c r="K79" s="3">
        <v>0</v>
      </c>
      <c r="L79" s="3">
        <v>28</v>
      </c>
      <c r="M79" s="3">
        <v>66</v>
      </c>
      <c r="N79" s="3">
        <v>5</v>
      </c>
      <c r="O79" s="3">
        <v>0</v>
      </c>
      <c r="P79" s="3">
        <v>132</v>
      </c>
      <c r="Q79" s="3">
        <v>54</v>
      </c>
      <c r="R79" s="3" t="s">
        <v>74</v>
      </c>
      <c r="S79" s="3" t="s">
        <v>34</v>
      </c>
      <c r="T79" s="3" t="s">
        <v>28</v>
      </c>
      <c r="U79" s="3" t="s">
        <v>31</v>
      </c>
      <c r="V79" s="3" t="s">
        <v>35</v>
      </c>
      <c r="W79" s="3" t="s">
        <v>41</v>
      </c>
      <c r="X79" s="6">
        <f t="shared" si="7"/>
        <v>0.27647058823529413</v>
      </c>
      <c r="Y79" s="6">
        <f t="shared" si="8"/>
        <v>0.52307692307692311</v>
      </c>
      <c r="Z79" s="6">
        <f t="shared" si="9"/>
        <v>0.56470588235294117</v>
      </c>
      <c r="AA79" s="6">
        <f t="shared" si="10"/>
        <v>1.0877828054298644</v>
      </c>
      <c r="AB79" s="6">
        <f t="shared" si="11"/>
        <v>0.27966101694915252</v>
      </c>
      <c r="AC79" s="6">
        <f t="shared" si="12"/>
        <v>0.13705583756345177</v>
      </c>
      <c r="AD79" s="6">
        <f t="shared" si="13"/>
        <v>0.28823529411764703</v>
      </c>
    </row>
    <row r="80" spans="1:30" x14ac:dyDescent="0.2">
      <c r="A80" s="2" t="s">
        <v>258</v>
      </c>
      <c r="B80" s="2">
        <v>2007</v>
      </c>
      <c r="C80" s="2">
        <v>1</v>
      </c>
      <c r="D80" s="2" t="s">
        <v>204</v>
      </c>
      <c r="E80" s="2" t="s">
        <v>3</v>
      </c>
      <c r="F80" s="2">
        <v>158</v>
      </c>
      <c r="G80" s="2">
        <v>573</v>
      </c>
      <c r="H80" s="2">
        <v>109</v>
      </c>
      <c r="I80" s="2">
        <v>165</v>
      </c>
      <c r="J80" s="2">
        <v>35</v>
      </c>
      <c r="K80" s="2">
        <v>2</v>
      </c>
      <c r="L80" s="2">
        <v>50</v>
      </c>
      <c r="M80" s="2">
        <v>119</v>
      </c>
      <c r="N80" s="2">
        <v>2</v>
      </c>
      <c r="O80" s="2">
        <v>2</v>
      </c>
      <c r="P80" s="2">
        <v>90</v>
      </c>
      <c r="Q80" s="2">
        <v>121</v>
      </c>
      <c r="R80" s="2" t="s">
        <v>49</v>
      </c>
      <c r="S80" s="2" t="s">
        <v>43</v>
      </c>
      <c r="T80" s="2" t="s">
        <v>28</v>
      </c>
      <c r="U80" s="2" t="s">
        <v>33</v>
      </c>
      <c r="V80" s="2" t="s">
        <v>42</v>
      </c>
      <c r="W80" s="2" t="s">
        <v>34</v>
      </c>
      <c r="X80" s="6">
        <f t="shared" si="7"/>
        <v>0.2879581151832461</v>
      </c>
      <c r="Y80" s="6">
        <f t="shared" si="8"/>
        <v>0.4131054131054131</v>
      </c>
      <c r="Z80" s="6">
        <f t="shared" si="9"/>
        <v>0.61780104712041883</v>
      </c>
      <c r="AA80" s="6">
        <f t="shared" si="10"/>
        <v>1.030906460225832</v>
      </c>
      <c r="AB80" s="6">
        <f t="shared" si="11"/>
        <v>0.13574660633484162</v>
      </c>
      <c r="AC80" s="6">
        <f t="shared" si="12"/>
        <v>0.17435158501440923</v>
      </c>
      <c r="AD80" s="6">
        <f t="shared" si="13"/>
        <v>0.32984293193717273</v>
      </c>
    </row>
    <row r="81" spans="1:30" x14ac:dyDescent="0.2">
      <c r="A81" s="3" t="s">
        <v>138</v>
      </c>
      <c r="B81" s="3">
        <v>2007</v>
      </c>
      <c r="C81" s="3">
        <v>1</v>
      </c>
      <c r="D81" s="3" t="s">
        <v>53</v>
      </c>
      <c r="E81" s="3" t="s">
        <v>3</v>
      </c>
      <c r="F81" s="3">
        <v>144</v>
      </c>
      <c r="G81" s="3">
        <v>528</v>
      </c>
      <c r="H81" s="3">
        <v>78</v>
      </c>
      <c r="I81" s="3">
        <v>146</v>
      </c>
      <c r="J81" s="3">
        <v>24</v>
      </c>
      <c r="K81" s="3">
        <v>1</v>
      </c>
      <c r="L81" s="3">
        <v>30</v>
      </c>
      <c r="M81" s="3">
        <v>93</v>
      </c>
      <c r="N81" s="3">
        <v>6</v>
      </c>
      <c r="O81" s="3">
        <v>1</v>
      </c>
      <c r="P81" s="3">
        <v>85</v>
      </c>
      <c r="Q81" s="3">
        <v>99</v>
      </c>
      <c r="R81" s="3" t="s">
        <v>43</v>
      </c>
      <c r="S81" s="3" t="s">
        <v>30</v>
      </c>
      <c r="T81" s="3" t="s">
        <v>28</v>
      </c>
      <c r="U81" s="3" t="s">
        <v>42</v>
      </c>
      <c r="V81" s="3" t="s">
        <v>43</v>
      </c>
      <c r="W81" s="3" t="s">
        <v>42</v>
      </c>
      <c r="X81" s="6">
        <f t="shared" si="7"/>
        <v>0.27651515151515149</v>
      </c>
      <c r="Y81" s="6">
        <f t="shared" si="8"/>
        <v>0.38618524332810045</v>
      </c>
      <c r="Z81" s="6">
        <f t="shared" si="9"/>
        <v>0.49621212121212122</v>
      </c>
      <c r="AA81" s="6">
        <f t="shared" si="10"/>
        <v>0.88239736454022166</v>
      </c>
      <c r="AB81" s="6">
        <f t="shared" si="11"/>
        <v>0.13866231647634583</v>
      </c>
      <c r="AC81" s="6">
        <f t="shared" si="12"/>
        <v>0.15789473684210525</v>
      </c>
      <c r="AD81" s="6">
        <f t="shared" si="13"/>
        <v>0.21969696969696972</v>
      </c>
    </row>
    <row r="82" spans="1:30" x14ac:dyDescent="0.2">
      <c r="A82" s="2" t="s">
        <v>186</v>
      </c>
      <c r="B82" s="2">
        <v>2007</v>
      </c>
      <c r="C82" s="2">
        <v>1</v>
      </c>
      <c r="D82" s="2" t="s">
        <v>2</v>
      </c>
      <c r="E82" s="2" t="s">
        <v>6</v>
      </c>
      <c r="F82" s="2">
        <v>150</v>
      </c>
      <c r="G82" s="2">
        <v>574</v>
      </c>
      <c r="H82" s="2">
        <v>89</v>
      </c>
      <c r="I82" s="2">
        <v>186</v>
      </c>
      <c r="J82" s="2">
        <v>45</v>
      </c>
      <c r="K82" s="2">
        <v>1</v>
      </c>
      <c r="L82" s="2">
        <v>27</v>
      </c>
      <c r="M82" s="2">
        <v>125</v>
      </c>
      <c r="N82" s="2">
        <v>2</v>
      </c>
      <c r="O82" s="2">
        <v>3</v>
      </c>
      <c r="P82" s="2">
        <v>71</v>
      </c>
      <c r="Q82" s="2">
        <v>62</v>
      </c>
      <c r="R82" s="2" t="s">
        <v>58</v>
      </c>
      <c r="S82" s="2" t="s">
        <v>42</v>
      </c>
      <c r="T82" s="2" t="s">
        <v>28</v>
      </c>
      <c r="U82" s="2" t="s">
        <v>36</v>
      </c>
      <c r="V82" s="2" t="s">
        <v>52</v>
      </c>
      <c r="W82" s="2" t="s">
        <v>42</v>
      </c>
      <c r="X82" s="6">
        <f t="shared" si="7"/>
        <v>0.3240418118466899</v>
      </c>
      <c r="Y82" s="6">
        <f t="shared" si="8"/>
        <v>0.42732558139534882</v>
      </c>
      <c r="Z82" s="6">
        <f t="shared" si="9"/>
        <v>0.54703832752613235</v>
      </c>
      <c r="AA82" s="6">
        <f t="shared" si="10"/>
        <v>0.97436390892148117</v>
      </c>
      <c r="AB82" s="6">
        <f t="shared" si="11"/>
        <v>0.11007751937984496</v>
      </c>
      <c r="AC82" s="6">
        <f t="shared" si="12"/>
        <v>9.7484276729559755E-2</v>
      </c>
      <c r="AD82" s="6">
        <f t="shared" si="13"/>
        <v>0.22299651567944245</v>
      </c>
    </row>
    <row r="83" spans="1:30" x14ac:dyDescent="0.2">
      <c r="A83" s="3" t="s">
        <v>237</v>
      </c>
      <c r="B83" s="3">
        <v>2007</v>
      </c>
      <c r="C83" s="3">
        <v>1</v>
      </c>
      <c r="D83" s="3" t="s">
        <v>86</v>
      </c>
      <c r="E83" s="3" t="s">
        <v>6</v>
      </c>
      <c r="F83" s="3">
        <v>34</v>
      </c>
      <c r="G83" s="3">
        <v>4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</v>
      </c>
      <c r="R83" s="3" t="s">
        <v>28</v>
      </c>
      <c r="S83" s="3" t="s">
        <v>28</v>
      </c>
      <c r="T83" s="3" t="s">
        <v>28</v>
      </c>
      <c r="U83" s="3" t="s">
        <v>28</v>
      </c>
      <c r="V83" s="3" t="s">
        <v>28</v>
      </c>
      <c r="W83" s="3" t="s">
        <v>30</v>
      </c>
      <c r="X83" s="6">
        <f t="shared" si="7"/>
        <v>0</v>
      </c>
      <c r="Y83" s="6">
        <f t="shared" si="8"/>
        <v>0</v>
      </c>
      <c r="Z83" s="6">
        <f t="shared" si="9"/>
        <v>0</v>
      </c>
      <c r="AA83" s="6">
        <f t="shared" si="10"/>
        <v>0</v>
      </c>
      <c r="AB83" s="6">
        <f t="shared" si="11"/>
        <v>0</v>
      </c>
      <c r="AC83" s="6">
        <f t="shared" si="12"/>
        <v>0.2</v>
      </c>
      <c r="AD83" s="6">
        <f t="shared" si="13"/>
        <v>0</v>
      </c>
    </row>
    <row r="84" spans="1:30" x14ac:dyDescent="0.2">
      <c r="A84" s="2" t="s">
        <v>177</v>
      </c>
      <c r="B84" s="2">
        <v>2007</v>
      </c>
      <c r="C84" s="2">
        <v>1</v>
      </c>
      <c r="D84" s="2" t="s">
        <v>71</v>
      </c>
      <c r="E84" s="2" t="s">
        <v>6</v>
      </c>
      <c r="F84" s="2">
        <v>156</v>
      </c>
      <c r="G84" s="2">
        <v>639</v>
      </c>
      <c r="H84" s="2">
        <v>102</v>
      </c>
      <c r="I84" s="2">
        <v>206</v>
      </c>
      <c r="J84" s="2">
        <v>39</v>
      </c>
      <c r="K84" s="2">
        <v>4</v>
      </c>
      <c r="L84" s="2">
        <v>12</v>
      </c>
      <c r="M84" s="2">
        <v>73</v>
      </c>
      <c r="N84" s="2">
        <v>15</v>
      </c>
      <c r="O84" s="2">
        <v>8</v>
      </c>
      <c r="P84" s="2">
        <v>56</v>
      </c>
      <c r="Q84" s="2">
        <v>100</v>
      </c>
      <c r="R84" s="2" t="s">
        <v>34</v>
      </c>
      <c r="S84" s="2" t="s">
        <v>43</v>
      </c>
      <c r="T84" s="2" t="s">
        <v>34</v>
      </c>
      <c r="U84" s="2" t="s">
        <v>31</v>
      </c>
      <c r="V84" s="2" t="s">
        <v>49</v>
      </c>
      <c r="W84" s="2" t="s">
        <v>36</v>
      </c>
      <c r="X84" s="6">
        <f t="shared" si="7"/>
        <v>0.32237871674491392</v>
      </c>
      <c r="Y84" s="6">
        <f t="shared" si="8"/>
        <v>0.3907563025210084</v>
      </c>
      <c r="Z84" s="6">
        <f t="shared" si="9"/>
        <v>0.45226917057902971</v>
      </c>
      <c r="AA84" s="6">
        <f t="shared" si="10"/>
        <v>0.84302547310003817</v>
      </c>
      <c r="AB84" s="6">
        <f t="shared" si="11"/>
        <v>8.0575539568345317E-2</v>
      </c>
      <c r="AC84" s="6">
        <f t="shared" si="12"/>
        <v>0.13531799729364005</v>
      </c>
      <c r="AD84" s="6">
        <f t="shared" si="13"/>
        <v>0.12989045383411579</v>
      </c>
    </row>
    <row r="85" spans="1:30" x14ac:dyDescent="0.2">
      <c r="A85" s="3" t="s">
        <v>269</v>
      </c>
      <c r="B85" s="3">
        <v>2007</v>
      </c>
      <c r="C85" s="3">
        <v>1</v>
      </c>
      <c r="D85" s="3" t="s">
        <v>80</v>
      </c>
      <c r="E85" s="3" t="s">
        <v>3</v>
      </c>
      <c r="F85" s="3">
        <v>151</v>
      </c>
      <c r="G85" s="3">
        <v>540</v>
      </c>
      <c r="H85" s="3">
        <v>87</v>
      </c>
      <c r="I85" s="3">
        <v>158</v>
      </c>
      <c r="J85" s="3">
        <v>32</v>
      </c>
      <c r="K85" s="3">
        <v>3</v>
      </c>
      <c r="L85" s="3">
        <v>19</v>
      </c>
      <c r="M85" s="3">
        <v>87</v>
      </c>
      <c r="N85" s="3">
        <v>21</v>
      </c>
      <c r="O85" s="3">
        <v>9</v>
      </c>
      <c r="P85" s="3">
        <v>67</v>
      </c>
      <c r="Q85" s="3">
        <v>89</v>
      </c>
      <c r="R85" s="3" t="s">
        <v>30</v>
      </c>
      <c r="S85" s="3" t="s">
        <v>41</v>
      </c>
      <c r="T85" s="3" t="s">
        <v>28</v>
      </c>
      <c r="U85" s="3" t="s">
        <v>36</v>
      </c>
      <c r="V85" s="3" t="s">
        <v>50</v>
      </c>
      <c r="W85" s="3" t="s">
        <v>31</v>
      </c>
      <c r="X85" s="6">
        <f t="shared" si="7"/>
        <v>0.29259259259259257</v>
      </c>
      <c r="Y85" s="6">
        <f t="shared" si="8"/>
        <v>0.37520128824476651</v>
      </c>
      <c r="Z85" s="6">
        <f t="shared" si="9"/>
        <v>0.4685185185185185</v>
      </c>
      <c r="AA85" s="6">
        <f t="shared" si="10"/>
        <v>0.84371980676328495</v>
      </c>
      <c r="AB85" s="6">
        <f t="shared" si="11"/>
        <v>0.11037891268533773</v>
      </c>
      <c r="AC85" s="6">
        <f t="shared" si="12"/>
        <v>0.14149443561208266</v>
      </c>
      <c r="AD85" s="6">
        <f t="shared" si="13"/>
        <v>0.17592592592592593</v>
      </c>
    </row>
    <row r="86" spans="1:30" x14ac:dyDescent="0.2">
      <c r="A86" s="2" t="s">
        <v>197</v>
      </c>
      <c r="B86" s="2">
        <v>2007</v>
      </c>
      <c r="C86" s="2">
        <v>1</v>
      </c>
      <c r="D86" s="2" t="s">
        <v>67</v>
      </c>
      <c r="E86" s="2" t="s">
        <v>6</v>
      </c>
      <c r="F86" s="2">
        <v>157</v>
      </c>
      <c r="G86" s="2">
        <v>595</v>
      </c>
      <c r="H86" s="2">
        <v>117</v>
      </c>
      <c r="I86" s="2">
        <v>216</v>
      </c>
      <c r="J86" s="2">
        <v>54</v>
      </c>
      <c r="K86" s="2">
        <v>0</v>
      </c>
      <c r="L86" s="2">
        <v>28</v>
      </c>
      <c r="M86" s="2">
        <v>139</v>
      </c>
      <c r="N86" s="2">
        <v>4</v>
      </c>
      <c r="O86" s="2">
        <v>1</v>
      </c>
      <c r="P86" s="2">
        <v>76</v>
      </c>
      <c r="Q86" s="2">
        <v>79</v>
      </c>
      <c r="R86" s="2" t="s">
        <v>39</v>
      </c>
      <c r="S86" s="2" t="s">
        <v>31</v>
      </c>
      <c r="T86" s="2" t="s">
        <v>28</v>
      </c>
      <c r="U86" s="2" t="s">
        <v>32</v>
      </c>
      <c r="V86" s="2" t="s">
        <v>54</v>
      </c>
      <c r="W86" s="2" t="s">
        <v>41</v>
      </c>
      <c r="X86" s="6">
        <f t="shared" si="7"/>
        <v>0.3630252100840336</v>
      </c>
      <c r="Y86" s="6">
        <f t="shared" si="8"/>
        <v>0.44023323615160348</v>
      </c>
      <c r="Z86" s="6">
        <f t="shared" si="9"/>
        <v>0.59495798319327731</v>
      </c>
      <c r="AA86" s="6">
        <f t="shared" si="10"/>
        <v>1.0351912193448807</v>
      </c>
      <c r="AB86" s="6">
        <f t="shared" si="11"/>
        <v>0.11326378539493294</v>
      </c>
      <c r="AC86" s="6">
        <f t="shared" si="12"/>
        <v>0.1172106824925816</v>
      </c>
      <c r="AD86" s="6">
        <f t="shared" si="13"/>
        <v>0.23193277310924371</v>
      </c>
    </row>
    <row r="87" spans="1:30" x14ac:dyDescent="0.2">
      <c r="A87" s="3" t="s">
        <v>198</v>
      </c>
      <c r="B87" s="3">
        <v>2007</v>
      </c>
      <c r="C87" s="3">
        <v>1</v>
      </c>
      <c r="D87" s="3" t="s">
        <v>68</v>
      </c>
      <c r="E87" s="3" t="s">
        <v>6</v>
      </c>
      <c r="F87" s="3">
        <v>149</v>
      </c>
      <c r="G87" s="3">
        <v>549</v>
      </c>
      <c r="H87" s="3">
        <v>116</v>
      </c>
      <c r="I87" s="3">
        <v>182</v>
      </c>
      <c r="J87" s="3">
        <v>52</v>
      </c>
      <c r="K87" s="3">
        <v>1</v>
      </c>
      <c r="L87" s="3">
        <v>35</v>
      </c>
      <c r="M87" s="3">
        <v>117</v>
      </c>
      <c r="N87" s="3">
        <v>3</v>
      </c>
      <c r="O87" s="3">
        <v>1</v>
      </c>
      <c r="P87" s="3">
        <v>111</v>
      </c>
      <c r="Q87" s="3">
        <v>103</v>
      </c>
      <c r="R87" s="3" t="s">
        <v>38</v>
      </c>
      <c r="S87" s="3" t="s">
        <v>33</v>
      </c>
      <c r="T87" s="3" t="s">
        <v>28</v>
      </c>
      <c r="U87" s="3" t="s">
        <v>34</v>
      </c>
      <c r="V87" s="3" t="s">
        <v>50</v>
      </c>
      <c r="W87" s="3" t="s">
        <v>34</v>
      </c>
      <c r="X87" s="6">
        <f t="shared" si="7"/>
        <v>0.33151183970856102</v>
      </c>
      <c r="Y87" s="6">
        <f t="shared" si="8"/>
        <v>0.45508100147275404</v>
      </c>
      <c r="Z87" s="6">
        <f t="shared" si="9"/>
        <v>0.62112932604735882</v>
      </c>
      <c r="AA87" s="6">
        <f t="shared" si="10"/>
        <v>1.0762103275201129</v>
      </c>
      <c r="AB87" s="6">
        <f t="shared" si="11"/>
        <v>0.16818181818181818</v>
      </c>
      <c r="AC87" s="6">
        <f t="shared" si="12"/>
        <v>0.15797546012269939</v>
      </c>
      <c r="AD87" s="6">
        <f t="shared" si="13"/>
        <v>0.2896174863387978</v>
      </c>
    </row>
    <row r="88" spans="1:30" x14ac:dyDescent="0.2">
      <c r="A88" s="2" t="s">
        <v>232</v>
      </c>
      <c r="B88" s="2">
        <v>2007</v>
      </c>
      <c r="C88" s="2">
        <v>1</v>
      </c>
      <c r="D88" s="2" t="s">
        <v>88</v>
      </c>
      <c r="E88" s="2" t="s">
        <v>3</v>
      </c>
      <c r="F88" s="2">
        <v>37</v>
      </c>
      <c r="G88" s="2">
        <v>73</v>
      </c>
      <c r="H88" s="2">
        <v>8</v>
      </c>
      <c r="I88" s="2">
        <v>17</v>
      </c>
      <c r="J88" s="2">
        <v>4</v>
      </c>
      <c r="K88" s="2">
        <v>1</v>
      </c>
      <c r="L88" s="2">
        <v>0</v>
      </c>
      <c r="M88" s="2">
        <v>7</v>
      </c>
      <c r="N88" s="2">
        <v>0</v>
      </c>
      <c r="O88" s="2">
        <v>0</v>
      </c>
      <c r="P88" s="2">
        <v>2</v>
      </c>
      <c r="Q88" s="2">
        <v>14</v>
      </c>
      <c r="R88" s="2" t="s">
        <v>28</v>
      </c>
      <c r="S88" s="2" t="s">
        <v>28</v>
      </c>
      <c r="T88" s="2" t="s">
        <v>39</v>
      </c>
      <c r="U88" s="2" t="s">
        <v>30</v>
      </c>
      <c r="V88" s="2" t="s">
        <v>30</v>
      </c>
      <c r="W88" s="2" t="s">
        <v>30</v>
      </c>
      <c r="X88" s="6">
        <f t="shared" si="7"/>
        <v>0.23287671232876711</v>
      </c>
      <c r="Y88" s="6">
        <f t="shared" si="8"/>
        <v>0.25</v>
      </c>
      <c r="Z88" s="6">
        <f t="shared" si="9"/>
        <v>0.31506849315068491</v>
      </c>
      <c r="AA88" s="6">
        <f t="shared" si="10"/>
        <v>0.56506849315068486</v>
      </c>
      <c r="AB88" s="6">
        <f t="shared" si="11"/>
        <v>2.6666666666666668E-2</v>
      </c>
      <c r="AC88" s="6">
        <f t="shared" si="12"/>
        <v>0.16091954022988506</v>
      </c>
      <c r="AD88" s="6">
        <f t="shared" si="13"/>
        <v>8.2191780821917804E-2</v>
      </c>
    </row>
    <row r="89" spans="1:30" x14ac:dyDescent="0.2">
      <c r="A89" s="3" t="s">
        <v>210</v>
      </c>
      <c r="B89" s="3">
        <v>2007</v>
      </c>
      <c r="C89" s="3">
        <v>1</v>
      </c>
      <c r="D89" s="3" t="s">
        <v>67</v>
      </c>
      <c r="E89" s="3" t="s">
        <v>6</v>
      </c>
      <c r="F89" s="3">
        <v>142</v>
      </c>
      <c r="G89" s="3">
        <v>587</v>
      </c>
      <c r="H89" s="3">
        <v>105</v>
      </c>
      <c r="I89" s="3">
        <v>200</v>
      </c>
      <c r="J89" s="3">
        <v>36</v>
      </c>
      <c r="K89" s="3">
        <v>3</v>
      </c>
      <c r="L89" s="3">
        <v>9</v>
      </c>
      <c r="M89" s="3">
        <v>67</v>
      </c>
      <c r="N89" s="3">
        <v>7</v>
      </c>
      <c r="O89" s="3">
        <v>3</v>
      </c>
      <c r="P89" s="3">
        <v>37</v>
      </c>
      <c r="Q89" s="3">
        <v>30</v>
      </c>
      <c r="R89" s="3" t="s">
        <v>34</v>
      </c>
      <c r="S89" s="3" t="s">
        <v>40</v>
      </c>
      <c r="T89" s="3" t="s">
        <v>31</v>
      </c>
      <c r="U89" s="3" t="s">
        <v>33</v>
      </c>
      <c r="V89" s="3" t="s">
        <v>42</v>
      </c>
      <c r="W89" s="3" t="s">
        <v>33</v>
      </c>
      <c r="X89" s="6">
        <f t="shared" si="7"/>
        <v>0.34071550255536626</v>
      </c>
      <c r="Y89" s="6">
        <f t="shared" si="8"/>
        <v>0.3909657320872274</v>
      </c>
      <c r="Z89" s="6">
        <f t="shared" si="9"/>
        <v>0.45826235093696766</v>
      </c>
      <c r="AA89" s="6">
        <f t="shared" si="10"/>
        <v>0.84922808302419506</v>
      </c>
      <c r="AB89" s="6">
        <f t="shared" si="11"/>
        <v>5.9294871794871792E-2</v>
      </c>
      <c r="AC89" s="6">
        <f t="shared" si="12"/>
        <v>4.8622366288492709E-2</v>
      </c>
      <c r="AD89" s="6">
        <f t="shared" si="13"/>
        <v>0.1175468483816014</v>
      </c>
    </row>
    <row r="90" spans="1:30" x14ac:dyDescent="0.2">
      <c r="A90" s="2" t="s">
        <v>239</v>
      </c>
      <c r="B90" s="2">
        <v>2007</v>
      </c>
      <c r="C90" s="2">
        <v>1</v>
      </c>
      <c r="D90" s="2" t="s">
        <v>83</v>
      </c>
      <c r="E90" s="2" t="s">
        <v>3</v>
      </c>
      <c r="F90" s="2">
        <v>160</v>
      </c>
      <c r="G90" s="2">
        <v>681</v>
      </c>
      <c r="H90" s="2">
        <v>119</v>
      </c>
      <c r="I90" s="2">
        <v>191</v>
      </c>
      <c r="J90" s="2">
        <v>36</v>
      </c>
      <c r="K90" s="2">
        <v>12</v>
      </c>
      <c r="L90" s="2">
        <v>12</v>
      </c>
      <c r="M90" s="2">
        <v>57</v>
      </c>
      <c r="N90" s="2">
        <v>78</v>
      </c>
      <c r="O90" s="2">
        <v>21</v>
      </c>
      <c r="P90" s="2">
        <v>77</v>
      </c>
      <c r="Q90" s="2">
        <v>78</v>
      </c>
      <c r="R90" s="2" t="s">
        <v>35</v>
      </c>
      <c r="S90" s="2" t="s">
        <v>30</v>
      </c>
      <c r="T90" s="2" t="s">
        <v>32</v>
      </c>
      <c r="U90" s="2" t="s">
        <v>30</v>
      </c>
      <c r="V90" s="2" t="s">
        <v>36</v>
      </c>
      <c r="W90" s="2" t="s">
        <v>36</v>
      </c>
      <c r="X90" s="6">
        <f t="shared" si="7"/>
        <v>0.28046989720998533</v>
      </c>
      <c r="Y90" s="6">
        <f t="shared" si="8"/>
        <v>0.36481241914618368</v>
      </c>
      <c r="Z90" s="6">
        <f t="shared" si="9"/>
        <v>0.42143906020558003</v>
      </c>
      <c r="AA90" s="6">
        <f t="shared" si="10"/>
        <v>0.78625147935176365</v>
      </c>
      <c r="AB90" s="6">
        <f t="shared" si="11"/>
        <v>0.10158311345646438</v>
      </c>
      <c r="AC90" s="6">
        <f t="shared" si="12"/>
        <v>0.10276679841897234</v>
      </c>
      <c r="AD90" s="6">
        <f t="shared" si="13"/>
        <v>0.1409691629955947</v>
      </c>
    </row>
    <row r="91" spans="1:30" x14ac:dyDescent="0.2">
      <c r="A91" s="3" t="s">
        <v>173</v>
      </c>
      <c r="B91" s="3">
        <v>2007</v>
      </c>
      <c r="C91" s="3">
        <v>1</v>
      </c>
      <c r="D91" s="3" t="s">
        <v>71</v>
      </c>
      <c r="E91" s="3" t="s">
        <v>6</v>
      </c>
      <c r="F91" s="3">
        <v>158</v>
      </c>
      <c r="G91" s="3">
        <v>583</v>
      </c>
      <c r="H91" s="3">
        <v>143</v>
      </c>
      <c r="I91" s="3">
        <v>183</v>
      </c>
      <c r="J91" s="3">
        <v>31</v>
      </c>
      <c r="K91" s="3">
        <v>0</v>
      </c>
      <c r="L91" s="3">
        <v>54</v>
      </c>
      <c r="M91" s="3">
        <v>156</v>
      </c>
      <c r="N91" s="3">
        <v>24</v>
      </c>
      <c r="O91" s="3">
        <v>4</v>
      </c>
      <c r="P91" s="3">
        <v>95</v>
      </c>
      <c r="Q91" s="3">
        <v>120</v>
      </c>
      <c r="R91" s="3" t="s">
        <v>40</v>
      </c>
      <c r="S91" s="3" t="s">
        <v>49</v>
      </c>
      <c r="T91" s="3" t="s">
        <v>28</v>
      </c>
      <c r="U91" s="3" t="s">
        <v>42</v>
      </c>
      <c r="V91" s="3" t="s">
        <v>44</v>
      </c>
      <c r="W91" s="3" t="s">
        <v>32</v>
      </c>
      <c r="X91" s="6">
        <f t="shared" si="7"/>
        <v>0.313893653516295</v>
      </c>
      <c r="Y91" s="6">
        <f t="shared" si="8"/>
        <v>0.43115438108484005</v>
      </c>
      <c r="Z91" s="6">
        <f t="shared" si="9"/>
        <v>0.6449399656946827</v>
      </c>
      <c r="AA91" s="6">
        <f t="shared" si="10"/>
        <v>1.0760943467795228</v>
      </c>
      <c r="AB91" s="6">
        <f t="shared" si="11"/>
        <v>0.14011799410029499</v>
      </c>
      <c r="AC91" s="6">
        <f t="shared" si="12"/>
        <v>0.17069701280227595</v>
      </c>
      <c r="AD91" s="6">
        <f t="shared" si="13"/>
        <v>0.3310463121783877</v>
      </c>
    </row>
    <row r="92" spans="1:30" x14ac:dyDescent="0.2">
      <c r="A92" s="2" t="s">
        <v>155</v>
      </c>
      <c r="B92" s="2">
        <v>2007</v>
      </c>
      <c r="C92" s="2">
        <v>1</v>
      </c>
      <c r="D92" s="2" t="s">
        <v>67</v>
      </c>
      <c r="E92" s="2" t="s">
        <v>6</v>
      </c>
      <c r="F92" s="2">
        <v>129</v>
      </c>
      <c r="G92" s="2">
        <v>502</v>
      </c>
      <c r="H92" s="2">
        <v>50</v>
      </c>
      <c r="I92" s="2">
        <v>141</v>
      </c>
      <c r="J92" s="2">
        <v>31</v>
      </c>
      <c r="K92" s="2">
        <v>3</v>
      </c>
      <c r="L92" s="2">
        <v>11</v>
      </c>
      <c r="M92" s="2">
        <v>63</v>
      </c>
      <c r="N92" s="2">
        <v>2</v>
      </c>
      <c r="O92" s="2">
        <v>2</v>
      </c>
      <c r="P92" s="2">
        <v>9</v>
      </c>
      <c r="Q92" s="2">
        <v>96</v>
      </c>
      <c r="R92" s="2" t="s">
        <v>30</v>
      </c>
      <c r="S92" s="2" t="s">
        <v>30</v>
      </c>
      <c r="T92" s="2" t="s">
        <v>30</v>
      </c>
      <c r="U92" s="2" t="s">
        <v>31</v>
      </c>
      <c r="V92" s="2" t="s">
        <v>50</v>
      </c>
      <c r="W92" s="2" t="s">
        <v>31</v>
      </c>
      <c r="X92" s="6">
        <f t="shared" si="7"/>
        <v>0.28087649402390436</v>
      </c>
      <c r="Y92" s="6">
        <f t="shared" si="8"/>
        <v>0.29514563106796116</v>
      </c>
      <c r="Z92" s="6">
        <f t="shared" si="9"/>
        <v>0.42031872509960161</v>
      </c>
      <c r="AA92" s="6">
        <f t="shared" si="10"/>
        <v>0.71546435616756276</v>
      </c>
      <c r="AB92" s="6">
        <f t="shared" si="11"/>
        <v>1.7612524461839529E-2</v>
      </c>
      <c r="AC92" s="6">
        <f t="shared" si="12"/>
        <v>0.16053511705685619</v>
      </c>
      <c r="AD92" s="6">
        <f t="shared" si="13"/>
        <v>0.13944223107569725</v>
      </c>
    </row>
    <row r="93" spans="1:30" x14ac:dyDescent="0.2">
      <c r="A93" s="3" t="s">
        <v>228</v>
      </c>
      <c r="B93" s="3">
        <v>2007</v>
      </c>
      <c r="C93" s="3">
        <v>1</v>
      </c>
      <c r="D93" s="3" t="s">
        <v>91</v>
      </c>
      <c r="E93" s="3" t="s">
        <v>6</v>
      </c>
      <c r="F93" s="3">
        <v>161</v>
      </c>
      <c r="G93" s="3">
        <v>678</v>
      </c>
      <c r="H93" s="3">
        <v>111</v>
      </c>
      <c r="I93" s="3">
        <v>238</v>
      </c>
      <c r="J93" s="3">
        <v>22</v>
      </c>
      <c r="K93" s="3">
        <v>7</v>
      </c>
      <c r="L93" s="3">
        <v>6</v>
      </c>
      <c r="M93" s="3">
        <v>68</v>
      </c>
      <c r="N93" s="3">
        <v>37</v>
      </c>
      <c r="O93" s="3">
        <v>8</v>
      </c>
      <c r="P93" s="3">
        <v>49</v>
      </c>
      <c r="Q93" s="3">
        <v>77</v>
      </c>
      <c r="R93" s="3" t="s">
        <v>35</v>
      </c>
      <c r="S93" s="3" t="s">
        <v>34</v>
      </c>
      <c r="T93" s="3" t="s">
        <v>33</v>
      </c>
      <c r="U93" s="3" t="s">
        <v>31</v>
      </c>
      <c r="V93" s="3" t="s">
        <v>41</v>
      </c>
      <c r="W93" s="3" t="s">
        <v>39</v>
      </c>
      <c r="X93" s="6">
        <f t="shared" si="7"/>
        <v>0.35103244837758113</v>
      </c>
      <c r="Y93" s="6">
        <f t="shared" si="8"/>
        <v>0.40671140939597317</v>
      </c>
      <c r="Z93" s="6">
        <f t="shared" si="9"/>
        <v>0.43067846607669619</v>
      </c>
      <c r="AA93" s="6">
        <f t="shared" si="10"/>
        <v>0.83738987547266941</v>
      </c>
      <c r="AB93" s="6">
        <f t="shared" si="11"/>
        <v>6.7400275103163682E-2</v>
      </c>
      <c r="AC93" s="6">
        <f t="shared" si="12"/>
        <v>0.10198675496688742</v>
      </c>
      <c r="AD93" s="6">
        <f t="shared" si="13"/>
        <v>7.9646017699115057E-2</v>
      </c>
    </row>
    <row r="94" spans="1:30" x14ac:dyDescent="0.2">
      <c r="A94" s="2" t="s">
        <v>241</v>
      </c>
      <c r="B94" s="2">
        <v>2007</v>
      </c>
      <c r="C94" s="2">
        <v>1</v>
      </c>
      <c r="D94" s="2" t="s">
        <v>29</v>
      </c>
      <c r="E94" s="2" t="s">
        <v>3</v>
      </c>
      <c r="F94" s="2">
        <v>132</v>
      </c>
      <c r="G94" s="2">
        <v>530</v>
      </c>
      <c r="H94" s="2">
        <v>104</v>
      </c>
      <c r="I94" s="2">
        <v>176</v>
      </c>
      <c r="J94" s="2">
        <v>48</v>
      </c>
      <c r="K94" s="2">
        <v>5</v>
      </c>
      <c r="L94" s="2">
        <v>22</v>
      </c>
      <c r="M94" s="2">
        <v>103</v>
      </c>
      <c r="N94" s="2">
        <v>9</v>
      </c>
      <c r="O94" s="2">
        <v>1</v>
      </c>
      <c r="P94" s="2">
        <v>50</v>
      </c>
      <c r="Q94" s="2">
        <v>89</v>
      </c>
      <c r="R94" s="2" t="s">
        <v>30</v>
      </c>
      <c r="S94" s="2" t="s">
        <v>55</v>
      </c>
      <c r="T94" s="2" t="s">
        <v>30</v>
      </c>
      <c r="U94" s="2" t="s">
        <v>41</v>
      </c>
      <c r="V94" s="2" t="s">
        <v>41</v>
      </c>
      <c r="W94" s="2" t="s">
        <v>33</v>
      </c>
      <c r="X94" s="6">
        <f t="shared" si="7"/>
        <v>0.33207547169811319</v>
      </c>
      <c r="Y94" s="6">
        <f t="shared" si="8"/>
        <v>0.41109298531810767</v>
      </c>
      <c r="Z94" s="6">
        <f t="shared" si="9"/>
        <v>0.56603773584905659</v>
      </c>
      <c r="AA94" s="6">
        <f t="shared" si="10"/>
        <v>0.97713072116716426</v>
      </c>
      <c r="AB94" s="6">
        <f t="shared" si="11"/>
        <v>8.6206896551724144E-2</v>
      </c>
      <c r="AC94" s="6">
        <f t="shared" si="12"/>
        <v>0.14378029079159935</v>
      </c>
      <c r="AD94" s="6">
        <f t="shared" si="13"/>
        <v>0.2339622641509434</v>
      </c>
    </row>
    <row r="95" spans="1:30" x14ac:dyDescent="0.2">
      <c r="A95" s="3" t="s">
        <v>253</v>
      </c>
      <c r="B95" s="3">
        <v>2007</v>
      </c>
      <c r="C95" s="3">
        <v>1</v>
      </c>
      <c r="D95" s="3" t="s">
        <v>83</v>
      </c>
      <c r="E95" s="3" t="s">
        <v>3</v>
      </c>
      <c r="F95" s="3">
        <v>160</v>
      </c>
      <c r="G95" s="3">
        <v>604</v>
      </c>
      <c r="H95" s="3">
        <v>113</v>
      </c>
      <c r="I95" s="3">
        <v>196</v>
      </c>
      <c r="J95" s="3">
        <v>42</v>
      </c>
      <c r="K95" s="3">
        <v>1</v>
      </c>
      <c r="L95" s="3">
        <v>30</v>
      </c>
      <c r="M95" s="3">
        <v>107</v>
      </c>
      <c r="N95" s="3">
        <v>34</v>
      </c>
      <c r="O95" s="3">
        <v>5</v>
      </c>
      <c r="P95" s="3">
        <v>94</v>
      </c>
      <c r="Q95" s="3">
        <v>115</v>
      </c>
      <c r="R95" s="3" t="s">
        <v>36</v>
      </c>
      <c r="S95" s="3" t="s">
        <v>36</v>
      </c>
      <c r="T95" s="3" t="s">
        <v>28</v>
      </c>
      <c r="U95" s="3" t="s">
        <v>41</v>
      </c>
      <c r="V95" s="3" t="s">
        <v>43</v>
      </c>
      <c r="W95" s="3" t="s">
        <v>32</v>
      </c>
      <c r="X95" s="6">
        <f t="shared" si="7"/>
        <v>0.32450331125827814</v>
      </c>
      <c r="Y95" s="6">
        <f t="shared" si="8"/>
        <v>0.4211994421199442</v>
      </c>
      <c r="Z95" s="6">
        <f t="shared" si="9"/>
        <v>0.54635761589403975</v>
      </c>
      <c r="AA95" s="6">
        <f t="shared" si="10"/>
        <v>0.96755705801398395</v>
      </c>
      <c r="AB95" s="6">
        <f t="shared" si="11"/>
        <v>0.1346704871060172</v>
      </c>
      <c r="AC95" s="6">
        <f t="shared" si="12"/>
        <v>0.15994436717663421</v>
      </c>
      <c r="AD95" s="6">
        <f t="shared" si="13"/>
        <v>0.22185430463576161</v>
      </c>
    </row>
    <row r="96" spans="1:30" x14ac:dyDescent="0.2">
      <c r="A96" s="2" t="s">
        <v>212</v>
      </c>
      <c r="B96" s="2">
        <v>2008</v>
      </c>
      <c r="C96" s="2">
        <v>1</v>
      </c>
      <c r="D96" s="2" t="s">
        <v>82</v>
      </c>
      <c r="E96" s="2" t="s">
        <v>3</v>
      </c>
      <c r="F96" s="2">
        <v>159</v>
      </c>
      <c r="G96" s="2">
        <v>554</v>
      </c>
      <c r="H96" s="2">
        <v>114</v>
      </c>
      <c r="I96" s="2">
        <v>173</v>
      </c>
      <c r="J96" s="2">
        <v>46</v>
      </c>
      <c r="K96" s="2">
        <v>4</v>
      </c>
      <c r="L96" s="2">
        <v>29</v>
      </c>
      <c r="M96" s="2">
        <v>106</v>
      </c>
      <c r="N96" s="2">
        <v>18</v>
      </c>
      <c r="O96" s="2">
        <v>4</v>
      </c>
      <c r="P96" s="2">
        <v>99</v>
      </c>
      <c r="Q96" s="2">
        <v>108</v>
      </c>
      <c r="R96" s="2" t="s">
        <v>45</v>
      </c>
      <c r="S96" s="2" t="s">
        <v>41</v>
      </c>
      <c r="T96" s="2" t="s">
        <v>28</v>
      </c>
      <c r="U96" s="2" t="s">
        <v>32</v>
      </c>
      <c r="V96" s="2" t="s">
        <v>35</v>
      </c>
      <c r="W96" s="2" t="s">
        <v>34</v>
      </c>
      <c r="X96" s="6">
        <f t="shared" si="7"/>
        <v>0.31227436823104693</v>
      </c>
      <c r="Y96" s="6">
        <f t="shared" si="8"/>
        <v>0.43484626647144947</v>
      </c>
      <c r="Z96" s="6">
        <f t="shared" si="9"/>
        <v>0.56678700361010825</v>
      </c>
      <c r="AA96" s="6">
        <f t="shared" si="10"/>
        <v>1.0016332700815578</v>
      </c>
      <c r="AB96" s="6">
        <f t="shared" si="11"/>
        <v>0.15160796324655437</v>
      </c>
      <c r="AC96" s="6">
        <f t="shared" si="12"/>
        <v>0.16314199395770393</v>
      </c>
      <c r="AD96" s="6">
        <f t="shared" si="13"/>
        <v>0.25451263537906132</v>
      </c>
    </row>
    <row r="97" spans="1:30" x14ac:dyDescent="0.2">
      <c r="A97" s="3" t="s">
        <v>215</v>
      </c>
      <c r="B97" s="3">
        <v>2008</v>
      </c>
      <c r="C97" s="3">
        <v>1</v>
      </c>
      <c r="D97" s="3" t="s">
        <v>90</v>
      </c>
      <c r="E97" s="3" t="s">
        <v>6</v>
      </c>
      <c r="F97" s="3">
        <v>126</v>
      </c>
      <c r="G97" s="3">
        <v>414</v>
      </c>
      <c r="H97" s="3">
        <v>78</v>
      </c>
      <c r="I97" s="3">
        <v>133</v>
      </c>
      <c r="J97" s="3">
        <v>32</v>
      </c>
      <c r="K97" s="3">
        <v>1</v>
      </c>
      <c r="L97" s="3">
        <v>22</v>
      </c>
      <c r="M97" s="3">
        <v>77</v>
      </c>
      <c r="N97" s="3">
        <v>5</v>
      </c>
      <c r="O97" s="3">
        <v>3</v>
      </c>
      <c r="P97" s="3">
        <v>80</v>
      </c>
      <c r="Q97" s="3">
        <v>112</v>
      </c>
      <c r="R97" s="3" t="s">
        <v>35</v>
      </c>
      <c r="S97" s="3" t="s">
        <v>42</v>
      </c>
      <c r="T97" s="3" t="s">
        <v>28</v>
      </c>
      <c r="U97" s="3" t="s">
        <v>36</v>
      </c>
      <c r="V97" s="3" t="s">
        <v>37</v>
      </c>
      <c r="W97" s="3" t="s">
        <v>37</v>
      </c>
      <c r="X97" s="6">
        <f t="shared" si="7"/>
        <v>0.32125603864734298</v>
      </c>
      <c r="Y97" s="6">
        <f t="shared" si="8"/>
        <v>0.45019157088122608</v>
      </c>
      <c r="Z97" s="6">
        <f t="shared" si="9"/>
        <v>0.5628019323671497</v>
      </c>
      <c r="AA97" s="6">
        <f t="shared" si="10"/>
        <v>1.0129935032483757</v>
      </c>
      <c r="AB97" s="6">
        <f t="shared" si="11"/>
        <v>0.16194331983805668</v>
      </c>
      <c r="AC97" s="6">
        <f t="shared" si="12"/>
        <v>0.21292775665399238</v>
      </c>
      <c r="AD97" s="6">
        <f t="shared" si="13"/>
        <v>0.24154589371980673</v>
      </c>
    </row>
    <row r="98" spans="1:30" x14ac:dyDescent="0.2">
      <c r="A98" s="2" t="s">
        <v>276</v>
      </c>
      <c r="B98" s="2">
        <v>2008</v>
      </c>
      <c r="C98" s="2">
        <v>1</v>
      </c>
      <c r="D98" s="2" t="s">
        <v>204</v>
      </c>
      <c r="E98" s="2" t="s">
        <v>3</v>
      </c>
      <c r="F98" s="2">
        <v>151</v>
      </c>
      <c r="G98" s="2">
        <v>611</v>
      </c>
      <c r="H98" s="2">
        <v>92</v>
      </c>
      <c r="I98" s="2">
        <v>174</v>
      </c>
      <c r="J98" s="2">
        <v>39</v>
      </c>
      <c r="K98" s="2">
        <v>7</v>
      </c>
      <c r="L98" s="2">
        <v>37</v>
      </c>
      <c r="M98" s="2">
        <v>106</v>
      </c>
      <c r="N98" s="2">
        <v>14</v>
      </c>
      <c r="O98" s="2">
        <v>4</v>
      </c>
      <c r="P98" s="2">
        <v>42</v>
      </c>
      <c r="Q98" s="2">
        <v>129</v>
      </c>
      <c r="R98" s="2" t="s">
        <v>33</v>
      </c>
      <c r="S98" s="2" t="s">
        <v>36</v>
      </c>
      <c r="T98" s="2" t="s">
        <v>28</v>
      </c>
      <c r="U98" s="2" t="s">
        <v>33</v>
      </c>
      <c r="V98" s="2" t="s">
        <v>35</v>
      </c>
      <c r="W98" s="2" t="s">
        <v>41</v>
      </c>
      <c r="X98" s="6">
        <f t="shared" si="7"/>
        <v>0.28477905073649756</v>
      </c>
      <c r="Y98" s="6">
        <f t="shared" si="8"/>
        <v>0.33883058470764615</v>
      </c>
      <c r="Z98" s="6">
        <f t="shared" si="9"/>
        <v>0.55319148936170215</v>
      </c>
      <c r="AA98" s="6">
        <f t="shared" si="10"/>
        <v>0.8920220740693483</v>
      </c>
      <c r="AB98" s="6">
        <f t="shared" si="11"/>
        <v>6.4318529862174581E-2</v>
      </c>
      <c r="AC98" s="6">
        <f t="shared" si="12"/>
        <v>0.17432432432432432</v>
      </c>
      <c r="AD98" s="6">
        <f t="shared" si="13"/>
        <v>0.26841243862520459</v>
      </c>
    </row>
    <row r="99" spans="1:30" x14ac:dyDescent="0.2">
      <c r="A99" s="3" t="s">
        <v>282</v>
      </c>
      <c r="B99" s="3">
        <v>2008</v>
      </c>
      <c r="C99" s="3">
        <v>1</v>
      </c>
      <c r="D99" s="3" t="s">
        <v>27</v>
      </c>
      <c r="E99" s="3" t="s">
        <v>3</v>
      </c>
      <c r="F99" s="3">
        <v>150</v>
      </c>
      <c r="G99" s="3">
        <v>501</v>
      </c>
      <c r="H99" s="3">
        <v>79</v>
      </c>
      <c r="I99" s="3">
        <v>129</v>
      </c>
      <c r="J99" s="3">
        <v>25</v>
      </c>
      <c r="K99" s="3">
        <v>3</v>
      </c>
      <c r="L99" s="3">
        <v>10</v>
      </c>
      <c r="M99" s="3">
        <v>58</v>
      </c>
      <c r="N99" s="3">
        <v>12</v>
      </c>
      <c r="O99" s="3">
        <v>4</v>
      </c>
      <c r="P99" s="3">
        <v>81</v>
      </c>
      <c r="Q99" s="3">
        <v>104</v>
      </c>
      <c r="R99" s="3" t="s">
        <v>42</v>
      </c>
      <c r="S99" s="3" t="s">
        <v>30</v>
      </c>
      <c r="T99" s="3" t="s">
        <v>31</v>
      </c>
      <c r="U99" s="3" t="s">
        <v>32</v>
      </c>
      <c r="V99" s="3" t="s">
        <v>41</v>
      </c>
      <c r="W99" s="3" t="s">
        <v>39</v>
      </c>
      <c r="X99" s="6">
        <f t="shared" si="7"/>
        <v>0.25748502994011974</v>
      </c>
      <c r="Y99" s="6">
        <f t="shared" si="8"/>
        <v>0.36850921273031828</v>
      </c>
      <c r="Z99" s="6">
        <f t="shared" si="9"/>
        <v>0.37924151696606784</v>
      </c>
      <c r="AA99" s="6">
        <f t="shared" si="10"/>
        <v>0.74775072969638612</v>
      </c>
      <c r="AB99" s="6">
        <f t="shared" si="11"/>
        <v>0.13917525773195877</v>
      </c>
      <c r="AC99" s="6">
        <f t="shared" si="12"/>
        <v>0.17190082644628099</v>
      </c>
      <c r="AD99" s="6">
        <f t="shared" si="13"/>
        <v>0.1217564870259481</v>
      </c>
    </row>
    <row r="100" spans="1:30" x14ac:dyDescent="0.2">
      <c r="A100" s="2" t="s">
        <v>278</v>
      </c>
      <c r="B100" s="2">
        <v>2008</v>
      </c>
      <c r="C100" s="2">
        <v>1</v>
      </c>
      <c r="D100" s="2" t="s">
        <v>90</v>
      </c>
      <c r="E100" s="2" t="s">
        <v>6</v>
      </c>
      <c r="F100" s="2">
        <v>156</v>
      </c>
      <c r="G100" s="2">
        <v>624</v>
      </c>
      <c r="H100" s="2">
        <v>98</v>
      </c>
      <c r="I100" s="2">
        <v>190</v>
      </c>
      <c r="J100" s="2">
        <v>35</v>
      </c>
      <c r="K100" s="2">
        <v>5</v>
      </c>
      <c r="L100" s="2">
        <v>32</v>
      </c>
      <c r="M100" s="2">
        <v>130</v>
      </c>
      <c r="N100" s="2">
        <v>9</v>
      </c>
      <c r="O100" s="2">
        <v>1</v>
      </c>
      <c r="P100" s="2">
        <v>64</v>
      </c>
      <c r="Q100" s="2">
        <v>126</v>
      </c>
      <c r="R100" s="2" t="s">
        <v>42</v>
      </c>
      <c r="S100" s="2" t="s">
        <v>41</v>
      </c>
      <c r="T100" s="2" t="s">
        <v>28</v>
      </c>
      <c r="U100" s="2" t="s">
        <v>42</v>
      </c>
      <c r="V100" s="2" t="s">
        <v>39</v>
      </c>
      <c r="W100" s="2" t="s">
        <v>39</v>
      </c>
      <c r="X100" s="6">
        <f t="shared" si="7"/>
        <v>0.30448717948717946</v>
      </c>
      <c r="Y100" s="6">
        <f t="shared" si="8"/>
        <v>0.37868162692847124</v>
      </c>
      <c r="Z100" s="6">
        <f t="shared" si="9"/>
        <v>0.53044871794871795</v>
      </c>
      <c r="AA100" s="6">
        <f t="shared" si="10"/>
        <v>0.90913034487718924</v>
      </c>
      <c r="AB100" s="6">
        <f t="shared" si="11"/>
        <v>9.3023255813953487E-2</v>
      </c>
      <c r="AC100" s="6">
        <f t="shared" si="12"/>
        <v>0.16800000000000001</v>
      </c>
      <c r="AD100" s="6">
        <f t="shared" si="13"/>
        <v>0.22596153846153849</v>
      </c>
    </row>
    <row r="101" spans="1:30" x14ac:dyDescent="0.2">
      <c r="A101" s="3" t="s">
        <v>249</v>
      </c>
      <c r="B101" s="3">
        <v>2008</v>
      </c>
      <c r="C101" s="3">
        <v>1</v>
      </c>
      <c r="D101" s="3" t="s">
        <v>164</v>
      </c>
      <c r="E101" s="3" t="s">
        <v>3</v>
      </c>
      <c r="F101" s="3">
        <v>139</v>
      </c>
      <c r="G101" s="3">
        <v>539</v>
      </c>
      <c r="H101" s="3">
        <v>107</v>
      </c>
      <c r="I101" s="3">
        <v>173</v>
      </c>
      <c r="J101" s="3">
        <v>38</v>
      </c>
      <c r="K101" s="3">
        <v>2</v>
      </c>
      <c r="L101" s="3">
        <v>25</v>
      </c>
      <c r="M101" s="3">
        <v>88</v>
      </c>
      <c r="N101" s="3">
        <v>28</v>
      </c>
      <c r="O101" s="3">
        <v>2</v>
      </c>
      <c r="P101" s="3">
        <v>74</v>
      </c>
      <c r="Q101" s="3">
        <v>104</v>
      </c>
      <c r="R101" s="3" t="s">
        <v>36</v>
      </c>
      <c r="S101" s="3" t="s">
        <v>39</v>
      </c>
      <c r="T101" s="3" t="s">
        <v>28</v>
      </c>
      <c r="U101" s="3" t="s">
        <v>31</v>
      </c>
      <c r="V101" s="3" t="s">
        <v>42</v>
      </c>
      <c r="W101" s="3" t="s">
        <v>42</v>
      </c>
      <c r="X101" s="6">
        <f t="shared" si="7"/>
        <v>0.3209647495361781</v>
      </c>
      <c r="Y101" s="6">
        <f t="shared" si="8"/>
        <v>0.4149443561208267</v>
      </c>
      <c r="Z101" s="6">
        <f t="shared" si="9"/>
        <v>0.53803339517625237</v>
      </c>
      <c r="AA101" s="6">
        <f t="shared" si="10"/>
        <v>0.95297775129707907</v>
      </c>
      <c r="AB101" s="6">
        <f t="shared" si="11"/>
        <v>0.12071778140293637</v>
      </c>
      <c r="AC101" s="6">
        <f t="shared" si="12"/>
        <v>0.16174183514774496</v>
      </c>
      <c r="AD101" s="6">
        <f t="shared" si="13"/>
        <v>0.21706864564007428</v>
      </c>
    </row>
    <row r="102" spans="1:30" x14ac:dyDescent="0.2">
      <c r="A102" s="2" t="s">
        <v>177</v>
      </c>
      <c r="B102" s="2">
        <v>2008</v>
      </c>
      <c r="C102" s="2">
        <v>1</v>
      </c>
      <c r="D102" s="2" t="s">
        <v>71</v>
      </c>
      <c r="E102" s="2" t="s">
        <v>6</v>
      </c>
      <c r="F102" s="2">
        <v>150</v>
      </c>
      <c r="G102" s="2">
        <v>596</v>
      </c>
      <c r="H102" s="2">
        <v>88</v>
      </c>
      <c r="I102" s="2">
        <v>179</v>
      </c>
      <c r="J102" s="2">
        <v>25</v>
      </c>
      <c r="K102" s="2">
        <v>3</v>
      </c>
      <c r="L102" s="2">
        <v>11</v>
      </c>
      <c r="M102" s="2">
        <v>69</v>
      </c>
      <c r="N102" s="2">
        <v>11</v>
      </c>
      <c r="O102" s="2">
        <v>5</v>
      </c>
      <c r="P102" s="2">
        <v>52</v>
      </c>
      <c r="Q102" s="2">
        <v>85</v>
      </c>
      <c r="R102" s="2" t="s">
        <v>28</v>
      </c>
      <c r="S102" s="2" t="s">
        <v>42</v>
      </c>
      <c r="T102" s="2" t="s">
        <v>41</v>
      </c>
      <c r="U102" s="2" t="s">
        <v>33</v>
      </c>
      <c r="V102" s="2" t="s">
        <v>57</v>
      </c>
      <c r="W102" s="2" t="s">
        <v>36</v>
      </c>
      <c r="X102" s="6">
        <f t="shared" si="7"/>
        <v>0.30033557046979864</v>
      </c>
      <c r="Y102" s="6">
        <f t="shared" si="8"/>
        <v>0.36308623298033282</v>
      </c>
      <c r="Z102" s="6">
        <f t="shared" si="9"/>
        <v>0.40771812080536912</v>
      </c>
      <c r="AA102" s="6">
        <f t="shared" si="10"/>
        <v>0.77080435378570189</v>
      </c>
      <c r="AB102" s="6">
        <f t="shared" si="11"/>
        <v>8.0246913580246909E-2</v>
      </c>
      <c r="AC102" s="6">
        <f t="shared" si="12"/>
        <v>0.12481644640234948</v>
      </c>
      <c r="AD102" s="6">
        <f t="shared" si="13"/>
        <v>0.10738255033557048</v>
      </c>
    </row>
    <row r="103" spans="1:30" x14ac:dyDescent="0.2">
      <c r="A103" s="3" t="s">
        <v>170</v>
      </c>
      <c r="B103" s="3">
        <v>2008</v>
      </c>
      <c r="C103" s="3">
        <v>1</v>
      </c>
      <c r="D103" s="3" t="s">
        <v>85</v>
      </c>
      <c r="E103" s="3" t="s">
        <v>3</v>
      </c>
      <c r="F103" s="3">
        <v>128</v>
      </c>
      <c r="G103" s="3">
        <v>439</v>
      </c>
      <c r="H103" s="3">
        <v>82</v>
      </c>
      <c r="I103" s="3">
        <v>160</v>
      </c>
      <c r="J103" s="3">
        <v>24</v>
      </c>
      <c r="K103" s="3">
        <v>1</v>
      </c>
      <c r="L103" s="3">
        <v>22</v>
      </c>
      <c r="M103" s="3">
        <v>75</v>
      </c>
      <c r="N103" s="3">
        <v>4</v>
      </c>
      <c r="O103" s="3">
        <v>0</v>
      </c>
      <c r="P103" s="3">
        <v>90</v>
      </c>
      <c r="Q103" s="3">
        <v>61</v>
      </c>
      <c r="R103" s="3" t="s">
        <v>50</v>
      </c>
      <c r="S103" s="3" t="s">
        <v>30</v>
      </c>
      <c r="T103" s="3" t="s">
        <v>28</v>
      </c>
      <c r="U103" s="3" t="s">
        <v>33</v>
      </c>
      <c r="V103" s="3" t="s">
        <v>35</v>
      </c>
      <c r="W103" s="3" t="s">
        <v>32</v>
      </c>
      <c r="X103" s="6">
        <f t="shared" si="7"/>
        <v>0.36446469248291574</v>
      </c>
      <c r="Y103" s="6">
        <f t="shared" si="8"/>
        <v>0.48545454545454547</v>
      </c>
      <c r="Z103" s="6">
        <f t="shared" si="9"/>
        <v>0.57403189066059224</v>
      </c>
      <c r="AA103" s="6">
        <f t="shared" si="10"/>
        <v>1.0594864361151377</v>
      </c>
      <c r="AB103" s="6">
        <f t="shared" si="11"/>
        <v>0.17013232514177692</v>
      </c>
      <c r="AC103" s="6">
        <f t="shared" si="12"/>
        <v>0.122</v>
      </c>
      <c r="AD103" s="6">
        <f t="shared" si="13"/>
        <v>0.20956719817767649</v>
      </c>
    </row>
    <row r="104" spans="1:30" x14ac:dyDescent="0.2">
      <c r="A104" s="2" t="s">
        <v>231</v>
      </c>
      <c r="B104" s="2">
        <v>2008</v>
      </c>
      <c r="C104" s="2">
        <v>1</v>
      </c>
      <c r="D104" s="2" t="s">
        <v>66</v>
      </c>
      <c r="E104" s="2" t="s">
        <v>6</v>
      </c>
      <c r="F104" s="2">
        <v>31</v>
      </c>
      <c r="G104" s="2">
        <v>5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4</v>
      </c>
      <c r="R104" s="2" t="s">
        <v>28</v>
      </c>
      <c r="S104" s="2" t="s">
        <v>28</v>
      </c>
      <c r="T104" s="2" t="s">
        <v>28</v>
      </c>
      <c r="U104" s="2" t="s">
        <v>28</v>
      </c>
      <c r="V104" s="2" t="s">
        <v>28</v>
      </c>
      <c r="W104" s="2" t="s">
        <v>30</v>
      </c>
      <c r="X104" s="6">
        <f t="shared" si="7"/>
        <v>0</v>
      </c>
      <c r="Y104" s="6">
        <f t="shared" si="8"/>
        <v>0</v>
      </c>
      <c r="Z104" s="6">
        <f t="shared" si="9"/>
        <v>0</v>
      </c>
      <c r="AA104" s="6">
        <f t="shared" si="10"/>
        <v>0</v>
      </c>
      <c r="AB104" s="6">
        <f t="shared" si="11"/>
        <v>0</v>
      </c>
      <c r="AC104" s="6">
        <f t="shared" si="12"/>
        <v>0.44444444444444442</v>
      </c>
      <c r="AD104" s="6">
        <f t="shared" si="13"/>
        <v>0</v>
      </c>
    </row>
    <row r="105" spans="1:30" x14ac:dyDescent="0.2">
      <c r="A105" s="3" t="s">
        <v>251</v>
      </c>
      <c r="B105" s="3">
        <v>2008</v>
      </c>
      <c r="C105" s="3">
        <v>1</v>
      </c>
      <c r="D105" s="3" t="s">
        <v>81</v>
      </c>
      <c r="E105" s="3" t="s">
        <v>6</v>
      </c>
      <c r="F105" s="3">
        <v>146</v>
      </c>
      <c r="G105" s="3">
        <v>536</v>
      </c>
      <c r="H105" s="3">
        <v>98</v>
      </c>
      <c r="I105" s="3">
        <v>176</v>
      </c>
      <c r="J105" s="3">
        <v>31</v>
      </c>
      <c r="K105" s="3">
        <v>4</v>
      </c>
      <c r="L105" s="3">
        <v>9</v>
      </c>
      <c r="M105" s="3">
        <v>85</v>
      </c>
      <c r="N105" s="3">
        <v>1</v>
      </c>
      <c r="O105" s="3">
        <v>1</v>
      </c>
      <c r="P105" s="3">
        <v>84</v>
      </c>
      <c r="Q105" s="3">
        <v>50</v>
      </c>
      <c r="R105" s="3" t="s">
        <v>39</v>
      </c>
      <c r="S105" s="3" t="s">
        <v>30</v>
      </c>
      <c r="T105" s="3" t="s">
        <v>30</v>
      </c>
      <c r="U105" s="3" t="s">
        <v>40</v>
      </c>
      <c r="V105" s="3" t="s">
        <v>49</v>
      </c>
      <c r="W105" s="3" t="s">
        <v>31</v>
      </c>
      <c r="X105" s="6">
        <f t="shared" si="7"/>
        <v>0.32835820895522388</v>
      </c>
      <c r="Y105" s="6">
        <f t="shared" si="8"/>
        <v>0.42031249999999998</v>
      </c>
      <c r="Z105" s="6">
        <f t="shared" si="9"/>
        <v>0.45149253731343286</v>
      </c>
      <c r="AA105" s="6">
        <f t="shared" si="10"/>
        <v>0.87180503731343284</v>
      </c>
      <c r="AB105" s="6">
        <f t="shared" si="11"/>
        <v>0.13548387096774195</v>
      </c>
      <c r="AC105" s="6">
        <f t="shared" si="12"/>
        <v>8.5324232081911269E-2</v>
      </c>
      <c r="AD105" s="6">
        <f t="shared" si="13"/>
        <v>0.12313432835820898</v>
      </c>
    </row>
    <row r="106" spans="1:30" x14ac:dyDescent="0.2">
      <c r="A106" s="2" t="s">
        <v>271</v>
      </c>
      <c r="B106" s="2">
        <v>2008</v>
      </c>
      <c r="C106" s="2">
        <v>1</v>
      </c>
      <c r="D106" s="2" t="s">
        <v>68</v>
      </c>
      <c r="E106" s="2" t="s">
        <v>6</v>
      </c>
      <c r="F106" s="2">
        <v>157</v>
      </c>
      <c r="G106" s="2">
        <v>653</v>
      </c>
      <c r="H106" s="2">
        <v>118</v>
      </c>
      <c r="I106" s="2">
        <v>213</v>
      </c>
      <c r="J106" s="2">
        <v>54</v>
      </c>
      <c r="K106" s="2">
        <v>2</v>
      </c>
      <c r="L106" s="2">
        <v>17</v>
      </c>
      <c r="M106" s="2">
        <v>83</v>
      </c>
      <c r="N106" s="2">
        <v>20</v>
      </c>
      <c r="O106" s="2">
        <v>1</v>
      </c>
      <c r="P106" s="2">
        <v>50</v>
      </c>
      <c r="Q106" s="2">
        <v>52</v>
      </c>
      <c r="R106" s="2" t="s">
        <v>30</v>
      </c>
      <c r="S106" s="2" t="s">
        <v>41</v>
      </c>
      <c r="T106" s="2" t="s">
        <v>41</v>
      </c>
      <c r="U106" s="2" t="s">
        <v>42</v>
      </c>
      <c r="V106" s="2" t="s">
        <v>47</v>
      </c>
      <c r="W106" s="2" t="s">
        <v>33</v>
      </c>
      <c r="X106" s="6">
        <f t="shared" si="7"/>
        <v>0.32618683001531396</v>
      </c>
      <c r="Y106" s="6">
        <f t="shared" si="8"/>
        <v>0.37638888888888888</v>
      </c>
      <c r="Z106" s="6">
        <f t="shared" si="9"/>
        <v>0.49310872894333846</v>
      </c>
      <c r="AA106" s="6">
        <f t="shared" si="10"/>
        <v>0.86949761783222734</v>
      </c>
      <c r="AB106" s="6">
        <f t="shared" si="11"/>
        <v>7.1123755334281655E-2</v>
      </c>
      <c r="AC106" s="6">
        <f t="shared" si="12"/>
        <v>7.3758865248226946E-2</v>
      </c>
      <c r="AD106" s="6">
        <f t="shared" si="13"/>
        <v>0.1669218989280245</v>
      </c>
    </row>
    <row r="107" spans="1:30" x14ac:dyDescent="0.2">
      <c r="A107" s="3" t="s">
        <v>225</v>
      </c>
      <c r="B107" s="3">
        <v>2008</v>
      </c>
      <c r="C107" s="3">
        <v>1</v>
      </c>
      <c r="D107" s="3" t="s">
        <v>60</v>
      </c>
      <c r="E107" s="3" t="s">
        <v>3</v>
      </c>
      <c r="F107" s="3">
        <v>148</v>
      </c>
      <c r="G107" s="3">
        <v>524</v>
      </c>
      <c r="H107" s="3">
        <v>100</v>
      </c>
      <c r="I107" s="3">
        <v>187</v>
      </c>
      <c r="J107" s="3">
        <v>44</v>
      </c>
      <c r="K107" s="3">
        <v>0</v>
      </c>
      <c r="L107" s="3">
        <v>37</v>
      </c>
      <c r="M107" s="3">
        <v>116</v>
      </c>
      <c r="N107" s="3">
        <v>7</v>
      </c>
      <c r="O107" s="3">
        <v>3</v>
      </c>
      <c r="P107" s="3">
        <v>104</v>
      </c>
      <c r="Q107" s="3">
        <v>54</v>
      </c>
      <c r="R107" s="3" t="s">
        <v>72</v>
      </c>
      <c r="S107" s="3" t="s">
        <v>32</v>
      </c>
      <c r="T107" s="3" t="s">
        <v>28</v>
      </c>
      <c r="U107" s="3" t="s">
        <v>39</v>
      </c>
      <c r="V107" s="3" t="s">
        <v>50</v>
      </c>
      <c r="W107" s="3" t="s">
        <v>37</v>
      </c>
      <c r="X107" s="6">
        <f t="shared" si="7"/>
        <v>0.3568702290076336</v>
      </c>
      <c r="Y107" s="6">
        <f t="shared" si="8"/>
        <v>0.48888888888888887</v>
      </c>
      <c r="Z107" s="6">
        <f t="shared" si="9"/>
        <v>0.65267175572519087</v>
      </c>
      <c r="AA107" s="6">
        <f t="shared" si="10"/>
        <v>1.1415606446140798</v>
      </c>
      <c r="AB107" s="6">
        <f t="shared" si="11"/>
        <v>0.16560509554140126</v>
      </c>
      <c r="AC107" s="6">
        <f t="shared" si="12"/>
        <v>9.3425605536332182E-2</v>
      </c>
      <c r="AD107" s="6">
        <f t="shared" si="13"/>
        <v>0.29580152671755727</v>
      </c>
    </row>
    <row r="108" spans="1:30" x14ac:dyDescent="0.2">
      <c r="A108" s="2" t="s">
        <v>262</v>
      </c>
      <c r="B108" s="2">
        <v>2008</v>
      </c>
      <c r="C108" s="2">
        <v>1</v>
      </c>
      <c r="D108" s="2" t="s">
        <v>165</v>
      </c>
      <c r="E108" s="2" t="s">
        <v>3</v>
      </c>
      <c r="F108" s="2">
        <v>153</v>
      </c>
      <c r="G108" s="2">
        <v>589</v>
      </c>
      <c r="H108" s="2">
        <v>125</v>
      </c>
      <c r="I108" s="2">
        <v>177</v>
      </c>
      <c r="J108" s="2">
        <v>34</v>
      </c>
      <c r="K108" s="2">
        <v>4</v>
      </c>
      <c r="L108" s="2">
        <v>33</v>
      </c>
      <c r="M108" s="2">
        <v>67</v>
      </c>
      <c r="N108" s="2">
        <v>35</v>
      </c>
      <c r="O108" s="2">
        <v>12</v>
      </c>
      <c r="P108" s="2">
        <v>92</v>
      </c>
      <c r="Q108" s="2">
        <v>122</v>
      </c>
      <c r="R108" s="2" t="s">
        <v>42</v>
      </c>
      <c r="S108" s="2" t="s">
        <v>39</v>
      </c>
      <c r="T108" s="2" t="s">
        <v>28</v>
      </c>
      <c r="U108" s="2" t="s">
        <v>33</v>
      </c>
      <c r="V108" s="2" t="s">
        <v>32</v>
      </c>
      <c r="W108" s="2" t="s">
        <v>36</v>
      </c>
      <c r="X108" s="6">
        <f t="shared" si="7"/>
        <v>0.30050933786078099</v>
      </c>
      <c r="Y108" s="6">
        <f t="shared" si="8"/>
        <v>0.40740740740740738</v>
      </c>
      <c r="Z108" s="6">
        <f t="shared" si="9"/>
        <v>0.53989813242784379</v>
      </c>
      <c r="AA108" s="6">
        <f t="shared" si="10"/>
        <v>0.94730553983525123</v>
      </c>
      <c r="AB108" s="6">
        <f t="shared" si="11"/>
        <v>0.13509544787077826</v>
      </c>
      <c r="AC108" s="6">
        <f t="shared" si="12"/>
        <v>0.17158931082981715</v>
      </c>
      <c r="AD108" s="6">
        <f t="shared" si="13"/>
        <v>0.2393887945670628</v>
      </c>
    </row>
    <row r="109" spans="1:30" x14ac:dyDescent="0.2">
      <c r="A109" s="3" t="s">
        <v>171</v>
      </c>
      <c r="B109" s="3">
        <v>2008</v>
      </c>
      <c r="C109" s="3">
        <v>1</v>
      </c>
      <c r="D109" s="3" t="s">
        <v>68</v>
      </c>
      <c r="E109" s="3" t="s">
        <v>6</v>
      </c>
      <c r="F109" s="3">
        <v>100</v>
      </c>
      <c r="G109" s="3">
        <v>365</v>
      </c>
      <c r="H109" s="3">
        <v>66</v>
      </c>
      <c r="I109" s="3">
        <v>109</v>
      </c>
      <c r="J109" s="3">
        <v>22</v>
      </c>
      <c r="K109" s="3">
        <v>1</v>
      </c>
      <c r="L109" s="3">
        <v>20</v>
      </c>
      <c r="M109" s="3">
        <v>68</v>
      </c>
      <c r="N109" s="3">
        <v>1</v>
      </c>
      <c r="O109" s="3">
        <v>0</v>
      </c>
      <c r="P109" s="3">
        <v>52</v>
      </c>
      <c r="Q109" s="3">
        <v>86</v>
      </c>
      <c r="R109" s="3" t="s">
        <v>39</v>
      </c>
      <c r="S109" s="3" t="s">
        <v>39</v>
      </c>
      <c r="T109" s="3" t="s">
        <v>28</v>
      </c>
      <c r="U109" s="3" t="s">
        <v>28</v>
      </c>
      <c r="V109" s="3" t="s">
        <v>38</v>
      </c>
      <c r="W109" s="3" t="s">
        <v>41</v>
      </c>
      <c r="X109" s="6">
        <f t="shared" si="7"/>
        <v>0.29863013698630136</v>
      </c>
      <c r="Y109" s="6">
        <f t="shared" si="8"/>
        <v>0.40877598152424943</v>
      </c>
      <c r="Z109" s="6">
        <f t="shared" si="9"/>
        <v>0.52876712328767128</v>
      </c>
      <c r="AA109" s="6">
        <f t="shared" si="10"/>
        <v>0.93754310481192071</v>
      </c>
      <c r="AB109" s="6">
        <f t="shared" si="11"/>
        <v>0.12470023980815348</v>
      </c>
      <c r="AC109" s="6">
        <f t="shared" si="12"/>
        <v>0.19068736141906872</v>
      </c>
      <c r="AD109" s="6">
        <f t="shared" si="13"/>
        <v>0.23013698630136992</v>
      </c>
    </row>
    <row r="110" spans="1:30" x14ac:dyDescent="0.2">
      <c r="A110" s="2" t="s">
        <v>171</v>
      </c>
      <c r="B110" s="2">
        <v>2008</v>
      </c>
      <c r="C110" s="2">
        <v>2</v>
      </c>
      <c r="D110" s="2" t="s">
        <v>80</v>
      </c>
      <c r="E110" s="2" t="s">
        <v>3</v>
      </c>
      <c r="F110" s="2">
        <v>53</v>
      </c>
      <c r="G110" s="2">
        <v>187</v>
      </c>
      <c r="H110" s="2">
        <v>36</v>
      </c>
      <c r="I110" s="2">
        <v>74</v>
      </c>
      <c r="J110" s="2">
        <v>14</v>
      </c>
      <c r="K110" s="2">
        <v>0</v>
      </c>
      <c r="L110" s="2">
        <v>17</v>
      </c>
      <c r="M110" s="2">
        <v>53</v>
      </c>
      <c r="N110" s="2">
        <v>2</v>
      </c>
      <c r="O110" s="2">
        <v>0</v>
      </c>
      <c r="P110" s="2">
        <v>35</v>
      </c>
      <c r="Q110" s="2">
        <v>38</v>
      </c>
      <c r="R110" s="2" t="s">
        <v>50</v>
      </c>
      <c r="S110" s="2" t="s">
        <v>34</v>
      </c>
      <c r="T110" s="2" t="s">
        <v>28</v>
      </c>
      <c r="U110" s="2" t="s">
        <v>33</v>
      </c>
      <c r="V110" s="2" t="s">
        <v>32</v>
      </c>
      <c r="W110" s="2" t="s">
        <v>41</v>
      </c>
      <c r="X110" s="6">
        <f t="shared" si="7"/>
        <v>0.39572192513368987</v>
      </c>
      <c r="Y110" s="6">
        <f t="shared" si="8"/>
        <v>0.52244897959183678</v>
      </c>
      <c r="Z110" s="6">
        <f t="shared" si="9"/>
        <v>0.74331550802139035</v>
      </c>
      <c r="AA110" s="6">
        <f t="shared" si="10"/>
        <v>1.265764487613227</v>
      </c>
      <c r="AB110" s="6">
        <f t="shared" si="11"/>
        <v>0.15765765765765766</v>
      </c>
      <c r="AC110" s="6">
        <f t="shared" si="12"/>
        <v>0.16888888888888889</v>
      </c>
      <c r="AD110" s="6">
        <f t="shared" si="13"/>
        <v>0.34759358288770048</v>
      </c>
    </row>
    <row r="111" spans="1:30" x14ac:dyDescent="0.2">
      <c r="A111" s="3" t="s">
        <v>173</v>
      </c>
      <c r="B111" s="3">
        <v>2008</v>
      </c>
      <c r="C111" s="3">
        <v>1</v>
      </c>
      <c r="D111" s="3" t="s">
        <v>71</v>
      </c>
      <c r="E111" s="3" t="s">
        <v>6</v>
      </c>
      <c r="F111" s="3">
        <v>138</v>
      </c>
      <c r="G111" s="3">
        <v>510</v>
      </c>
      <c r="H111" s="3">
        <v>104</v>
      </c>
      <c r="I111" s="3">
        <v>154</v>
      </c>
      <c r="J111" s="3">
        <v>33</v>
      </c>
      <c r="K111" s="3">
        <v>0</v>
      </c>
      <c r="L111" s="3">
        <v>35</v>
      </c>
      <c r="M111" s="3">
        <v>103</v>
      </c>
      <c r="N111" s="3">
        <v>18</v>
      </c>
      <c r="O111" s="3">
        <v>3</v>
      </c>
      <c r="P111" s="3">
        <v>65</v>
      </c>
      <c r="Q111" s="3">
        <v>117</v>
      </c>
      <c r="R111" s="3" t="s">
        <v>42</v>
      </c>
      <c r="S111" s="3" t="s">
        <v>43</v>
      </c>
      <c r="T111" s="3" t="s">
        <v>28</v>
      </c>
      <c r="U111" s="3" t="s">
        <v>32</v>
      </c>
      <c r="V111" s="3" t="s">
        <v>50</v>
      </c>
      <c r="W111" s="3" t="s">
        <v>32</v>
      </c>
      <c r="X111" s="6">
        <f t="shared" si="7"/>
        <v>0.30196078431372547</v>
      </c>
      <c r="Y111" s="6">
        <f t="shared" si="8"/>
        <v>0.40132669983416253</v>
      </c>
      <c r="Z111" s="6">
        <f t="shared" si="9"/>
        <v>0.5725490196078431</v>
      </c>
      <c r="AA111" s="6">
        <f t="shared" si="10"/>
        <v>0.97387571944200557</v>
      </c>
      <c r="AB111" s="6">
        <f t="shared" si="11"/>
        <v>0.11304347826086956</v>
      </c>
      <c r="AC111" s="6">
        <f t="shared" si="12"/>
        <v>0.18660287081339713</v>
      </c>
      <c r="AD111" s="6">
        <f t="shared" si="13"/>
        <v>0.27058823529411763</v>
      </c>
    </row>
    <row r="112" spans="1:30" x14ac:dyDescent="0.2">
      <c r="A112" s="2" t="s">
        <v>227</v>
      </c>
      <c r="B112" s="2">
        <v>2008</v>
      </c>
      <c r="C112" s="2">
        <v>1</v>
      </c>
      <c r="D112" s="2" t="s">
        <v>204</v>
      </c>
      <c r="E112" s="2" t="s">
        <v>3</v>
      </c>
      <c r="F112" s="2">
        <v>31</v>
      </c>
      <c r="G112" s="2">
        <v>67</v>
      </c>
      <c r="H112" s="2">
        <v>2</v>
      </c>
      <c r="I112" s="2">
        <v>5</v>
      </c>
      <c r="J112" s="2">
        <v>2</v>
      </c>
      <c r="K112" s="2">
        <v>0</v>
      </c>
      <c r="L112" s="2">
        <v>0</v>
      </c>
      <c r="M112" s="2">
        <v>5</v>
      </c>
      <c r="N112" s="2">
        <v>0</v>
      </c>
      <c r="O112" s="2">
        <v>0</v>
      </c>
      <c r="P112" s="2">
        <v>2</v>
      </c>
      <c r="Q112" s="2">
        <v>24</v>
      </c>
      <c r="R112" s="2" t="s">
        <v>28</v>
      </c>
      <c r="S112" s="2" t="s">
        <v>28</v>
      </c>
      <c r="T112" s="2" t="s">
        <v>32</v>
      </c>
      <c r="U112" s="2" t="s">
        <v>28</v>
      </c>
      <c r="V112" s="2" t="s">
        <v>28</v>
      </c>
      <c r="W112" s="2" t="s">
        <v>30</v>
      </c>
      <c r="X112" s="6">
        <f t="shared" si="7"/>
        <v>7.4626865671641784E-2</v>
      </c>
      <c r="Y112" s="6">
        <f t="shared" si="8"/>
        <v>0.10144927536231885</v>
      </c>
      <c r="Z112" s="6">
        <f t="shared" si="9"/>
        <v>0.1044776119402985</v>
      </c>
      <c r="AA112" s="6">
        <f t="shared" si="10"/>
        <v>0.20592688730261735</v>
      </c>
      <c r="AB112" s="6">
        <f t="shared" si="11"/>
        <v>2.8985507246376812E-2</v>
      </c>
      <c r="AC112" s="6">
        <f t="shared" si="12"/>
        <v>0.26373626373626374</v>
      </c>
      <c r="AD112" s="6">
        <f t="shared" si="13"/>
        <v>2.9850746268656719E-2</v>
      </c>
    </row>
    <row r="113" spans="1:30" x14ac:dyDescent="0.2">
      <c r="A113" s="3" t="s">
        <v>263</v>
      </c>
      <c r="B113" s="3">
        <v>2008</v>
      </c>
      <c r="C113" s="3">
        <v>1</v>
      </c>
      <c r="D113" s="3" t="s">
        <v>27</v>
      </c>
      <c r="E113" s="3" t="s">
        <v>3</v>
      </c>
      <c r="F113" s="3">
        <v>141</v>
      </c>
      <c r="G113" s="3">
        <v>494</v>
      </c>
      <c r="H113" s="3">
        <v>66</v>
      </c>
      <c r="I113" s="3">
        <v>141</v>
      </c>
      <c r="J113" s="3">
        <v>35</v>
      </c>
      <c r="K113" s="3">
        <v>2</v>
      </c>
      <c r="L113" s="3">
        <v>23</v>
      </c>
      <c r="M113" s="3">
        <v>86</v>
      </c>
      <c r="N113" s="3">
        <v>0</v>
      </c>
      <c r="O113" s="3">
        <v>1</v>
      </c>
      <c r="P113" s="3">
        <v>62</v>
      </c>
      <c r="Q113" s="3">
        <v>121</v>
      </c>
      <c r="R113" s="3" t="s">
        <v>36</v>
      </c>
      <c r="S113" s="3" t="s">
        <v>31</v>
      </c>
      <c r="T113" s="3" t="s">
        <v>28</v>
      </c>
      <c r="U113" s="3" t="s">
        <v>32</v>
      </c>
      <c r="V113" s="3" t="s">
        <v>40</v>
      </c>
      <c r="W113" s="3" t="s">
        <v>31</v>
      </c>
      <c r="X113" s="6">
        <f t="shared" si="7"/>
        <v>0.28542510121457487</v>
      </c>
      <c r="Y113" s="6">
        <f t="shared" si="8"/>
        <v>0.37082601054481545</v>
      </c>
      <c r="Z113" s="6">
        <f t="shared" si="9"/>
        <v>0.50404858299595146</v>
      </c>
      <c r="AA113" s="6">
        <f t="shared" si="10"/>
        <v>0.87487459354076691</v>
      </c>
      <c r="AB113" s="6">
        <f t="shared" si="11"/>
        <v>0.11151079136690648</v>
      </c>
      <c r="AC113" s="6">
        <f t="shared" si="12"/>
        <v>0.1967479674796748</v>
      </c>
      <c r="AD113" s="6">
        <f t="shared" si="13"/>
        <v>0.21862348178137658</v>
      </c>
    </row>
    <row r="114" spans="1:30" x14ac:dyDescent="0.2">
      <c r="A114" s="2" t="s">
        <v>228</v>
      </c>
      <c r="B114" s="2">
        <v>2008</v>
      </c>
      <c r="C114" s="2">
        <v>1</v>
      </c>
      <c r="D114" s="2" t="s">
        <v>91</v>
      </c>
      <c r="E114" s="2" t="s">
        <v>6</v>
      </c>
      <c r="F114" s="2">
        <v>162</v>
      </c>
      <c r="G114" s="2">
        <v>686</v>
      </c>
      <c r="H114" s="2">
        <v>103</v>
      </c>
      <c r="I114" s="2">
        <v>213</v>
      </c>
      <c r="J114" s="2">
        <v>20</v>
      </c>
      <c r="K114" s="2">
        <v>7</v>
      </c>
      <c r="L114" s="2">
        <v>6</v>
      </c>
      <c r="M114" s="2">
        <v>42</v>
      </c>
      <c r="N114" s="2">
        <v>43</v>
      </c>
      <c r="O114" s="2">
        <v>4</v>
      </c>
      <c r="P114" s="2">
        <v>51</v>
      </c>
      <c r="Q114" s="2">
        <v>65</v>
      </c>
      <c r="R114" s="2" t="s">
        <v>38</v>
      </c>
      <c r="S114" s="2" t="s">
        <v>32</v>
      </c>
      <c r="T114" s="2" t="s">
        <v>34</v>
      </c>
      <c r="U114" s="2" t="s">
        <v>33</v>
      </c>
      <c r="V114" s="2" t="s">
        <v>39</v>
      </c>
      <c r="W114" s="2" t="s">
        <v>42</v>
      </c>
      <c r="X114" s="6">
        <f t="shared" si="7"/>
        <v>0.31049562682215742</v>
      </c>
      <c r="Y114" s="6">
        <f t="shared" si="8"/>
        <v>0.37071240105540898</v>
      </c>
      <c r="Z114" s="6">
        <f t="shared" si="9"/>
        <v>0.38629737609329445</v>
      </c>
      <c r="AA114" s="6">
        <f t="shared" si="10"/>
        <v>0.75700977714870343</v>
      </c>
      <c r="AB114" s="6">
        <f t="shared" si="11"/>
        <v>6.9199457259158756E-2</v>
      </c>
      <c r="AC114" s="6">
        <f t="shared" si="12"/>
        <v>8.6551264980026632E-2</v>
      </c>
      <c r="AD114" s="6">
        <f t="shared" si="13"/>
        <v>7.5801749271137031E-2</v>
      </c>
    </row>
    <row r="115" spans="1:30" x14ac:dyDescent="0.2">
      <c r="A115" s="3" t="s">
        <v>241</v>
      </c>
      <c r="B115" s="3">
        <v>2008</v>
      </c>
      <c r="C115" s="3">
        <v>1</v>
      </c>
      <c r="D115" s="3" t="s">
        <v>29</v>
      </c>
      <c r="E115" s="3" t="s">
        <v>3</v>
      </c>
      <c r="F115" s="3">
        <v>159</v>
      </c>
      <c r="G115" s="3">
        <v>607</v>
      </c>
      <c r="H115" s="3">
        <v>113</v>
      </c>
      <c r="I115" s="3">
        <v>177</v>
      </c>
      <c r="J115" s="3">
        <v>41</v>
      </c>
      <c r="K115" s="3">
        <v>4</v>
      </c>
      <c r="L115" s="3">
        <v>33</v>
      </c>
      <c r="M115" s="3">
        <v>104</v>
      </c>
      <c r="N115" s="3">
        <v>14</v>
      </c>
      <c r="O115" s="3">
        <v>2</v>
      </c>
      <c r="P115" s="3">
        <v>64</v>
      </c>
      <c r="Q115" s="3">
        <v>104</v>
      </c>
      <c r="R115" s="3" t="s">
        <v>43</v>
      </c>
      <c r="S115" s="3" t="s">
        <v>62</v>
      </c>
      <c r="T115" s="3" t="s">
        <v>30</v>
      </c>
      <c r="U115" s="3" t="s">
        <v>39</v>
      </c>
      <c r="V115" s="3" t="s">
        <v>42</v>
      </c>
      <c r="W115" s="3" t="s">
        <v>33</v>
      </c>
      <c r="X115" s="6">
        <f t="shared" si="7"/>
        <v>0.29159802306425042</v>
      </c>
      <c r="Y115" s="6">
        <f t="shared" si="8"/>
        <v>0.39166666666666666</v>
      </c>
      <c r="Z115" s="6">
        <f t="shared" si="9"/>
        <v>0.53542009884678743</v>
      </c>
      <c r="AA115" s="6">
        <f t="shared" si="10"/>
        <v>0.92708676551345404</v>
      </c>
      <c r="AB115" s="6">
        <f t="shared" si="11"/>
        <v>9.5380029806259314E-2</v>
      </c>
      <c r="AC115" s="6">
        <f t="shared" si="12"/>
        <v>0.14627285513361463</v>
      </c>
      <c r="AD115" s="6">
        <f t="shared" si="13"/>
        <v>0.24382207578253701</v>
      </c>
    </row>
    <row r="116" spans="1:30" x14ac:dyDescent="0.2">
      <c r="A116" s="2" t="s">
        <v>254</v>
      </c>
      <c r="B116" s="2">
        <v>2008</v>
      </c>
      <c r="C116" s="2">
        <v>1</v>
      </c>
      <c r="D116" s="2" t="s">
        <v>68</v>
      </c>
      <c r="E116" s="2" t="s">
        <v>6</v>
      </c>
      <c r="F116" s="2">
        <v>145</v>
      </c>
      <c r="G116" s="2">
        <v>538</v>
      </c>
      <c r="H116" s="2">
        <v>91</v>
      </c>
      <c r="I116" s="2">
        <v>168</v>
      </c>
      <c r="J116" s="2">
        <v>43</v>
      </c>
      <c r="K116" s="2">
        <v>4</v>
      </c>
      <c r="L116" s="2">
        <v>29</v>
      </c>
      <c r="M116" s="2">
        <v>115</v>
      </c>
      <c r="N116" s="2">
        <v>3</v>
      </c>
      <c r="O116" s="2">
        <v>5</v>
      </c>
      <c r="P116" s="2">
        <v>62</v>
      </c>
      <c r="Q116" s="2">
        <v>108</v>
      </c>
      <c r="R116" s="2" t="s">
        <v>41</v>
      </c>
      <c r="S116" s="2" t="s">
        <v>38</v>
      </c>
      <c r="T116" s="2" t="s">
        <v>28</v>
      </c>
      <c r="U116" s="2" t="s">
        <v>42</v>
      </c>
      <c r="V116" s="2" t="s">
        <v>40</v>
      </c>
      <c r="W116" s="2" t="s">
        <v>34</v>
      </c>
      <c r="X116" s="6">
        <f t="shared" si="7"/>
        <v>0.31226765799256506</v>
      </c>
      <c r="Y116" s="6">
        <f t="shared" si="8"/>
        <v>0.39649681528662423</v>
      </c>
      <c r="Z116" s="6">
        <f t="shared" si="9"/>
        <v>0.56877323420074355</v>
      </c>
      <c r="AA116" s="6">
        <f t="shared" si="10"/>
        <v>0.96527004948736783</v>
      </c>
      <c r="AB116" s="6">
        <f t="shared" si="11"/>
        <v>0.10333333333333333</v>
      </c>
      <c r="AC116" s="6">
        <f t="shared" si="12"/>
        <v>0.16718266253869968</v>
      </c>
      <c r="AD116" s="6">
        <f t="shared" si="13"/>
        <v>0.25650557620817849</v>
      </c>
    </row>
    <row r="117" spans="1:30" x14ac:dyDescent="0.2">
      <c r="A117" s="3" t="s">
        <v>234</v>
      </c>
      <c r="B117" s="3">
        <v>2009</v>
      </c>
      <c r="C117" s="3">
        <v>1</v>
      </c>
      <c r="D117" s="3" t="s">
        <v>68</v>
      </c>
      <c r="E117" s="3" t="s">
        <v>6</v>
      </c>
      <c r="F117" s="3">
        <v>151</v>
      </c>
      <c r="G117" s="3">
        <v>531</v>
      </c>
      <c r="H117" s="3">
        <v>103</v>
      </c>
      <c r="I117" s="3">
        <v>142</v>
      </c>
      <c r="J117" s="3">
        <v>29</v>
      </c>
      <c r="K117" s="3">
        <v>3</v>
      </c>
      <c r="L117" s="3">
        <v>36</v>
      </c>
      <c r="M117" s="3">
        <v>119</v>
      </c>
      <c r="N117" s="3">
        <v>13</v>
      </c>
      <c r="O117" s="3">
        <v>3</v>
      </c>
      <c r="P117" s="3">
        <v>94</v>
      </c>
      <c r="Q117" s="3">
        <v>162</v>
      </c>
      <c r="R117" s="3" t="s">
        <v>33</v>
      </c>
      <c r="S117" s="3" t="s">
        <v>42</v>
      </c>
      <c r="T117" s="3" t="s">
        <v>28</v>
      </c>
      <c r="U117" s="3" t="s">
        <v>33</v>
      </c>
      <c r="V117" s="3" t="s">
        <v>42</v>
      </c>
      <c r="W117" s="3" t="s">
        <v>41</v>
      </c>
      <c r="X117" s="6">
        <f t="shared" si="7"/>
        <v>0.26741996233521659</v>
      </c>
      <c r="Y117" s="6">
        <f t="shared" si="8"/>
        <v>0.38785046728971961</v>
      </c>
      <c r="Z117" s="6">
        <f t="shared" si="9"/>
        <v>0.53672316384180796</v>
      </c>
      <c r="AA117" s="6">
        <f t="shared" si="10"/>
        <v>0.92457363113152757</v>
      </c>
      <c r="AB117" s="6">
        <f t="shared" si="11"/>
        <v>0.15040000000000001</v>
      </c>
      <c r="AC117" s="6">
        <f t="shared" si="12"/>
        <v>0.23376623376623376</v>
      </c>
      <c r="AD117" s="6">
        <f t="shared" si="13"/>
        <v>0.26930320150659137</v>
      </c>
    </row>
    <row r="118" spans="1:30" x14ac:dyDescent="0.2">
      <c r="A118" s="2" t="s">
        <v>276</v>
      </c>
      <c r="B118" s="2">
        <v>2009</v>
      </c>
      <c r="C118" s="2">
        <v>1</v>
      </c>
      <c r="D118" s="2" t="s">
        <v>204</v>
      </c>
      <c r="E118" s="2" t="s">
        <v>3</v>
      </c>
      <c r="F118" s="2">
        <v>158</v>
      </c>
      <c r="G118" s="2">
        <v>635</v>
      </c>
      <c r="H118" s="2">
        <v>113</v>
      </c>
      <c r="I118" s="2">
        <v>203</v>
      </c>
      <c r="J118" s="2">
        <v>39</v>
      </c>
      <c r="K118" s="2">
        <v>6</v>
      </c>
      <c r="L118" s="2">
        <v>32</v>
      </c>
      <c r="M118" s="2">
        <v>114</v>
      </c>
      <c r="N118" s="2">
        <v>20</v>
      </c>
      <c r="O118" s="2">
        <v>6</v>
      </c>
      <c r="P118" s="2">
        <v>57</v>
      </c>
      <c r="Q118" s="2">
        <v>121</v>
      </c>
      <c r="R118" s="2" t="s">
        <v>30</v>
      </c>
      <c r="S118" s="2" t="s">
        <v>35</v>
      </c>
      <c r="T118" s="2" t="s">
        <v>28</v>
      </c>
      <c r="U118" s="2" t="s">
        <v>34</v>
      </c>
      <c r="V118" s="2" t="s">
        <v>36</v>
      </c>
      <c r="W118" s="2" t="s">
        <v>42</v>
      </c>
      <c r="X118" s="6">
        <f t="shared" si="7"/>
        <v>0.31968503937007875</v>
      </c>
      <c r="Y118" s="6">
        <f t="shared" si="8"/>
        <v>0.38645980253878703</v>
      </c>
      <c r="Z118" s="6">
        <f t="shared" si="9"/>
        <v>0.55118110236220474</v>
      </c>
      <c r="AA118" s="6">
        <f t="shared" si="10"/>
        <v>0.93764090490099172</v>
      </c>
      <c r="AB118" s="6">
        <f t="shared" si="11"/>
        <v>8.2369942196531792E-2</v>
      </c>
      <c r="AC118" s="6">
        <f t="shared" si="12"/>
        <v>0.16005291005291006</v>
      </c>
      <c r="AD118" s="6">
        <f t="shared" si="13"/>
        <v>0.23149606299212599</v>
      </c>
    </row>
    <row r="119" spans="1:30" x14ac:dyDescent="0.2">
      <c r="A119" s="3" t="s">
        <v>208</v>
      </c>
      <c r="B119" s="3">
        <v>2009</v>
      </c>
      <c r="C119" s="3">
        <v>1</v>
      </c>
      <c r="D119" s="3" t="s">
        <v>92</v>
      </c>
      <c r="E119" s="3" t="s">
        <v>6</v>
      </c>
      <c r="F119" s="3">
        <v>32</v>
      </c>
      <c r="G119" s="3">
        <v>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1</v>
      </c>
      <c r="R119" s="3" t="s">
        <v>28</v>
      </c>
      <c r="S119" s="3" t="s">
        <v>28</v>
      </c>
      <c r="T119" s="3" t="s">
        <v>30</v>
      </c>
      <c r="U119" s="3" t="s">
        <v>28</v>
      </c>
      <c r="V119" s="3" t="s">
        <v>28</v>
      </c>
      <c r="W119" s="3" t="s">
        <v>30</v>
      </c>
      <c r="X119" s="6">
        <f t="shared" si="7"/>
        <v>0</v>
      </c>
      <c r="Y119" s="6">
        <f t="shared" si="8"/>
        <v>0</v>
      </c>
      <c r="Z119" s="6">
        <f t="shared" si="9"/>
        <v>0</v>
      </c>
      <c r="AA119" s="6">
        <f t="shared" si="10"/>
        <v>0</v>
      </c>
      <c r="AB119" s="6">
        <f t="shared" si="11"/>
        <v>0</v>
      </c>
      <c r="AC119" s="6">
        <f t="shared" si="12"/>
        <v>0.5</v>
      </c>
      <c r="AD119" s="6">
        <f t="shared" si="13"/>
        <v>0</v>
      </c>
    </row>
    <row r="120" spans="1:30" x14ac:dyDescent="0.2">
      <c r="A120" s="2" t="s">
        <v>278</v>
      </c>
      <c r="B120" s="2">
        <v>2009</v>
      </c>
      <c r="C120" s="2">
        <v>1</v>
      </c>
      <c r="D120" s="2" t="s">
        <v>90</v>
      </c>
      <c r="E120" s="2" t="s">
        <v>6</v>
      </c>
      <c r="F120" s="2">
        <v>89</v>
      </c>
      <c r="G120" s="2">
        <v>336</v>
      </c>
      <c r="H120" s="2">
        <v>43</v>
      </c>
      <c r="I120" s="2">
        <v>90</v>
      </c>
      <c r="J120" s="2">
        <v>19</v>
      </c>
      <c r="K120" s="2">
        <v>2</v>
      </c>
      <c r="L120" s="2">
        <v>10</v>
      </c>
      <c r="M120" s="2">
        <v>54</v>
      </c>
      <c r="N120" s="2">
        <v>8</v>
      </c>
      <c r="O120" s="2">
        <v>3</v>
      </c>
      <c r="P120" s="2">
        <v>24</v>
      </c>
      <c r="Q120" s="2">
        <v>79</v>
      </c>
      <c r="R120" s="2" t="s">
        <v>31</v>
      </c>
      <c r="S120" s="2" t="s">
        <v>30</v>
      </c>
      <c r="T120" s="2" t="s">
        <v>28</v>
      </c>
      <c r="U120" s="2" t="s">
        <v>33</v>
      </c>
      <c r="V120" s="2" t="s">
        <v>32</v>
      </c>
      <c r="W120" s="2" t="s">
        <v>39</v>
      </c>
      <c r="X120" s="6">
        <f t="shared" si="7"/>
        <v>0.26785714285714285</v>
      </c>
      <c r="Y120" s="6">
        <f t="shared" si="8"/>
        <v>0.31880108991825612</v>
      </c>
      <c r="Z120" s="6">
        <f t="shared" si="9"/>
        <v>0.42559523809523808</v>
      </c>
      <c r="AA120" s="6">
        <f t="shared" si="10"/>
        <v>0.7443963280134942</v>
      </c>
      <c r="AB120" s="6">
        <f t="shared" si="11"/>
        <v>6.6666666666666666E-2</v>
      </c>
      <c r="AC120" s="6">
        <f t="shared" si="12"/>
        <v>0.19036144578313252</v>
      </c>
      <c r="AD120" s="6">
        <f t="shared" si="13"/>
        <v>0.15773809523809523</v>
      </c>
    </row>
    <row r="121" spans="1:30" x14ac:dyDescent="0.2">
      <c r="A121" s="3" t="s">
        <v>260</v>
      </c>
      <c r="B121" s="3">
        <v>2009</v>
      </c>
      <c r="C121" s="3">
        <v>1</v>
      </c>
      <c r="D121" s="3" t="s">
        <v>92</v>
      </c>
      <c r="E121" s="3" t="s">
        <v>6</v>
      </c>
      <c r="F121" s="3">
        <v>158</v>
      </c>
      <c r="G121" s="3">
        <v>682</v>
      </c>
      <c r="H121" s="3">
        <v>103</v>
      </c>
      <c r="I121" s="3">
        <v>195</v>
      </c>
      <c r="J121" s="3">
        <v>37</v>
      </c>
      <c r="K121" s="3">
        <v>0</v>
      </c>
      <c r="L121" s="3">
        <v>36</v>
      </c>
      <c r="M121" s="3">
        <v>108</v>
      </c>
      <c r="N121" s="3">
        <v>6</v>
      </c>
      <c r="O121" s="3">
        <v>2</v>
      </c>
      <c r="P121" s="3">
        <v>42</v>
      </c>
      <c r="Q121" s="3">
        <v>98</v>
      </c>
      <c r="R121" s="3" t="s">
        <v>30</v>
      </c>
      <c r="S121" s="3" t="s">
        <v>32</v>
      </c>
      <c r="T121" s="3" t="s">
        <v>30</v>
      </c>
      <c r="U121" s="3" t="s">
        <v>33</v>
      </c>
      <c r="V121" s="3" t="s">
        <v>47</v>
      </c>
      <c r="W121" s="3" t="s">
        <v>33</v>
      </c>
      <c r="X121" s="6">
        <f t="shared" si="7"/>
        <v>0.28592375366568917</v>
      </c>
      <c r="Y121" s="6">
        <f t="shared" si="8"/>
        <v>0.33106267029972752</v>
      </c>
      <c r="Z121" s="6">
        <f t="shared" si="9"/>
        <v>0.49853372434017595</v>
      </c>
      <c r="AA121" s="6">
        <f t="shared" si="10"/>
        <v>0.82959639463990342</v>
      </c>
      <c r="AB121" s="6">
        <f t="shared" si="11"/>
        <v>5.8011049723756904E-2</v>
      </c>
      <c r="AC121" s="6">
        <f t="shared" si="12"/>
        <v>0.12564102564102564</v>
      </c>
      <c r="AD121" s="6">
        <f t="shared" si="13"/>
        <v>0.21260997067448678</v>
      </c>
    </row>
    <row r="122" spans="1:30" x14ac:dyDescent="0.2">
      <c r="A122" s="2" t="s">
        <v>187</v>
      </c>
      <c r="B122" s="2">
        <v>2009</v>
      </c>
      <c r="C122" s="2">
        <v>1</v>
      </c>
      <c r="D122" s="2" t="s">
        <v>29</v>
      </c>
      <c r="E122" s="2" t="s">
        <v>3</v>
      </c>
      <c r="F122" s="2">
        <v>134</v>
      </c>
      <c r="G122" s="2">
        <v>500</v>
      </c>
      <c r="H122" s="2">
        <v>93</v>
      </c>
      <c r="I122" s="2">
        <v>136</v>
      </c>
      <c r="J122" s="2">
        <v>32</v>
      </c>
      <c r="K122" s="2">
        <v>3</v>
      </c>
      <c r="L122" s="2">
        <v>34</v>
      </c>
      <c r="M122" s="2">
        <v>93</v>
      </c>
      <c r="N122" s="2">
        <v>4</v>
      </c>
      <c r="O122" s="2">
        <v>0</v>
      </c>
      <c r="P122" s="2">
        <v>56</v>
      </c>
      <c r="Q122" s="2">
        <v>119</v>
      </c>
      <c r="R122" s="2" t="s">
        <v>39</v>
      </c>
      <c r="S122" s="2" t="s">
        <v>33</v>
      </c>
      <c r="T122" s="2" t="s">
        <v>28</v>
      </c>
      <c r="U122" s="2" t="s">
        <v>32</v>
      </c>
      <c r="V122" s="2" t="s">
        <v>50</v>
      </c>
      <c r="W122" s="2" t="s">
        <v>41</v>
      </c>
      <c r="X122" s="6">
        <f t="shared" si="7"/>
        <v>0.27200000000000002</v>
      </c>
      <c r="Y122" s="6">
        <f t="shared" si="8"/>
        <v>0.35602094240837695</v>
      </c>
      <c r="Z122" s="6">
        <f t="shared" si="9"/>
        <v>0.55200000000000005</v>
      </c>
      <c r="AA122" s="6">
        <f t="shared" si="10"/>
        <v>0.90802094240837694</v>
      </c>
      <c r="AB122" s="6">
        <f t="shared" si="11"/>
        <v>0.10071942446043165</v>
      </c>
      <c r="AC122" s="6">
        <f t="shared" si="12"/>
        <v>0.19224555735056542</v>
      </c>
      <c r="AD122" s="6">
        <f t="shared" si="13"/>
        <v>0.28000000000000003</v>
      </c>
    </row>
    <row r="123" spans="1:30" x14ac:dyDescent="0.2">
      <c r="A123" s="3" t="s">
        <v>177</v>
      </c>
      <c r="B123" s="3">
        <v>2009</v>
      </c>
      <c r="C123" s="3">
        <v>1</v>
      </c>
      <c r="D123" s="3" t="s">
        <v>71</v>
      </c>
      <c r="E123" s="3" t="s">
        <v>6</v>
      </c>
      <c r="F123" s="3">
        <v>153</v>
      </c>
      <c r="G123" s="3">
        <v>634</v>
      </c>
      <c r="H123" s="3">
        <v>107</v>
      </c>
      <c r="I123" s="3">
        <v>212</v>
      </c>
      <c r="J123" s="3">
        <v>27</v>
      </c>
      <c r="K123" s="3">
        <v>1</v>
      </c>
      <c r="L123" s="3">
        <v>18</v>
      </c>
      <c r="M123" s="3">
        <v>66</v>
      </c>
      <c r="N123" s="3">
        <v>30</v>
      </c>
      <c r="O123" s="3">
        <v>5</v>
      </c>
      <c r="P123" s="3">
        <v>72</v>
      </c>
      <c r="Q123" s="3">
        <v>90</v>
      </c>
      <c r="R123" s="3" t="s">
        <v>33</v>
      </c>
      <c r="S123" s="3" t="s">
        <v>32</v>
      </c>
      <c r="T123" s="3" t="s">
        <v>33</v>
      </c>
      <c r="U123" s="3" t="s">
        <v>30</v>
      </c>
      <c r="V123" s="3" t="s">
        <v>45</v>
      </c>
      <c r="W123" s="3" t="s">
        <v>36</v>
      </c>
      <c r="X123" s="6">
        <f t="shared" si="7"/>
        <v>0.33438485804416401</v>
      </c>
      <c r="Y123" s="6">
        <f t="shared" si="8"/>
        <v>0.40921787709497209</v>
      </c>
      <c r="Z123" s="6">
        <f t="shared" si="9"/>
        <v>0.46529968454258674</v>
      </c>
      <c r="AA123" s="6">
        <f t="shared" si="10"/>
        <v>0.87451756163755889</v>
      </c>
      <c r="AB123" s="6">
        <f t="shared" si="11"/>
        <v>0.10198300283286119</v>
      </c>
      <c r="AC123" s="6">
        <f t="shared" si="12"/>
        <v>0.12430939226519337</v>
      </c>
      <c r="AD123" s="6">
        <f t="shared" si="13"/>
        <v>0.13091482649842273</v>
      </c>
    </row>
    <row r="124" spans="1:30" x14ac:dyDescent="0.2">
      <c r="A124" s="2" t="s">
        <v>279</v>
      </c>
      <c r="B124" s="2">
        <v>2009</v>
      </c>
      <c r="C124" s="2">
        <v>1</v>
      </c>
      <c r="D124" s="2" t="s">
        <v>79</v>
      </c>
      <c r="E124" s="2" t="s">
        <v>3</v>
      </c>
      <c r="F124" s="2">
        <v>33</v>
      </c>
      <c r="G124" s="2">
        <v>66</v>
      </c>
      <c r="H124" s="2">
        <v>8</v>
      </c>
      <c r="I124" s="2">
        <v>10</v>
      </c>
      <c r="J124" s="2">
        <v>1</v>
      </c>
      <c r="K124" s="2">
        <v>0</v>
      </c>
      <c r="L124" s="2">
        <v>0</v>
      </c>
      <c r="M124" s="2">
        <v>3</v>
      </c>
      <c r="N124" s="2">
        <v>0</v>
      </c>
      <c r="O124" s="2">
        <v>0</v>
      </c>
      <c r="P124" s="2">
        <v>6</v>
      </c>
      <c r="Q124" s="2">
        <v>36</v>
      </c>
      <c r="R124" s="2" t="s">
        <v>28</v>
      </c>
      <c r="S124" s="2" t="s">
        <v>28</v>
      </c>
      <c r="T124" s="2" t="s">
        <v>35</v>
      </c>
      <c r="U124" s="2" t="s">
        <v>30</v>
      </c>
      <c r="V124" s="2" t="s">
        <v>30</v>
      </c>
      <c r="W124" s="2" t="s">
        <v>30</v>
      </c>
      <c r="X124" s="6">
        <f t="shared" si="7"/>
        <v>0.15151515151515152</v>
      </c>
      <c r="Y124" s="6">
        <f t="shared" si="8"/>
        <v>0.21917808219178081</v>
      </c>
      <c r="Z124" s="6">
        <f t="shared" si="9"/>
        <v>0.16666666666666666</v>
      </c>
      <c r="AA124" s="6">
        <f t="shared" si="10"/>
        <v>0.38584474885844744</v>
      </c>
      <c r="AB124" s="6">
        <f t="shared" si="11"/>
        <v>8.3333333333333329E-2</v>
      </c>
      <c r="AC124" s="6">
        <f t="shared" si="12"/>
        <v>0.35294117647058826</v>
      </c>
      <c r="AD124" s="6">
        <f t="shared" si="13"/>
        <v>1.5151515151515138E-2</v>
      </c>
    </row>
    <row r="125" spans="1:30" x14ac:dyDescent="0.2">
      <c r="A125" s="3" t="s">
        <v>251</v>
      </c>
      <c r="B125" s="3">
        <v>2009</v>
      </c>
      <c r="C125" s="3">
        <v>1</v>
      </c>
      <c r="D125" s="3" t="s">
        <v>81</v>
      </c>
      <c r="E125" s="3" t="s">
        <v>6</v>
      </c>
      <c r="F125" s="3">
        <v>138</v>
      </c>
      <c r="G125" s="3">
        <v>523</v>
      </c>
      <c r="H125" s="3">
        <v>94</v>
      </c>
      <c r="I125" s="3">
        <v>191</v>
      </c>
      <c r="J125" s="3">
        <v>30</v>
      </c>
      <c r="K125" s="3">
        <v>1</v>
      </c>
      <c r="L125" s="3">
        <v>28</v>
      </c>
      <c r="M125" s="3">
        <v>96</v>
      </c>
      <c r="N125" s="3">
        <v>4</v>
      </c>
      <c r="O125" s="3">
        <v>1</v>
      </c>
      <c r="P125" s="3">
        <v>76</v>
      </c>
      <c r="Q125" s="3">
        <v>63</v>
      </c>
      <c r="R125" s="3" t="s">
        <v>43</v>
      </c>
      <c r="S125" s="3" t="s">
        <v>31</v>
      </c>
      <c r="T125" s="3" t="s">
        <v>28</v>
      </c>
      <c r="U125" s="3" t="s">
        <v>32</v>
      </c>
      <c r="V125" s="3" t="s">
        <v>35</v>
      </c>
      <c r="W125" s="3" t="s">
        <v>31</v>
      </c>
      <c r="X125" s="6">
        <f t="shared" si="7"/>
        <v>0.36520076481835562</v>
      </c>
      <c r="Y125" s="6">
        <f t="shared" si="8"/>
        <v>0.45645161290322583</v>
      </c>
      <c r="Z125" s="6">
        <f t="shared" si="9"/>
        <v>0.5869980879541109</v>
      </c>
      <c r="AA125" s="6">
        <f t="shared" si="10"/>
        <v>1.0434497008573367</v>
      </c>
      <c r="AB125" s="6">
        <f t="shared" si="11"/>
        <v>0.12687813021702837</v>
      </c>
      <c r="AC125" s="6">
        <f t="shared" si="12"/>
        <v>0.10750853242320819</v>
      </c>
      <c r="AD125" s="6">
        <f t="shared" si="13"/>
        <v>0.22179732313575529</v>
      </c>
    </row>
    <row r="126" spans="1:30" x14ac:dyDescent="0.2">
      <c r="A126" s="2" t="s">
        <v>252</v>
      </c>
      <c r="B126" s="2">
        <v>2009</v>
      </c>
      <c r="C126" s="2">
        <v>1</v>
      </c>
      <c r="D126" s="2" t="s">
        <v>60</v>
      </c>
      <c r="E126" s="2" t="s">
        <v>3</v>
      </c>
      <c r="F126" s="2">
        <v>140</v>
      </c>
      <c r="G126" s="2">
        <v>481</v>
      </c>
      <c r="H126" s="2">
        <v>45</v>
      </c>
      <c r="I126" s="2">
        <v>141</v>
      </c>
      <c r="J126" s="2">
        <v>23</v>
      </c>
      <c r="K126" s="2">
        <v>1</v>
      </c>
      <c r="L126" s="2">
        <v>6</v>
      </c>
      <c r="M126" s="2">
        <v>54</v>
      </c>
      <c r="N126" s="2">
        <v>9</v>
      </c>
      <c r="O126" s="2">
        <v>3</v>
      </c>
      <c r="P126" s="2">
        <v>50</v>
      </c>
      <c r="Q126" s="2">
        <v>39</v>
      </c>
      <c r="R126" s="2" t="s">
        <v>31</v>
      </c>
      <c r="S126" s="2" t="s">
        <v>36</v>
      </c>
      <c r="T126" s="2" t="s">
        <v>36</v>
      </c>
      <c r="U126" s="2" t="s">
        <v>30</v>
      </c>
      <c r="V126" s="2" t="s">
        <v>62</v>
      </c>
      <c r="W126" s="2" t="s">
        <v>31</v>
      </c>
      <c r="X126" s="6">
        <f t="shared" si="7"/>
        <v>0.29313929313929316</v>
      </c>
      <c r="Y126" s="6">
        <f t="shared" si="8"/>
        <v>0.36851851851851852</v>
      </c>
      <c r="Z126" s="6">
        <f t="shared" si="9"/>
        <v>0.38253638253638256</v>
      </c>
      <c r="AA126" s="6">
        <f t="shared" si="10"/>
        <v>0.75105490105490103</v>
      </c>
      <c r="AB126" s="6">
        <f t="shared" si="11"/>
        <v>9.4161958568738227E-2</v>
      </c>
      <c r="AC126" s="6">
        <f t="shared" si="12"/>
        <v>7.4999999999999997E-2</v>
      </c>
      <c r="AD126" s="6">
        <f t="shared" si="13"/>
        <v>8.9397089397089402E-2</v>
      </c>
    </row>
    <row r="127" spans="1:30" x14ac:dyDescent="0.2">
      <c r="A127" s="3" t="s">
        <v>225</v>
      </c>
      <c r="B127" s="3">
        <v>2009</v>
      </c>
      <c r="C127" s="3">
        <v>1</v>
      </c>
      <c r="D127" s="3" t="s">
        <v>60</v>
      </c>
      <c r="E127" s="3" t="s">
        <v>3</v>
      </c>
      <c r="F127" s="3">
        <v>160</v>
      </c>
      <c r="G127" s="3">
        <v>568</v>
      </c>
      <c r="H127" s="3">
        <v>124</v>
      </c>
      <c r="I127" s="3">
        <v>186</v>
      </c>
      <c r="J127" s="3">
        <v>45</v>
      </c>
      <c r="K127" s="3">
        <v>1</v>
      </c>
      <c r="L127" s="3">
        <v>47</v>
      </c>
      <c r="M127" s="3">
        <v>135</v>
      </c>
      <c r="N127" s="3">
        <v>16</v>
      </c>
      <c r="O127" s="3">
        <v>4</v>
      </c>
      <c r="P127" s="3">
        <v>115</v>
      </c>
      <c r="Q127" s="3">
        <v>64</v>
      </c>
      <c r="R127" s="3" t="s">
        <v>77</v>
      </c>
      <c r="S127" s="3" t="s">
        <v>42</v>
      </c>
      <c r="T127" s="3" t="s">
        <v>28</v>
      </c>
      <c r="U127" s="3" t="s">
        <v>39</v>
      </c>
      <c r="V127" s="3" t="s">
        <v>63</v>
      </c>
      <c r="W127" s="3" t="s">
        <v>34</v>
      </c>
      <c r="X127" s="6">
        <f t="shared" si="7"/>
        <v>0.32746478873239437</v>
      </c>
      <c r="Y127" s="6">
        <f t="shared" si="8"/>
        <v>0.47580645161290325</v>
      </c>
      <c r="Z127" s="6">
        <f t="shared" si="9"/>
        <v>0.65845070422535212</v>
      </c>
      <c r="AA127" s="6">
        <f t="shared" si="10"/>
        <v>1.1342571558382555</v>
      </c>
      <c r="AB127" s="6">
        <f t="shared" si="11"/>
        <v>0.16837481698389459</v>
      </c>
      <c r="AC127" s="6">
        <f t="shared" si="12"/>
        <v>0.10126582278481013</v>
      </c>
      <c r="AD127" s="6">
        <f t="shared" si="13"/>
        <v>0.33098591549295775</v>
      </c>
    </row>
    <row r="128" spans="1:30" x14ac:dyDescent="0.2">
      <c r="A128" s="2" t="s">
        <v>262</v>
      </c>
      <c r="B128" s="2">
        <v>2009</v>
      </c>
      <c r="C128" s="2">
        <v>1</v>
      </c>
      <c r="D128" s="2" t="s">
        <v>165</v>
      </c>
      <c r="E128" s="2" t="s">
        <v>3</v>
      </c>
      <c r="F128" s="2">
        <v>151</v>
      </c>
      <c r="G128" s="2">
        <v>576</v>
      </c>
      <c r="H128" s="2">
        <v>101</v>
      </c>
      <c r="I128" s="2">
        <v>197</v>
      </c>
      <c r="J128" s="2">
        <v>42</v>
      </c>
      <c r="K128" s="2">
        <v>1</v>
      </c>
      <c r="L128" s="2">
        <v>24</v>
      </c>
      <c r="M128" s="2">
        <v>106</v>
      </c>
      <c r="N128" s="2">
        <v>27</v>
      </c>
      <c r="O128" s="2">
        <v>8</v>
      </c>
      <c r="P128" s="2">
        <v>61</v>
      </c>
      <c r="Q128" s="2">
        <v>101</v>
      </c>
      <c r="R128" s="2" t="s">
        <v>43</v>
      </c>
      <c r="S128" s="2" t="s">
        <v>42</v>
      </c>
      <c r="T128" s="2" t="s">
        <v>30</v>
      </c>
      <c r="U128" s="2" t="s">
        <v>32</v>
      </c>
      <c r="V128" s="2" t="s">
        <v>42</v>
      </c>
      <c r="W128" s="2" t="s">
        <v>36</v>
      </c>
      <c r="X128" s="6">
        <f t="shared" si="7"/>
        <v>0.3420138888888889</v>
      </c>
      <c r="Y128" s="6">
        <f t="shared" si="8"/>
        <v>0.42255639097744363</v>
      </c>
      <c r="Z128" s="6">
        <f t="shared" si="9"/>
        <v>0.54340277777777779</v>
      </c>
      <c r="AA128" s="6">
        <f t="shared" si="10"/>
        <v>0.96595916875522136</v>
      </c>
      <c r="AB128" s="6">
        <f t="shared" si="11"/>
        <v>9.5761381475667193E-2</v>
      </c>
      <c r="AC128" s="6">
        <f t="shared" si="12"/>
        <v>0.14918759231905465</v>
      </c>
      <c r="AD128" s="6">
        <f t="shared" si="13"/>
        <v>0.2013888888888889</v>
      </c>
    </row>
    <row r="129" spans="1:30" x14ac:dyDescent="0.2">
      <c r="A129" s="3" t="s">
        <v>228</v>
      </c>
      <c r="B129" s="3">
        <v>2009</v>
      </c>
      <c r="C129" s="3">
        <v>1</v>
      </c>
      <c r="D129" s="3" t="s">
        <v>91</v>
      </c>
      <c r="E129" s="3" t="s">
        <v>6</v>
      </c>
      <c r="F129" s="3">
        <v>146</v>
      </c>
      <c r="G129" s="3">
        <v>639</v>
      </c>
      <c r="H129" s="3">
        <v>88</v>
      </c>
      <c r="I129" s="3">
        <v>225</v>
      </c>
      <c r="J129" s="3">
        <v>31</v>
      </c>
      <c r="K129" s="3">
        <v>4</v>
      </c>
      <c r="L129" s="3">
        <v>11</v>
      </c>
      <c r="M129" s="3">
        <v>46</v>
      </c>
      <c r="N129" s="3">
        <v>26</v>
      </c>
      <c r="O129" s="3">
        <v>9</v>
      </c>
      <c r="P129" s="3">
        <v>32</v>
      </c>
      <c r="Q129" s="3">
        <v>71</v>
      </c>
      <c r="R129" s="3" t="s">
        <v>44</v>
      </c>
      <c r="S129" s="3" t="s">
        <v>33</v>
      </c>
      <c r="T129" s="3" t="s">
        <v>31</v>
      </c>
      <c r="U129" s="3" t="s">
        <v>30</v>
      </c>
      <c r="V129" s="3" t="s">
        <v>30</v>
      </c>
      <c r="W129" s="3" t="s">
        <v>42</v>
      </c>
      <c r="X129" s="6">
        <f t="shared" si="7"/>
        <v>0.352112676056338</v>
      </c>
      <c r="Y129" s="6">
        <f t="shared" si="8"/>
        <v>0.39942112879884228</v>
      </c>
      <c r="Z129" s="6">
        <f t="shared" si="9"/>
        <v>0.46478873239436619</v>
      </c>
      <c r="AA129" s="6">
        <f t="shared" si="10"/>
        <v>0.86420986119320853</v>
      </c>
      <c r="AB129" s="6">
        <f t="shared" si="11"/>
        <v>4.7690014903129657E-2</v>
      </c>
      <c r="AC129" s="6">
        <f t="shared" si="12"/>
        <v>0.1</v>
      </c>
      <c r="AD129" s="6">
        <f t="shared" si="13"/>
        <v>0.11267605633802819</v>
      </c>
    </row>
    <row r="130" spans="1:30" x14ac:dyDescent="0.2">
      <c r="A130" s="2" t="s">
        <v>240</v>
      </c>
      <c r="B130" s="2">
        <v>2009</v>
      </c>
      <c r="C130" s="2">
        <v>1</v>
      </c>
      <c r="D130" s="2" t="s">
        <v>71</v>
      </c>
      <c r="E130" s="2" t="s">
        <v>6</v>
      </c>
      <c r="F130" s="2">
        <v>156</v>
      </c>
      <c r="G130" s="2">
        <v>609</v>
      </c>
      <c r="H130" s="2">
        <v>103</v>
      </c>
      <c r="I130" s="2">
        <v>178</v>
      </c>
      <c r="J130" s="2">
        <v>43</v>
      </c>
      <c r="K130" s="2">
        <v>3</v>
      </c>
      <c r="L130" s="2">
        <v>39</v>
      </c>
      <c r="M130" s="2">
        <v>122</v>
      </c>
      <c r="N130" s="2">
        <v>2</v>
      </c>
      <c r="O130" s="2">
        <v>0</v>
      </c>
      <c r="P130" s="2">
        <v>81</v>
      </c>
      <c r="Q130" s="2">
        <v>114</v>
      </c>
      <c r="R130" s="2" t="s">
        <v>42</v>
      </c>
      <c r="S130" s="2" t="s">
        <v>38</v>
      </c>
      <c r="T130" s="2" t="s">
        <v>28</v>
      </c>
      <c r="U130" s="2" t="s">
        <v>32</v>
      </c>
      <c r="V130" s="2" t="s">
        <v>35</v>
      </c>
      <c r="W130" s="2" t="s">
        <v>34</v>
      </c>
      <c r="X130" s="6">
        <f t="shared" si="7"/>
        <v>0.29228243021346467</v>
      </c>
      <c r="Y130" s="6">
        <f t="shared" si="8"/>
        <v>0.39106145251396646</v>
      </c>
      <c r="Z130" s="6">
        <f t="shared" si="9"/>
        <v>0.56486042692939242</v>
      </c>
      <c r="AA130" s="6">
        <f t="shared" si="10"/>
        <v>0.95592187944335882</v>
      </c>
      <c r="AB130" s="6">
        <f t="shared" si="11"/>
        <v>0.11739130434782609</v>
      </c>
      <c r="AC130" s="6">
        <f t="shared" si="12"/>
        <v>0.15767634854771784</v>
      </c>
      <c r="AD130" s="6">
        <f t="shared" si="13"/>
        <v>0.27257799671592775</v>
      </c>
    </row>
    <row r="131" spans="1:30" x14ac:dyDescent="0.2">
      <c r="A131" s="3" t="s">
        <v>241</v>
      </c>
      <c r="B131" s="3">
        <v>2009</v>
      </c>
      <c r="C131" s="3">
        <v>1</v>
      </c>
      <c r="D131" s="3" t="s">
        <v>29</v>
      </c>
      <c r="E131" s="3" t="s">
        <v>3</v>
      </c>
      <c r="F131" s="3">
        <v>156</v>
      </c>
      <c r="G131" s="3">
        <v>571</v>
      </c>
      <c r="H131" s="3">
        <v>112</v>
      </c>
      <c r="I131" s="3">
        <v>161</v>
      </c>
      <c r="J131" s="3">
        <v>28</v>
      </c>
      <c r="K131" s="3">
        <v>4</v>
      </c>
      <c r="L131" s="3">
        <v>31</v>
      </c>
      <c r="M131" s="3">
        <v>93</v>
      </c>
      <c r="N131" s="3">
        <v>23</v>
      </c>
      <c r="O131" s="3">
        <v>0</v>
      </c>
      <c r="P131" s="3">
        <v>88</v>
      </c>
      <c r="Q131" s="3">
        <v>110</v>
      </c>
      <c r="R131" s="3" t="s">
        <v>34</v>
      </c>
      <c r="S131" s="3" t="s">
        <v>57</v>
      </c>
      <c r="T131" s="3" t="s">
        <v>28</v>
      </c>
      <c r="U131" s="3" t="s">
        <v>33</v>
      </c>
      <c r="V131" s="3" t="s">
        <v>32</v>
      </c>
      <c r="W131" s="3" t="s">
        <v>33</v>
      </c>
      <c r="X131" s="6">
        <f t="shared" ref="X131:X194" si="14">I131/G131</f>
        <v>0.28196147110332748</v>
      </c>
      <c r="Y131" s="6">
        <f t="shared" ref="Y131:Y194" si="15">(I131+P131+R131+S131)/(G131+P131+R131+S131+U131)</f>
        <v>0.4</v>
      </c>
      <c r="Z131" s="6">
        <f t="shared" ref="Z131:Z194" si="16">((I131-J131-K131-L131)+(2*J131)+(3*K131)+(4*L131))/G131</f>
        <v>0.50788091068301222</v>
      </c>
      <c r="AA131" s="6">
        <f t="shared" ref="AA131:AA194" si="17">Y131+Z131</f>
        <v>0.90788091068301224</v>
      </c>
      <c r="AB131" s="6">
        <f t="shared" ref="AB131:AB194" si="18">P131/(P131+G131)</f>
        <v>0.13353566009104703</v>
      </c>
      <c r="AC131" s="6">
        <f t="shared" ref="AC131:AC194" si="19">Q131/(Q131+G131)</f>
        <v>0.16152716593245228</v>
      </c>
      <c r="AD131" s="6">
        <f t="shared" ref="AD131:AD194" si="20">Z131-X131</f>
        <v>0.22591943957968474</v>
      </c>
    </row>
    <row r="132" spans="1:30" x14ac:dyDescent="0.2">
      <c r="A132" s="2" t="s">
        <v>242</v>
      </c>
      <c r="B132" s="2">
        <v>2009</v>
      </c>
      <c r="C132" s="2">
        <v>1</v>
      </c>
      <c r="D132" s="2" t="s">
        <v>29</v>
      </c>
      <c r="E132" s="2" t="s">
        <v>3</v>
      </c>
      <c r="F132" s="2">
        <v>156</v>
      </c>
      <c r="G132" s="2">
        <v>620</v>
      </c>
      <c r="H132" s="2">
        <v>102</v>
      </c>
      <c r="I132" s="2">
        <v>181</v>
      </c>
      <c r="J132" s="2">
        <v>39</v>
      </c>
      <c r="K132" s="2">
        <v>13</v>
      </c>
      <c r="L132" s="2">
        <v>10</v>
      </c>
      <c r="M132" s="2">
        <v>62</v>
      </c>
      <c r="N132" s="2">
        <v>25</v>
      </c>
      <c r="O132" s="2">
        <v>8</v>
      </c>
      <c r="P132" s="2">
        <v>60</v>
      </c>
      <c r="Q132" s="2">
        <v>71</v>
      </c>
      <c r="R132" s="2" t="s">
        <v>30</v>
      </c>
      <c r="S132" s="2" t="s">
        <v>36</v>
      </c>
      <c r="T132" s="2" t="s">
        <v>33</v>
      </c>
      <c r="U132" s="2" t="s">
        <v>33</v>
      </c>
      <c r="V132" s="2" t="s">
        <v>32</v>
      </c>
      <c r="W132" s="2" t="s">
        <v>39</v>
      </c>
      <c r="X132" s="6">
        <f t="shared" si="14"/>
        <v>0.29193548387096774</v>
      </c>
      <c r="Y132" s="6">
        <f t="shared" si="15"/>
        <v>0.3589001447178003</v>
      </c>
      <c r="Z132" s="6">
        <f t="shared" si="16"/>
        <v>0.44516129032258067</v>
      </c>
      <c r="AA132" s="6">
        <f t="shared" si="17"/>
        <v>0.80406143504038097</v>
      </c>
      <c r="AB132" s="6">
        <f t="shared" si="18"/>
        <v>8.8235294117647065E-2</v>
      </c>
      <c r="AC132" s="6">
        <f t="shared" si="19"/>
        <v>0.10274963820549927</v>
      </c>
      <c r="AD132" s="6">
        <f t="shared" si="20"/>
        <v>0.15322580645161293</v>
      </c>
    </row>
    <row r="133" spans="1:30" x14ac:dyDescent="0.2">
      <c r="A133" s="3" t="s">
        <v>253</v>
      </c>
      <c r="B133" s="3">
        <v>2009</v>
      </c>
      <c r="C133" s="3">
        <v>1</v>
      </c>
      <c r="D133" s="3" t="s">
        <v>83</v>
      </c>
      <c r="E133" s="3" t="s">
        <v>3</v>
      </c>
      <c r="F133" s="3">
        <v>144</v>
      </c>
      <c r="G133" s="3">
        <v>535</v>
      </c>
      <c r="H133" s="3">
        <v>88</v>
      </c>
      <c r="I133" s="3">
        <v>164</v>
      </c>
      <c r="J133" s="3">
        <v>39</v>
      </c>
      <c r="K133" s="3">
        <v>3</v>
      </c>
      <c r="L133" s="3">
        <v>10</v>
      </c>
      <c r="M133" s="3">
        <v>72</v>
      </c>
      <c r="N133" s="3">
        <v>27</v>
      </c>
      <c r="O133" s="3">
        <v>9</v>
      </c>
      <c r="P133" s="3">
        <v>74</v>
      </c>
      <c r="Q133" s="3">
        <v>140</v>
      </c>
      <c r="R133" s="3" t="s">
        <v>39</v>
      </c>
      <c r="S133" s="3" t="s">
        <v>34</v>
      </c>
      <c r="T133" s="3" t="s">
        <v>28</v>
      </c>
      <c r="U133" s="3" t="s">
        <v>36</v>
      </c>
      <c r="V133" s="3" t="s">
        <v>50</v>
      </c>
      <c r="W133" s="3" t="s">
        <v>32</v>
      </c>
      <c r="X133" s="6">
        <f t="shared" si="14"/>
        <v>0.30654205607476637</v>
      </c>
      <c r="Y133" s="6">
        <f t="shared" si="15"/>
        <v>0.39776357827476039</v>
      </c>
      <c r="Z133" s="6">
        <f t="shared" si="16"/>
        <v>0.44672897196261685</v>
      </c>
      <c r="AA133" s="6">
        <f t="shared" si="17"/>
        <v>0.84449255023737724</v>
      </c>
      <c r="AB133" s="6">
        <f t="shared" si="18"/>
        <v>0.12151067323481117</v>
      </c>
      <c r="AC133" s="6">
        <f t="shared" si="19"/>
        <v>0.2074074074074074</v>
      </c>
      <c r="AD133" s="6">
        <f t="shared" si="20"/>
        <v>0.14018691588785048</v>
      </c>
    </row>
    <row r="134" spans="1:30" x14ac:dyDescent="0.2">
      <c r="A134" s="2" t="s">
        <v>221</v>
      </c>
      <c r="B134" s="2">
        <v>2009</v>
      </c>
      <c r="C134" s="2">
        <v>1</v>
      </c>
      <c r="D134" s="2" t="s">
        <v>90</v>
      </c>
      <c r="E134" s="2" t="s">
        <v>6</v>
      </c>
      <c r="F134" s="2">
        <v>135</v>
      </c>
      <c r="G134" s="2">
        <v>541</v>
      </c>
      <c r="H134" s="2">
        <v>76</v>
      </c>
      <c r="I134" s="2">
        <v>174</v>
      </c>
      <c r="J134" s="2">
        <v>36</v>
      </c>
      <c r="K134" s="2">
        <v>2</v>
      </c>
      <c r="L134" s="2">
        <v>22</v>
      </c>
      <c r="M134" s="2">
        <v>68</v>
      </c>
      <c r="N134" s="2">
        <v>8</v>
      </c>
      <c r="O134" s="2">
        <v>3</v>
      </c>
      <c r="P134" s="2">
        <v>47</v>
      </c>
      <c r="Q134" s="2">
        <v>90</v>
      </c>
      <c r="R134" s="2" t="s">
        <v>31</v>
      </c>
      <c r="S134" s="2" t="s">
        <v>30</v>
      </c>
      <c r="T134" s="2" t="s">
        <v>28</v>
      </c>
      <c r="U134" s="2" t="s">
        <v>33</v>
      </c>
      <c r="V134" s="2" t="s">
        <v>50</v>
      </c>
      <c r="W134" s="2" t="s">
        <v>32</v>
      </c>
      <c r="X134" s="6">
        <f t="shared" si="14"/>
        <v>0.32162661737523107</v>
      </c>
      <c r="Y134" s="6">
        <f t="shared" si="15"/>
        <v>0.37647058823529411</v>
      </c>
      <c r="Z134" s="6">
        <f t="shared" si="16"/>
        <v>0.51756007393715342</v>
      </c>
      <c r="AA134" s="6">
        <f t="shared" si="17"/>
        <v>0.89403066217244753</v>
      </c>
      <c r="AB134" s="6">
        <f t="shared" si="18"/>
        <v>7.9931972789115652E-2</v>
      </c>
      <c r="AC134" s="6">
        <f t="shared" si="19"/>
        <v>0.14263074484944532</v>
      </c>
      <c r="AD134" s="6">
        <f t="shared" si="20"/>
        <v>0.19593345656192235</v>
      </c>
    </row>
    <row r="135" spans="1:30" x14ac:dyDescent="0.2">
      <c r="A135" s="3" t="s">
        <v>276</v>
      </c>
      <c r="B135" s="3">
        <v>2010</v>
      </c>
      <c r="C135" s="3">
        <v>1</v>
      </c>
      <c r="D135" s="3" t="s">
        <v>204</v>
      </c>
      <c r="E135" s="3" t="s">
        <v>3</v>
      </c>
      <c r="F135" s="3">
        <v>157</v>
      </c>
      <c r="G135" s="3">
        <v>619</v>
      </c>
      <c r="H135" s="3">
        <v>101</v>
      </c>
      <c r="I135" s="3">
        <v>188</v>
      </c>
      <c r="J135" s="3">
        <v>45</v>
      </c>
      <c r="K135" s="3">
        <v>1</v>
      </c>
      <c r="L135" s="3">
        <v>25</v>
      </c>
      <c r="M135" s="3">
        <v>103</v>
      </c>
      <c r="N135" s="3">
        <v>14</v>
      </c>
      <c r="O135" s="3">
        <v>3</v>
      </c>
      <c r="P135" s="3">
        <v>56</v>
      </c>
      <c r="Q135" s="3">
        <v>105</v>
      </c>
      <c r="R135" s="3" t="s">
        <v>30</v>
      </c>
      <c r="S135" s="3" t="s">
        <v>36</v>
      </c>
      <c r="T135" s="3" t="s">
        <v>28</v>
      </c>
      <c r="U135" s="3" t="s">
        <v>34</v>
      </c>
      <c r="V135" s="3" t="s">
        <v>47</v>
      </c>
      <c r="W135" s="3" t="s">
        <v>41</v>
      </c>
      <c r="X135" s="6">
        <f t="shared" si="14"/>
        <v>0.30371567043618741</v>
      </c>
      <c r="Y135" s="6">
        <f t="shared" si="15"/>
        <v>0.36642335766423356</v>
      </c>
      <c r="Z135" s="6">
        <f t="shared" si="16"/>
        <v>0.50080775444264947</v>
      </c>
      <c r="AA135" s="6">
        <f t="shared" si="17"/>
        <v>0.86723111210688297</v>
      </c>
      <c r="AB135" s="6">
        <f t="shared" si="18"/>
        <v>8.2962962962962961E-2</v>
      </c>
      <c r="AC135" s="6">
        <f t="shared" si="19"/>
        <v>0.14502762430939226</v>
      </c>
      <c r="AD135" s="6">
        <f t="shared" si="20"/>
        <v>0.19709208400646205</v>
      </c>
    </row>
    <row r="136" spans="1:30" x14ac:dyDescent="0.2">
      <c r="A136" s="2" t="s">
        <v>236</v>
      </c>
      <c r="B136" s="2">
        <v>2010</v>
      </c>
      <c r="C136" s="2">
        <v>1</v>
      </c>
      <c r="D136" s="2" t="s">
        <v>67</v>
      </c>
      <c r="E136" s="2" t="s">
        <v>6</v>
      </c>
      <c r="F136" s="2">
        <v>150</v>
      </c>
      <c r="G136" s="2">
        <v>548</v>
      </c>
      <c r="H136" s="2">
        <v>111</v>
      </c>
      <c r="I136" s="2">
        <v>180</v>
      </c>
      <c r="J136" s="2">
        <v>45</v>
      </c>
      <c r="K136" s="2">
        <v>1</v>
      </c>
      <c r="L136" s="2">
        <v>38</v>
      </c>
      <c r="M136" s="2">
        <v>126</v>
      </c>
      <c r="N136" s="2">
        <v>3</v>
      </c>
      <c r="O136" s="2">
        <v>3</v>
      </c>
      <c r="P136" s="2">
        <v>89</v>
      </c>
      <c r="Q136" s="2">
        <v>95</v>
      </c>
      <c r="R136" s="2" t="s">
        <v>56</v>
      </c>
      <c r="S136" s="2" t="s">
        <v>34</v>
      </c>
      <c r="T136" s="2" t="s">
        <v>28</v>
      </c>
      <c r="U136" s="2" t="s">
        <v>39</v>
      </c>
      <c r="V136" s="2" t="s">
        <v>47</v>
      </c>
      <c r="W136" s="2" t="s">
        <v>34</v>
      </c>
      <c r="X136" s="6">
        <f t="shared" si="14"/>
        <v>0.32846715328467152</v>
      </c>
      <c r="Y136" s="6">
        <f t="shared" si="15"/>
        <v>0.44705882352941179</v>
      </c>
      <c r="Z136" s="6">
        <f t="shared" si="16"/>
        <v>0.62226277372262773</v>
      </c>
      <c r="AA136" s="6">
        <f t="shared" si="17"/>
        <v>1.0693215972520396</v>
      </c>
      <c r="AB136" s="6">
        <f t="shared" si="18"/>
        <v>0.13971742543171115</v>
      </c>
      <c r="AC136" s="6">
        <f t="shared" si="19"/>
        <v>0.14774494556765164</v>
      </c>
      <c r="AD136" s="6">
        <f t="shared" si="20"/>
        <v>0.29379562043795621</v>
      </c>
    </row>
    <row r="137" spans="1:30" x14ac:dyDescent="0.2">
      <c r="A137" s="3" t="s">
        <v>257</v>
      </c>
      <c r="B137" s="3">
        <v>2010</v>
      </c>
      <c r="C137" s="3">
        <v>1</v>
      </c>
      <c r="D137" s="3" t="s">
        <v>71</v>
      </c>
      <c r="E137" s="3" t="s">
        <v>6</v>
      </c>
      <c r="F137" s="3">
        <v>160</v>
      </c>
      <c r="G137" s="3">
        <v>626</v>
      </c>
      <c r="H137" s="3">
        <v>103</v>
      </c>
      <c r="I137" s="3">
        <v>200</v>
      </c>
      <c r="J137" s="3">
        <v>41</v>
      </c>
      <c r="K137" s="3">
        <v>3</v>
      </c>
      <c r="L137" s="3">
        <v>29</v>
      </c>
      <c r="M137" s="3">
        <v>109</v>
      </c>
      <c r="N137" s="3">
        <v>3</v>
      </c>
      <c r="O137" s="3">
        <v>2</v>
      </c>
      <c r="P137" s="3">
        <v>57</v>
      </c>
      <c r="Q137" s="3">
        <v>77</v>
      </c>
      <c r="R137" s="3" t="s">
        <v>43</v>
      </c>
      <c r="S137" s="3" t="s">
        <v>39</v>
      </c>
      <c r="T137" s="3" t="s">
        <v>28</v>
      </c>
      <c r="U137" s="3" t="s">
        <v>32</v>
      </c>
      <c r="V137" s="3" t="s">
        <v>52</v>
      </c>
      <c r="W137" s="3" t="s">
        <v>33</v>
      </c>
      <c r="X137" s="6">
        <f t="shared" si="14"/>
        <v>0.31948881789137379</v>
      </c>
      <c r="Y137" s="6">
        <f t="shared" si="15"/>
        <v>0.39295774647887322</v>
      </c>
      <c r="Z137" s="6">
        <f t="shared" si="16"/>
        <v>0.5335463258785943</v>
      </c>
      <c r="AA137" s="6">
        <f t="shared" si="17"/>
        <v>0.92650407235746757</v>
      </c>
      <c r="AB137" s="6">
        <f t="shared" si="18"/>
        <v>8.3455344070278187E-2</v>
      </c>
      <c r="AC137" s="6">
        <f t="shared" si="19"/>
        <v>0.10953058321479374</v>
      </c>
      <c r="AD137" s="6">
        <f t="shared" si="20"/>
        <v>0.21405750798722051</v>
      </c>
    </row>
    <row r="138" spans="1:30" x14ac:dyDescent="0.2">
      <c r="A138" s="2" t="s">
        <v>230</v>
      </c>
      <c r="B138" s="2">
        <v>2010</v>
      </c>
      <c r="C138" s="2">
        <v>1</v>
      </c>
      <c r="D138" s="2" t="s">
        <v>203</v>
      </c>
      <c r="E138" s="2" t="s">
        <v>6</v>
      </c>
      <c r="F138" s="2">
        <v>154</v>
      </c>
      <c r="G138" s="2">
        <v>600</v>
      </c>
      <c r="H138" s="2">
        <v>110</v>
      </c>
      <c r="I138" s="2">
        <v>184</v>
      </c>
      <c r="J138" s="2">
        <v>30</v>
      </c>
      <c r="K138" s="2">
        <v>13</v>
      </c>
      <c r="L138" s="2">
        <v>19</v>
      </c>
      <c r="M138" s="2">
        <v>90</v>
      </c>
      <c r="N138" s="2">
        <v>47</v>
      </c>
      <c r="O138" s="2">
        <v>10</v>
      </c>
      <c r="P138" s="2">
        <v>46</v>
      </c>
      <c r="Q138" s="2">
        <v>104</v>
      </c>
      <c r="R138" s="2" t="s">
        <v>34</v>
      </c>
      <c r="S138" s="2" t="s">
        <v>34</v>
      </c>
      <c r="T138" s="2" t="s">
        <v>34</v>
      </c>
      <c r="U138" s="2" t="s">
        <v>32</v>
      </c>
      <c r="V138" s="2" t="s">
        <v>31</v>
      </c>
      <c r="W138" s="2" t="s">
        <v>41</v>
      </c>
      <c r="X138" s="6">
        <f t="shared" si="14"/>
        <v>0.30666666666666664</v>
      </c>
      <c r="Y138" s="6">
        <f t="shared" si="15"/>
        <v>0.35920852359208522</v>
      </c>
      <c r="Z138" s="6">
        <f t="shared" si="16"/>
        <v>0.495</v>
      </c>
      <c r="AA138" s="6">
        <f t="shared" si="17"/>
        <v>0.85420852359208521</v>
      </c>
      <c r="AB138" s="6">
        <f t="shared" si="18"/>
        <v>7.1207430340557279E-2</v>
      </c>
      <c r="AC138" s="6">
        <f t="shared" si="19"/>
        <v>0.14772727272727273</v>
      </c>
      <c r="AD138" s="6">
        <f t="shared" si="20"/>
        <v>0.18833333333333335</v>
      </c>
    </row>
    <row r="139" spans="1:30" x14ac:dyDescent="0.2">
      <c r="A139" s="3" t="s">
        <v>265</v>
      </c>
      <c r="B139" s="3">
        <v>2010</v>
      </c>
      <c r="C139" s="3">
        <v>1</v>
      </c>
      <c r="D139" s="3" t="s">
        <v>80</v>
      </c>
      <c r="E139" s="3" t="s">
        <v>3</v>
      </c>
      <c r="F139" s="3">
        <v>139</v>
      </c>
      <c r="G139" s="3">
        <v>517</v>
      </c>
      <c r="H139" s="3">
        <v>71</v>
      </c>
      <c r="I139" s="3">
        <v>151</v>
      </c>
      <c r="J139" s="3">
        <v>33</v>
      </c>
      <c r="K139" s="3">
        <v>1</v>
      </c>
      <c r="L139" s="3">
        <v>23</v>
      </c>
      <c r="M139" s="3">
        <v>82</v>
      </c>
      <c r="N139" s="3">
        <v>2</v>
      </c>
      <c r="O139" s="3">
        <v>1</v>
      </c>
      <c r="P139" s="3">
        <v>59</v>
      </c>
      <c r="Q139" s="3">
        <v>102</v>
      </c>
      <c r="R139" s="3" t="s">
        <v>40</v>
      </c>
      <c r="S139" s="3" t="s">
        <v>34</v>
      </c>
      <c r="T139" s="3" t="s">
        <v>28</v>
      </c>
      <c r="U139" s="3" t="s">
        <v>36</v>
      </c>
      <c r="V139" s="3" t="s">
        <v>40</v>
      </c>
      <c r="W139" s="3" t="s">
        <v>39</v>
      </c>
      <c r="X139" s="6">
        <f t="shared" si="14"/>
        <v>0.29206963249516443</v>
      </c>
      <c r="Y139" s="6">
        <f t="shared" si="15"/>
        <v>0.37583892617449666</v>
      </c>
      <c r="Z139" s="6">
        <f t="shared" si="16"/>
        <v>0.49323017408123793</v>
      </c>
      <c r="AA139" s="6">
        <f t="shared" si="17"/>
        <v>0.86906910025573458</v>
      </c>
      <c r="AB139" s="6">
        <f t="shared" si="18"/>
        <v>0.10243055555555555</v>
      </c>
      <c r="AC139" s="6">
        <f t="shared" si="19"/>
        <v>0.16478190630048464</v>
      </c>
      <c r="AD139" s="6">
        <f t="shared" si="20"/>
        <v>0.20116054158607349</v>
      </c>
    </row>
    <row r="140" spans="1:30" x14ac:dyDescent="0.2">
      <c r="A140" s="2" t="s">
        <v>186</v>
      </c>
      <c r="B140" s="2">
        <v>2010</v>
      </c>
      <c r="C140" s="2">
        <v>1</v>
      </c>
      <c r="D140" s="2" t="s">
        <v>90</v>
      </c>
      <c r="E140" s="2" t="s">
        <v>6</v>
      </c>
      <c r="F140" s="2">
        <v>152</v>
      </c>
      <c r="G140" s="2">
        <v>593</v>
      </c>
      <c r="H140" s="2">
        <v>83</v>
      </c>
      <c r="I140" s="2">
        <v>178</v>
      </c>
      <c r="J140" s="2">
        <v>27</v>
      </c>
      <c r="K140" s="2">
        <v>1</v>
      </c>
      <c r="L140" s="2">
        <v>29</v>
      </c>
      <c r="M140" s="2">
        <v>115</v>
      </c>
      <c r="N140" s="2">
        <v>4</v>
      </c>
      <c r="O140" s="2">
        <v>5</v>
      </c>
      <c r="P140" s="2">
        <v>35</v>
      </c>
      <c r="Q140" s="2">
        <v>60</v>
      </c>
      <c r="R140" s="2" t="s">
        <v>32</v>
      </c>
      <c r="S140" s="2" t="s">
        <v>42</v>
      </c>
      <c r="T140" s="2" t="s">
        <v>28</v>
      </c>
      <c r="U140" s="2" t="s">
        <v>36</v>
      </c>
      <c r="V140" s="2" t="s">
        <v>52</v>
      </c>
      <c r="W140" s="2" t="s">
        <v>37</v>
      </c>
      <c r="X140" s="6">
        <f t="shared" si="14"/>
        <v>0.30016863406408095</v>
      </c>
      <c r="Y140" s="6">
        <f t="shared" si="15"/>
        <v>0.35030864197530864</v>
      </c>
      <c r="Z140" s="6">
        <f t="shared" si="16"/>
        <v>0.49578414839797641</v>
      </c>
      <c r="AA140" s="6">
        <f t="shared" si="17"/>
        <v>0.84609279037328511</v>
      </c>
      <c r="AB140" s="6">
        <f t="shared" si="18"/>
        <v>5.5732484076433123E-2</v>
      </c>
      <c r="AC140" s="6">
        <f t="shared" si="19"/>
        <v>9.1883614088820828E-2</v>
      </c>
      <c r="AD140" s="6">
        <f t="shared" si="20"/>
        <v>0.19561551433389546</v>
      </c>
    </row>
    <row r="141" spans="1:30" x14ac:dyDescent="0.2">
      <c r="A141" s="3" t="s">
        <v>278</v>
      </c>
      <c r="B141" s="3">
        <v>2010</v>
      </c>
      <c r="C141" s="3">
        <v>1</v>
      </c>
      <c r="D141" s="3" t="s">
        <v>90</v>
      </c>
      <c r="E141" s="3" t="s">
        <v>6</v>
      </c>
      <c r="F141" s="3">
        <v>133</v>
      </c>
      <c r="G141" s="3">
        <v>518</v>
      </c>
      <c r="H141" s="3">
        <v>95</v>
      </c>
      <c r="I141" s="3">
        <v>186</v>
      </c>
      <c r="J141" s="3">
        <v>40</v>
      </c>
      <c r="K141" s="3">
        <v>3</v>
      </c>
      <c r="L141" s="3">
        <v>32</v>
      </c>
      <c r="M141" s="3">
        <v>100</v>
      </c>
      <c r="N141" s="3">
        <v>8</v>
      </c>
      <c r="O141" s="3">
        <v>1</v>
      </c>
      <c r="P141" s="3">
        <v>43</v>
      </c>
      <c r="Q141" s="3">
        <v>95</v>
      </c>
      <c r="R141" s="3" t="s">
        <v>32</v>
      </c>
      <c r="S141" s="3" t="s">
        <v>32</v>
      </c>
      <c r="T141" s="3" t="s">
        <v>30</v>
      </c>
      <c r="U141" s="3" t="s">
        <v>33</v>
      </c>
      <c r="V141" s="3" t="s">
        <v>40</v>
      </c>
      <c r="W141" s="3" t="s">
        <v>39</v>
      </c>
      <c r="X141" s="6">
        <f t="shared" si="14"/>
        <v>0.35907335907335908</v>
      </c>
      <c r="Y141" s="6">
        <f t="shared" si="15"/>
        <v>0.41565217391304349</v>
      </c>
      <c r="Z141" s="6">
        <f t="shared" si="16"/>
        <v>0.63320463320463316</v>
      </c>
      <c r="AA141" s="6">
        <f t="shared" si="17"/>
        <v>1.0488568071176767</v>
      </c>
      <c r="AB141" s="6">
        <f t="shared" si="18"/>
        <v>7.6648841354723704E-2</v>
      </c>
      <c r="AC141" s="6">
        <f t="shared" si="19"/>
        <v>0.15497553017944535</v>
      </c>
      <c r="AD141" s="6">
        <f t="shared" si="20"/>
        <v>0.27413127413127408</v>
      </c>
    </row>
    <row r="142" spans="1:30" x14ac:dyDescent="0.2">
      <c r="A142" s="2" t="s">
        <v>248</v>
      </c>
      <c r="B142" s="2">
        <v>2010</v>
      </c>
      <c r="C142" s="2">
        <v>1</v>
      </c>
      <c r="D142" s="2" t="s">
        <v>204</v>
      </c>
      <c r="E142" s="2" t="s">
        <v>3</v>
      </c>
      <c r="F142" s="2">
        <v>145</v>
      </c>
      <c r="G142" s="2">
        <v>558</v>
      </c>
      <c r="H142" s="2">
        <v>91</v>
      </c>
      <c r="I142" s="2">
        <v>158</v>
      </c>
      <c r="J142" s="2">
        <v>34</v>
      </c>
      <c r="K142" s="2">
        <v>4</v>
      </c>
      <c r="L142" s="2">
        <v>31</v>
      </c>
      <c r="M142" s="2">
        <v>102</v>
      </c>
      <c r="N142" s="2">
        <v>7</v>
      </c>
      <c r="O142" s="2">
        <v>6</v>
      </c>
      <c r="P142" s="2">
        <v>45</v>
      </c>
      <c r="Q142" s="2">
        <v>140</v>
      </c>
      <c r="R142" s="2" t="s">
        <v>31</v>
      </c>
      <c r="S142" s="2" t="s">
        <v>36</v>
      </c>
      <c r="T142" s="2" t="s">
        <v>28</v>
      </c>
      <c r="U142" s="2" t="s">
        <v>32</v>
      </c>
      <c r="V142" s="2" t="s">
        <v>43</v>
      </c>
      <c r="W142" s="2" t="s">
        <v>42</v>
      </c>
      <c r="X142" s="6">
        <f t="shared" si="14"/>
        <v>0.28315412186379929</v>
      </c>
      <c r="Y142" s="6">
        <f t="shared" si="15"/>
        <v>0.34253246753246752</v>
      </c>
      <c r="Z142" s="6">
        <f t="shared" si="16"/>
        <v>0.52508960573476704</v>
      </c>
      <c r="AA142" s="6">
        <f t="shared" si="17"/>
        <v>0.86762207326723462</v>
      </c>
      <c r="AB142" s="6">
        <f t="shared" si="18"/>
        <v>7.4626865671641784E-2</v>
      </c>
      <c r="AC142" s="6">
        <f t="shared" si="19"/>
        <v>0.20057306590257878</v>
      </c>
      <c r="AD142" s="6">
        <f t="shared" si="20"/>
        <v>0.24193548387096775</v>
      </c>
    </row>
    <row r="143" spans="1:30" x14ac:dyDescent="0.2">
      <c r="A143" s="3" t="s">
        <v>250</v>
      </c>
      <c r="B143" s="3">
        <v>2010</v>
      </c>
      <c r="C143" s="3">
        <v>1</v>
      </c>
      <c r="D143" s="3" t="s">
        <v>29</v>
      </c>
      <c r="E143" s="3" t="s">
        <v>3</v>
      </c>
      <c r="F143" s="3">
        <v>143</v>
      </c>
      <c r="G143" s="3">
        <v>550</v>
      </c>
      <c r="H143" s="3">
        <v>87</v>
      </c>
      <c r="I143" s="3">
        <v>152</v>
      </c>
      <c r="J143" s="3">
        <v>23</v>
      </c>
      <c r="K143" s="3">
        <v>5</v>
      </c>
      <c r="L143" s="3">
        <v>31</v>
      </c>
      <c r="M143" s="3">
        <v>108</v>
      </c>
      <c r="N143" s="3">
        <v>1</v>
      </c>
      <c r="O143" s="3">
        <v>1</v>
      </c>
      <c r="P143" s="3">
        <v>59</v>
      </c>
      <c r="Q143" s="3">
        <v>157</v>
      </c>
      <c r="R143" s="3" t="s">
        <v>40</v>
      </c>
      <c r="S143" s="3" t="s">
        <v>39</v>
      </c>
      <c r="T143" s="3" t="s">
        <v>28</v>
      </c>
      <c r="U143" s="3" t="s">
        <v>34</v>
      </c>
      <c r="V143" s="3" t="s">
        <v>43</v>
      </c>
      <c r="W143" s="3" t="s">
        <v>37</v>
      </c>
      <c r="X143" s="6">
        <f t="shared" si="14"/>
        <v>0.27636363636363637</v>
      </c>
      <c r="Y143" s="6">
        <f t="shared" si="15"/>
        <v>0.36450079239302696</v>
      </c>
      <c r="Z143" s="6">
        <f t="shared" si="16"/>
        <v>0.50545454545454549</v>
      </c>
      <c r="AA143" s="6">
        <f t="shared" si="17"/>
        <v>0.8699553378475724</v>
      </c>
      <c r="AB143" s="6">
        <f t="shared" si="18"/>
        <v>9.688013136288999E-2</v>
      </c>
      <c r="AC143" s="6">
        <f t="shared" si="19"/>
        <v>0.22206506364922207</v>
      </c>
      <c r="AD143" s="6">
        <f t="shared" si="20"/>
        <v>0.22909090909090912</v>
      </c>
    </row>
    <row r="144" spans="1:30" x14ac:dyDescent="0.2">
      <c r="A144" s="2" t="s">
        <v>177</v>
      </c>
      <c r="B144" s="2">
        <v>2010</v>
      </c>
      <c r="C144" s="2">
        <v>1</v>
      </c>
      <c r="D144" s="2" t="s">
        <v>71</v>
      </c>
      <c r="E144" s="2" t="s">
        <v>6</v>
      </c>
      <c r="F144" s="2">
        <v>157</v>
      </c>
      <c r="G144" s="2">
        <v>663</v>
      </c>
      <c r="H144" s="2">
        <v>111</v>
      </c>
      <c r="I144" s="2">
        <v>179</v>
      </c>
      <c r="J144" s="2">
        <v>30</v>
      </c>
      <c r="K144" s="2">
        <v>3</v>
      </c>
      <c r="L144" s="2">
        <v>10</v>
      </c>
      <c r="M144" s="2">
        <v>67</v>
      </c>
      <c r="N144" s="2">
        <v>18</v>
      </c>
      <c r="O144" s="2">
        <v>5</v>
      </c>
      <c r="P144" s="2">
        <v>63</v>
      </c>
      <c r="Q144" s="2">
        <v>106</v>
      </c>
      <c r="R144" s="2" t="s">
        <v>33</v>
      </c>
      <c r="S144" s="2" t="s">
        <v>42</v>
      </c>
      <c r="T144" s="2" t="s">
        <v>30</v>
      </c>
      <c r="U144" s="2" t="s">
        <v>34</v>
      </c>
      <c r="V144" s="2" t="s">
        <v>64</v>
      </c>
      <c r="W144" s="2" t="s">
        <v>36</v>
      </c>
      <c r="X144" s="6">
        <f t="shared" si="14"/>
        <v>0.26998491704374056</v>
      </c>
      <c r="Y144" s="6">
        <f t="shared" si="15"/>
        <v>0.34366576819407008</v>
      </c>
      <c r="Z144" s="6">
        <f t="shared" si="16"/>
        <v>0.36953242835595779</v>
      </c>
      <c r="AA144" s="6">
        <f t="shared" si="17"/>
        <v>0.71319819655002781</v>
      </c>
      <c r="AB144" s="6">
        <f t="shared" si="18"/>
        <v>8.6776859504132234E-2</v>
      </c>
      <c r="AC144" s="6">
        <f t="shared" si="19"/>
        <v>0.13784135240572171</v>
      </c>
      <c r="AD144" s="6">
        <f t="shared" si="20"/>
        <v>9.9547511312217229E-2</v>
      </c>
    </row>
    <row r="145" spans="1:30" x14ac:dyDescent="0.2">
      <c r="A145" s="3" t="s">
        <v>266</v>
      </c>
      <c r="B145" s="3">
        <v>2010</v>
      </c>
      <c r="C145" s="3">
        <v>1</v>
      </c>
      <c r="D145" s="3" t="s">
        <v>164</v>
      </c>
      <c r="E145" s="3" t="s">
        <v>3</v>
      </c>
      <c r="F145" s="3">
        <v>33</v>
      </c>
      <c r="G145" s="3">
        <v>77</v>
      </c>
      <c r="H145" s="3">
        <v>5</v>
      </c>
      <c r="I145" s="3">
        <v>8</v>
      </c>
      <c r="J145" s="3">
        <v>0</v>
      </c>
      <c r="K145" s="3">
        <v>0</v>
      </c>
      <c r="L145" s="3">
        <v>0</v>
      </c>
      <c r="M145" s="3">
        <v>4</v>
      </c>
      <c r="N145" s="3">
        <v>0</v>
      </c>
      <c r="O145" s="3">
        <v>0</v>
      </c>
      <c r="P145" s="3">
        <v>2</v>
      </c>
      <c r="Q145" s="3">
        <v>18</v>
      </c>
      <c r="R145" s="3" t="s">
        <v>28</v>
      </c>
      <c r="S145" s="3" t="s">
        <v>28</v>
      </c>
      <c r="T145" s="3" t="s">
        <v>33</v>
      </c>
      <c r="U145" s="3" t="s">
        <v>28</v>
      </c>
      <c r="V145" s="3" t="s">
        <v>28</v>
      </c>
      <c r="W145" s="3" t="s">
        <v>30</v>
      </c>
      <c r="X145" s="6">
        <f t="shared" si="14"/>
        <v>0.1038961038961039</v>
      </c>
      <c r="Y145" s="6">
        <f t="shared" si="15"/>
        <v>0.12658227848101267</v>
      </c>
      <c r="Z145" s="6">
        <f t="shared" si="16"/>
        <v>0.1038961038961039</v>
      </c>
      <c r="AA145" s="6">
        <f t="shared" si="17"/>
        <v>0.23047838237711657</v>
      </c>
      <c r="AB145" s="6">
        <f t="shared" si="18"/>
        <v>2.5316455696202531E-2</v>
      </c>
      <c r="AC145" s="6">
        <f t="shared" si="19"/>
        <v>0.18947368421052632</v>
      </c>
      <c r="AD145" s="6">
        <f t="shared" si="20"/>
        <v>0</v>
      </c>
    </row>
    <row r="146" spans="1:30" x14ac:dyDescent="0.2">
      <c r="A146" s="2" t="s">
        <v>284</v>
      </c>
      <c r="B146" s="2">
        <v>2010</v>
      </c>
      <c r="C146" s="2">
        <v>1</v>
      </c>
      <c r="D146" s="2" t="s">
        <v>203</v>
      </c>
      <c r="E146" s="2" t="s">
        <v>6</v>
      </c>
      <c r="F146" s="2">
        <v>151</v>
      </c>
      <c r="G146" s="2">
        <v>574</v>
      </c>
      <c r="H146" s="2">
        <v>96</v>
      </c>
      <c r="I146" s="2">
        <v>169</v>
      </c>
      <c r="J146" s="2">
        <v>46</v>
      </c>
      <c r="K146" s="2">
        <v>5</v>
      </c>
      <c r="L146" s="2">
        <v>22</v>
      </c>
      <c r="M146" s="2">
        <v>104</v>
      </c>
      <c r="N146" s="2">
        <v>15</v>
      </c>
      <c r="O146" s="2">
        <v>5</v>
      </c>
      <c r="P146" s="2">
        <v>72</v>
      </c>
      <c r="Q146" s="2">
        <v>124</v>
      </c>
      <c r="R146" s="2" t="s">
        <v>38</v>
      </c>
      <c r="S146" s="2" t="s">
        <v>32</v>
      </c>
      <c r="T146" s="2" t="s">
        <v>28</v>
      </c>
      <c r="U146" s="2" t="s">
        <v>37</v>
      </c>
      <c r="V146" s="2" t="s">
        <v>44</v>
      </c>
      <c r="W146" s="2" t="s">
        <v>32</v>
      </c>
      <c r="X146" s="6">
        <f t="shared" si="14"/>
        <v>0.29442508710801396</v>
      </c>
      <c r="Y146" s="6">
        <f t="shared" si="15"/>
        <v>0.38335809806835069</v>
      </c>
      <c r="Z146" s="6">
        <f t="shared" si="16"/>
        <v>0.50696864111498263</v>
      </c>
      <c r="AA146" s="6">
        <f t="shared" si="17"/>
        <v>0.89032673918333338</v>
      </c>
      <c r="AB146" s="6">
        <f t="shared" si="18"/>
        <v>0.11145510835913312</v>
      </c>
      <c r="AC146" s="6">
        <f t="shared" si="19"/>
        <v>0.17765042979942694</v>
      </c>
      <c r="AD146" s="6">
        <f t="shared" si="20"/>
        <v>0.21254355400696867</v>
      </c>
    </row>
    <row r="147" spans="1:30" x14ac:dyDescent="0.2">
      <c r="A147" s="3" t="s">
        <v>251</v>
      </c>
      <c r="B147" s="3">
        <v>2010</v>
      </c>
      <c r="C147" s="3">
        <v>1</v>
      </c>
      <c r="D147" s="3" t="s">
        <v>81</v>
      </c>
      <c r="E147" s="3" t="s">
        <v>6</v>
      </c>
      <c r="F147" s="3">
        <v>137</v>
      </c>
      <c r="G147" s="3">
        <v>510</v>
      </c>
      <c r="H147" s="3">
        <v>88</v>
      </c>
      <c r="I147" s="3">
        <v>167</v>
      </c>
      <c r="J147" s="3">
        <v>43</v>
      </c>
      <c r="K147" s="3">
        <v>1</v>
      </c>
      <c r="L147" s="3">
        <v>9</v>
      </c>
      <c r="M147" s="3">
        <v>75</v>
      </c>
      <c r="N147" s="3">
        <v>1</v>
      </c>
      <c r="O147" s="3">
        <v>4</v>
      </c>
      <c r="P147" s="3">
        <v>65</v>
      </c>
      <c r="Q147" s="3">
        <v>53</v>
      </c>
      <c r="R147" s="3" t="s">
        <v>43</v>
      </c>
      <c r="S147" s="3" t="s">
        <v>34</v>
      </c>
      <c r="T147" s="3" t="s">
        <v>28</v>
      </c>
      <c r="U147" s="3" t="s">
        <v>36</v>
      </c>
      <c r="V147" s="3" t="s">
        <v>52</v>
      </c>
      <c r="W147" s="3" t="s">
        <v>31</v>
      </c>
      <c r="X147" s="6">
        <f t="shared" si="14"/>
        <v>0.32745098039215687</v>
      </c>
      <c r="Y147" s="6">
        <f t="shared" si="15"/>
        <v>0.41638795986622074</v>
      </c>
      <c r="Z147" s="6">
        <f t="shared" si="16"/>
        <v>0.46862745098039216</v>
      </c>
      <c r="AA147" s="6">
        <f t="shared" si="17"/>
        <v>0.88501541084661284</v>
      </c>
      <c r="AB147" s="6">
        <f t="shared" si="18"/>
        <v>0.11304347826086956</v>
      </c>
      <c r="AC147" s="6">
        <f t="shared" si="19"/>
        <v>9.4138543516873896E-2</v>
      </c>
      <c r="AD147" s="6">
        <f t="shared" si="20"/>
        <v>0.14117647058823529</v>
      </c>
    </row>
    <row r="148" spans="1:30" x14ac:dyDescent="0.2">
      <c r="A148" s="2" t="s">
        <v>252</v>
      </c>
      <c r="B148" s="2">
        <v>2010</v>
      </c>
      <c r="C148" s="2">
        <v>1</v>
      </c>
      <c r="D148" s="2" t="s">
        <v>60</v>
      </c>
      <c r="E148" s="2" t="s">
        <v>3</v>
      </c>
      <c r="F148" s="2">
        <v>136</v>
      </c>
      <c r="G148" s="2">
        <v>465</v>
      </c>
      <c r="H148" s="2">
        <v>34</v>
      </c>
      <c r="I148" s="2">
        <v>122</v>
      </c>
      <c r="J148" s="2">
        <v>19</v>
      </c>
      <c r="K148" s="2">
        <v>0</v>
      </c>
      <c r="L148" s="2">
        <v>6</v>
      </c>
      <c r="M148" s="2">
        <v>62</v>
      </c>
      <c r="N148" s="2">
        <v>8</v>
      </c>
      <c r="O148" s="2">
        <v>4</v>
      </c>
      <c r="P148" s="2">
        <v>42</v>
      </c>
      <c r="Q148" s="2">
        <v>51</v>
      </c>
      <c r="R148" s="2" t="s">
        <v>36</v>
      </c>
      <c r="S148" s="2" t="s">
        <v>41</v>
      </c>
      <c r="T148" s="2" t="s">
        <v>31</v>
      </c>
      <c r="U148" s="2" t="s">
        <v>32</v>
      </c>
      <c r="V148" s="2" t="s">
        <v>52</v>
      </c>
      <c r="W148" s="2" t="s">
        <v>31</v>
      </c>
      <c r="X148" s="6">
        <f t="shared" si="14"/>
        <v>0.26236559139784948</v>
      </c>
      <c r="Y148" s="6">
        <f t="shared" si="15"/>
        <v>0.33714285714285713</v>
      </c>
      <c r="Z148" s="6">
        <f t="shared" si="16"/>
        <v>0.34193548387096773</v>
      </c>
      <c r="AA148" s="6">
        <f t="shared" si="17"/>
        <v>0.6790783410138248</v>
      </c>
      <c r="AB148" s="6">
        <f t="shared" si="18"/>
        <v>8.2840236686390539E-2</v>
      </c>
      <c r="AC148" s="6">
        <f t="shared" si="19"/>
        <v>9.8837209302325577E-2</v>
      </c>
      <c r="AD148" s="6">
        <f t="shared" si="20"/>
        <v>7.9569892473118242E-2</v>
      </c>
    </row>
    <row r="149" spans="1:30" x14ac:dyDescent="0.2">
      <c r="A149" s="3" t="s">
        <v>272</v>
      </c>
      <c r="B149" s="3">
        <v>2010</v>
      </c>
      <c r="C149" s="3">
        <v>1</v>
      </c>
      <c r="D149" s="3" t="s">
        <v>85</v>
      </c>
      <c r="E149" s="3" t="s">
        <v>3</v>
      </c>
      <c r="F149" s="3">
        <v>140</v>
      </c>
      <c r="G149" s="3">
        <v>599</v>
      </c>
      <c r="H149" s="3">
        <v>100</v>
      </c>
      <c r="I149" s="3">
        <v>184</v>
      </c>
      <c r="J149" s="3">
        <v>40</v>
      </c>
      <c r="K149" s="3">
        <v>3</v>
      </c>
      <c r="L149" s="3">
        <v>15</v>
      </c>
      <c r="M149" s="3">
        <v>66</v>
      </c>
      <c r="N149" s="3">
        <v>5</v>
      </c>
      <c r="O149" s="3">
        <v>3</v>
      </c>
      <c r="P149" s="3">
        <v>40</v>
      </c>
      <c r="Q149" s="3">
        <v>86</v>
      </c>
      <c r="R149" s="3" t="s">
        <v>31</v>
      </c>
      <c r="S149" s="3" t="s">
        <v>34</v>
      </c>
      <c r="T149" s="3" t="s">
        <v>34</v>
      </c>
      <c r="U149" s="3" t="s">
        <v>36</v>
      </c>
      <c r="V149" s="3" t="s">
        <v>35</v>
      </c>
      <c r="W149" s="3" t="s">
        <v>33</v>
      </c>
      <c r="X149" s="6">
        <f t="shared" si="14"/>
        <v>0.30717863105175292</v>
      </c>
      <c r="Y149" s="6">
        <f t="shared" si="15"/>
        <v>0.35230769230769232</v>
      </c>
      <c r="Z149" s="6">
        <f t="shared" si="16"/>
        <v>0.45909849749582637</v>
      </c>
      <c r="AA149" s="6">
        <f t="shared" si="17"/>
        <v>0.81140618980351875</v>
      </c>
      <c r="AB149" s="6">
        <f t="shared" si="18"/>
        <v>6.2597809076682318E-2</v>
      </c>
      <c r="AC149" s="6">
        <f t="shared" si="19"/>
        <v>0.12554744525547445</v>
      </c>
      <c r="AD149" s="6">
        <f t="shared" si="20"/>
        <v>0.15191986644407346</v>
      </c>
    </row>
    <row r="150" spans="1:30" x14ac:dyDescent="0.2">
      <c r="A150" s="2" t="s">
        <v>285</v>
      </c>
      <c r="B150" s="2">
        <v>2010</v>
      </c>
      <c r="C150" s="2">
        <v>1</v>
      </c>
      <c r="D150" s="2" t="s">
        <v>203</v>
      </c>
      <c r="E150" s="2" t="s">
        <v>6</v>
      </c>
      <c r="F150" s="2">
        <v>32</v>
      </c>
      <c r="G150" s="2">
        <v>7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5</v>
      </c>
      <c r="R150" s="2" t="s">
        <v>28</v>
      </c>
      <c r="S150" s="2" t="s">
        <v>28</v>
      </c>
      <c r="T150" s="2" t="s">
        <v>28</v>
      </c>
      <c r="U150" s="2" t="s">
        <v>28</v>
      </c>
      <c r="V150" s="2" t="s">
        <v>28</v>
      </c>
      <c r="W150" s="2" t="s">
        <v>30</v>
      </c>
      <c r="X150" s="6">
        <f t="shared" si="14"/>
        <v>0.14285714285714285</v>
      </c>
      <c r="Y150" s="6">
        <f t="shared" si="15"/>
        <v>0.14285714285714285</v>
      </c>
      <c r="Z150" s="6">
        <f t="shared" si="16"/>
        <v>0.14285714285714285</v>
      </c>
      <c r="AA150" s="6">
        <f t="shared" si="17"/>
        <v>0.2857142857142857</v>
      </c>
      <c r="AB150" s="6">
        <f t="shared" si="18"/>
        <v>0</v>
      </c>
      <c r="AC150" s="6">
        <f t="shared" si="19"/>
        <v>0.41666666666666669</v>
      </c>
      <c r="AD150" s="6">
        <f t="shared" si="20"/>
        <v>0</v>
      </c>
    </row>
    <row r="151" spans="1:30" x14ac:dyDescent="0.2">
      <c r="A151" s="3" t="s">
        <v>225</v>
      </c>
      <c r="B151" s="3">
        <v>2010</v>
      </c>
      <c r="C151" s="3">
        <v>1</v>
      </c>
      <c r="D151" s="3" t="s">
        <v>60</v>
      </c>
      <c r="E151" s="3" t="s">
        <v>3</v>
      </c>
      <c r="F151" s="3">
        <v>159</v>
      </c>
      <c r="G151" s="3">
        <v>587</v>
      </c>
      <c r="H151" s="3">
        <v>115</v>
      </c>
      <c r="I151" s="3">
        <v>183</v>
      </c>
      <c r="J151" s="3">
        <v>39</v>
      </c>
      <c r="K151" s="3">
        <v>1</v>
      </c>
      <c r="L151" s="3">
        <v>42</v>
      </c>
      <c r="M151" s="3">
        <v>118</v>
      </c>
      <c r="N151" s="3">
        <v>14</v>
      </c>
      <c r="O151" s="3">
        <v>4</v>
      </c>
      <c r="P151" s="3">
        <v>103</v>
      </c>
      <c r="Q151" s="3">
        <v>76</v>
      </c>
      <c r="R151" s="3" t="s">
        <v>76</v>
      </c>
      <c r="S151" s="3" t="s">
        <v>33</v>
      </c>
      <c r="T151" s="3" t="s">
        <v>28</v>
      </c>
      <c r="U151" s="3" t="s">
        <v>36</v>
      </c>
      <c r="V151" s="3" t="s">
        <v>63</v>
      </c>
      <c r="W151" s="3" t="s">
        <v>34</v>
      </c>
      <c r="X151" s="6">
        <f t="shared" si="14"/>
        <v>0.31175468483816016</v>
      </c>
      <c r="Y151" s="6">
        <f t="shared" si="15"/>
        <v>0.44444444444444442</v>
      </c>
      <c r="Z151" s="6">
        <f t="shared" si="16"/>
        <v>0.59625212947189099</v>
      </c>
      <c r="AA151" s="6">
        <f t="shared" si="17"/>
        <v>1.0406965739163354</v>
      </c>
      <c r="AB151" s="6">
        <f t="shared" si="18"/>
        <v>0.14927536231884059</v>
      </c>
      <c r="AC151" s="6">
        <f t="shared" si="19"/>
        <v>0.11463046757164404</v>
      </c>
      <c r="AD151" s="6">
        <f t="shared" si="20"/>
        <v>0.28449744463373083</v>
      </c>
    </row>
    <row r="152" spans="1:30" x14ac:dyDescent="0.2">
      <c r="A152" s="2" t="s">
        <v>262</v>
      </c>
      <c r="B152" s="2">
        <v>2010</v>
      </c>
      <c r="C152" s="2">
        <v>1</v>
      </c>
      <c r="D152" s="2" t="s">
        <v>165</v>
      </c>
      <c r="E152" s="2" t="s">
        <v>3</v>
      </c>
      <c r="F152" s="2">
        <v>142</v>
      </c>
      <c r="G152" s="2">
        <v>543</v>
      </c>
      <c r="H152" s="2">
        <v>92</v>
      </c>
      <c r="I152" s="2">
        <v>163</v>
      </c>
      <c r="J152" s="2">
        <v>28</v>
      </c>
      <c r="K152" s="2">
        <v>2</v>
      </c>
      <c r="L152" s="2">
        <v>21</v>
      </c>
      <c r="M152" s="2">
        <v>76</v>
      </c>
      <c r="N152" s="2">
        <v>32</v>
      </c>
      <c r="O152" s="2">
        <v>10</v>
      </c>
      <c r="P152" s="2">
        <v>64</v>
      </c>
      <c r="Q152" s="2">
        <v>93</v>
      </c>
      <c r="R152" s="2" t="s">
        <v>38</v>
      </c>
      <c r="S152" s="2" t="s">
        <v>41</v>
      </c>
      <c r="T152" s="2" t="s">
        <v>28</v>
      </c>
      <c r="U152" s="2" t="s">
        <v>32</v>
      </c>
      <c r="V152" s="2" t="s">
        <v>43</v>
      </c>
      <c r="W152" s="2" t="s">
        <v>36</v>
      </c>
      <c r="X152" s="6">
        <f t="shared" si="14"/>
        <v>0.30018416206261511</v>
      </c>
      <c r="Y152" s="6">
        <f t="shared" si="15"/>
        <v>0.38985736925515058</v>
      </c>
      <c r="Z152" s="6">
        <f t="shared" si="16"/>
        <v>0.47513812154696133</v>
      </c>
      <c r="AA152" s="6">
        <f t="shared" si="17"/>
        <v>0.86499549080211191</v>
      </c>
      <c r="AB152" s="6">
        <f t="shared" si="18"/>
        <v>0.10543657331136738</v>
      </c>
      <c r="AC152" s="6">
        <f t="shared" si="19"/>
        <v>0.14622641509433962</v>
      </c>
      <c r="AD152" s="6">
        <f t="shared" si="20"/>
        <v>0.17495395948434622</v>
      </c>
    </row>
    <row r="153" spans="1:30" x14ac:dyDescent="0.2">
      <c r="A153" s="3" t="s">
        <v>228</v>
      </c>
      <c r="B153" s="3">
        <v>2010</v>
      </c>
      <c r="C153" s="3">
        <v>1</v>
      </c>
      <c r="D153" s="3" t="s">
        <v>91</v>
      </c>
      <c r="E153" s="3" t="s">
        <v>6</v>
      </c>
      <c r="F153" s="3">
        <v>162</v>
      </c>
      <c r="G153" s="3">
        <v>680</v>
      </c>
      <c r="H153" s="3">
        <v>74</v>
      </c>
      <c r="I153" s="3">
        <v>214</v>
      </c>
      <c r="J153" s="3">
        <v>30</v>
      </c>
      <c r="K153" s="3">
        <v>3</v>
      </c>
      <c r="L153" s="3">
        <v>6</v>
      </c>
      <c r="M153" s="3">
        <v>43</v>
      </c>
      <c r="N153" s="3">
        <v>42</v>
      </c>
      <c r="O153" s="3">
        <v>9</v>
      </c>
      <c r="P153" s="3">
        <v>45</v>
      </c>
      <c r="Q153" s="3">
        <v>86</v>
      </c>
      <c r="R153" s="3" t="s">
        <v>35</v>
      </c>
      <c r="S153" s="3" t="s">
        <v>34</v>
      </c>
      <c r="T153" s="3" t="s">
        <v>34</v>
      </c>
      <c r="U153" s="3" t="s">
        <v>30</v>
      </c>
      <c r="V153" s="3" t="s">
        <v>34</v>
      </c>
      <c r="W153" s="3" t="s">
        <v>42</v>
      </c>
      <c r="X153" s="6">
        <f t="shared" si="14"/>
        <v>0.31470588235294117</v>
      </c>
      <c r="Y153" s="6">
        <f t="shared" si="15"/>
        <v>0.37061994609164423</v>
      </c>
      <c r="Z153" s="6">
        <f t="shared" si="16"/>
        <v>0.39411764705882352</v>
      </c>
      <c r="AA153" s="6">
        <f t="shared" si="17"/>
        <v>0.76473759315046774</v>
      </c>
      <c r="AB153" s="6">
        <f t="shared" si="18"/>
        <v>6.2068965517241378E-2</v>
      </c>
      <c r="AC153" s="6">
        <f t="shared" si="19"/>
        <v>0.1122715404699739</v>
      </c>
      <c r="AD153" s="6">
        <f t="shared" si="20"/>
        <v>7.9411764705882348E-2</v>
      </c>
    </row>
    <row r="154" spans="1:30" x14ac:dyDescent="0.2">
      <c r="A154" s="2" t="s">
        <v>253</v>
      </c>
      <c r="B154" s="2">
        <v>2010</v>
      </c>
      <c r="C154" s="2">
        <v>1</v>
      </c>
      <c r="D154" s="2" t="s">
        <v>83</v>
      </c>
      <c r="E154" s="2" t="s">
        <v>3</v>
      </c>
      <c r="F154" s="2">
        <v>157</v>
      </c>
      <c r="G154" s="2">
        <v>587</v>
      </c>
      <c r="H154" s="2">
        <v>87</v>
      </c>
      <c r="I154" s="2">
        <v>166</v>
      </c>
      <c r="J154" s="2">
        <v>36</v>
      </c>
      <c r="K154" s="2">
        <v>3</v>
      </c>
      <c r="L154" s="2">
        <v>29</v>
      </c>
      <c r="M154" s="2">
        <v>103</v>
      </c>
      <c r="N154" s="2">
        <v>19</v>
      </c>
      <c r="O154" s="2">
        <v>11</v>
      </c>
      <c r="P154" s="2">
        <v>69</v>
      </c>
      <c r="Q154" s="2">
        <v>161</v>
      </c>
      <c r="R154" s="2" t="s">
        <v>42</v>
      </c>
      <c r="S154" s="2" t="s">
        <v>31</v>
      </c>
      <c r="T154" s="2" t="s">
        <v>28</v>
      </c>
      <c r="U154" s="2" t="s">
        <v>38</v>
      </c>
      <c r="V154" s="2" t="s">
        <v>38</v>
      </c>
      <c r="W154" s="2" t="s">
        <v>32</v>
      </c>
      <c r="X154" s="6">
        <f t="shared" si="14"/>
        <v>0.282793867120954</v>
      </c>
      <c r="Y154" s="6">
        <f t="shared" si="15"/>
        <v>0.36229749631811486</v>
      </c>
      <c r="Z154" s="6">
        <f t="shared" si="16"/>
        <v>0.50255536626916519</v>
      </c>
      <c r="AA154" s="6">
        <f t="shared" si="17"/>
        <v>0.86485286258728</v>
      </c>
      <c r="AB154" s="6">
        <f t="shared" si="18"/>
        <v>0.10518292682926829</v>
      </c>
      <c r="AC154" s="6">
        <f t="shared" si="19"/>
        <v>0.21524064171122995</v>
      </c>
      <c r="AD154" s="6">
        <f t="shared" si="20"/>
        <v>0.21976149914821119</v>
      </c>
    </row>
    <row r="155" spans="1:30" x14ac:dyDescent="0.2">
      <c r="A155" s="3" t="s">
        <v>288</v>
      </c>
      <c r="B155" s="3">
        <v>2011</v>
      </c>
      <c r="C155" s="3">
        <v>1</v>
      </c>
      <c r="D155" s="3" t="s">
        <v>67</v>
      </c>
      <c r="E155" s="3" t="s">
        <v>6</v>
      </c>
      <c r="F155" s="3">
        <v>141</v>
      </c>
      <c r="G155" s="3">
        <v>464</v>
      </c>
      <c r="H155" s="3">
        <v>63</v>
      </c>
      <c r="I155" s="3">
        <v>137</v>
      </c>
      <c r="J155" s="3">
        <v>33</v>
      </c>
      <c r="K155" s="3">
        <v>4</v>
      </c>
      <c r="L155" s="3">
        <v>19</v>
      </c>
      <c r="M155" s="3">
        <v>82</v>
      </c>
      <c r="N155" s="3">
        <v>3</v>
      </c>
      <c r="O155" s="3">
        <v>1</v>
      </c>
      <c r="P155" s="3">
        <v>73</v>
      </c>
      <c r="Q155" s="3">
        <v>131</v>
      </c>
      <c r="R155" s="3" t="s">
        <v>42</v>
      </c>
      <c r="S155" s="3" t="s">
        <v>34</v>
      </c>
      <c r="T155" s="3" t="s">
        <v>34</v>
      </c>
      <c r="U155" s="3" t="s">
        <v>39</v>
      </c>
      <c r="V155" s="3" t="s">
        <v>39</v>
      </c>
      <c r="W155" s="3" t="s">
        <v>31</v>
      </c>
      <c r="X155" s="6">
        <f t="shared" si="14"/>
        <v>0.29525862068965519</v>
      </c>
      <c r="Y155" s="6">
        <f t="shared" si="15"/>
        <v>0.3985637342908438</v>
      </c>
      <c r="Z155" s="6">
        <f t="shared" si="16"/>
        <v>0.50646551724137934</v>
      </c>
      <c r="AA155" s="6">
        <f t="shared" si="17"/>
        <v>0.90502925153222313</v>
      </c>
      <c r="AB155" s="6">
        <f t="shared" si="18"/>
        <v>0.13594040968342644</v>
      </c>
      <c r="AC155" s="6">
        <f t="shared" si="19"/>
        <v>0.22016806722689075</v>
      </c>
      <c r="AD155" s="6">
        <f t="shared" si="20"/>
        <v>0.21120689655172414</v>
      </c>
    </row>
    <row r="156" spans="1:30" x14ac:dyDescent="0.2">
      <c r="A156" s="2" t="s">
        <v>244</v>
      </c>
      <c r="B156" s="2">
        <v>2011</v>
      </c>
      <c r="C156" s="2">
        <v>1</v>
      </c>
      <c r="D156" s="2" t="s">
        <v>92</v>
      </c>
      <c r="E156" s="2" t="s">
        <v>6</v>
      </c>
      <c r="F156" s="2">
        <v>149</v>
      </c>
      <c r="G156" s="2">
        <v>513</v>
      </c>
      <c r="H156" s="2">
        <v>105</v>
      </c>
      <c r="I156" s="2">
        <v>155</v>
      </c>
      <c r="J156" s="2">
        <v>24</v>
      </c>
      <c r="K156" s="2">
        <v>2</v>
      </c>
      <c r="L156" s="2">
        <v>43</v>
      </c>
      <c r="M156" s="2">
        <v>103</v>
      </c>
      <c r="N156" s="2">
        <v>9</v>
      </c>
      <c r="O156" s="2">
        <v>5</v>
      </c>
      <c r="P156" s="2">
        <v>132</v>
      </c>
      <c r="Q156" s="2">
        <v>111</v>
      </c>
      <c r="R156" s="2" t="s">
        <v>57</v>
      </c>
      <c r="S156" s="2" t="s">
        <v>36</v>
      </c>
      <c r="T156" s="2" t="s">
        <v>28</v>
      </c>
      <c r="U156" s="2" t="s">
        <v>33</v>
      </c>
      <c r="V156" s="2" t="s">
        <v>39</v>
      </c>
      <c r="W156" s="2" t="s">
        <v>42</v>
      </c>
      <c r="X156" s="6">
        <f t="shared" si="14"/>
        <v>0.30214424951267055</v>
      </c>
      <c r="Y156" s="6">
        <f t="shared" si="15"/>
        <v>0.46686303387334316</v>
      </c>
      <c r="Z156" s="6">
        <f t="shared" si="16"/>
        <v>0.60818713450292394</v>
      </c>
      <c r="AA156" s="6">
        <f t="shared" si="17"/>
        <v>1.0750501683762672</v>
      </c>
      <c r="AB156" s="6">
        <f t="shared" si="18"/>
        <v>0.20465116279069767</v>
      </c>
      <c r="AC156" s="6">
        <f t="shared" si="19"/>
        <v>0.17788461538461539</v>
      </c>
      <c r="AD156" s="6">
        <f t="shared" si="20"/>
        <v>0.30604288499025339</v>
      </c>
    </row>
    <row r="157" spans="1:30" x14ac:dyDescent="0.2">
      <c r="A157" s="3" t="s">
        <v>205</v>
      </c>
      <c r="B157" s="3">
        <v>2011</v>
      </c>
      <c r="C157" s="3">
        <v>1</v>
      </c>
      <c r="D157" s="3" t="s">
        <v>90</v>
      </c>
      <c r="E157" s="3" t="s">
        <v>6</v>
      </c>
      <c r="F157" s="3">
        <v>124</v>
      </c>
      <c r="G157" s="3">
        <v>487</v>
      </c>
      <c r="H157" s="3">
        <v>82</v>
      </c>
      <c r="I157" s="3">
        <v>144</v>
      </c>
      <c r="J157" s="3">
        <v>33</v>
      </c>
      <c r="K157" s="3">
        <v>0</v>
      </c>
      <c r="L157" s="3">
        <v>32</v>
      </c>
      <c r="M157" s="3">
        <v>105</v>
      </c>
      <c r="N157" s="3">
        <v>1</v>
      </c>
      <c r="O157" s="3">
        <v>1</v>
      </c>
      <c r="P157" s="3">
        <v>25</v>
      </c>
      <c r="Q157" s="3">
        <v>53</v>
      </c>
      <c r="R157" s="3" t="s">
        <v>28</v>
      </c>
      <c r="S157" s="3" t="s">
        <v>32</v>
      </c>
      <c r="T157" s="3" t="s">
        <v>28</v>
      </c>
      <c r="U157" s="3" t="s">
        <v>39</v>
      </c>
      <c r="V157" s="3" t="s">
        <v>35</v>
      </c>
      <c r="W157" s="3" t="s">
        <v>32</v>
      </c>
      <c r="X157" s="6">
        <f t="shared" si="14"/>
        <v>0.29568788501026694</v>
      </c>
      <c r="Y157" s="6">
        <f t="shared" si="15"/>
        <v>0.33142857142857141</v>
      </c>
      <c r="Z157" s="6">
        <f t="shared" si="16"/>
        <v>0.56057494866529778</v>
      </c>
      <c r="AA157" s="6">
        <f t="shared" si="17"/>
        <v>0.89200352009386918</v>
      </c>
      <c r="AB157" s="6">
        <f t="shared" si="18"/>
        <v>4.8828125E-2</v>
      </c>
      <c r="AC157" s="6">
        <f t="shared" si="19"/>
        <v>9.8148148148148151E-2</v>
      </c>
      <c r="AD157" s="6">
        <f t="shared" si="20"/>
        <v>0.26488706365503084</v>
      </c>
    </row>
    <row r="158" spans="1:30" x14ac:dyDescent="0.2">
      <c r="A158" s="2" t="s">
        <v>206</v>
      </c>
      <c r="B158" s="2">
        <v>2011</v>
      </c>
      <c r="C158" s="2">
        <v>1</v>
      </c>
      <c r="D158" s="2" t="s">
        <v>83</v>
      </c>
      <c r="E158" s="2" t="s">
        <v>3</v>
      </c>
      <c r="F158" s="2">
        <v>98</v>
      </c>
      <c r="G158" s="2">
        <v>353</v>
      </c>
      <c r="H158" s="2">
        <v>61</v>
      </c>
      <c r="I158" s="2">
        <v>102</v>
      </c>
      <c r="J158" s="2">
        <v>30</v>
      </c>
      <c r="K158" s="2">
        <v>2</v>
      </c>
      <c r="L158" s="2">
        <v>15</v>
      </c>
      <c r="M158" s="2">
        <v>66</v>
      </c>
      <c r="N158" s="2">
        <v>3</v>
      </c>
      <c r="O158" s="2">
        <v>0</v>
      </c>
      <c r="P158" s="2">
        <v>60</v>
      </c>
      <c r="Q158" s="2">
        <v>61</v>
      </c>
      <c r="R158" s="2" t="s">
        <v>36</v>
      </c>
      <c r="S158" s="2" t="s">
        <v>31</v>
      </c>
      <c r="T158" s="2" t="s">
        <v>28</v>
      </c>
      <c r="U158" s="2" t="s">
        <v>33</v>
      </c>
      <c r="V158" s="2" t="s">
        <v>42</v>
      </c>
      <c r="W158" s="2" t="s">
        <v>28</v>
      </c>
      <c r="X158" s="6">
        <f t="shared" si="14"/>
        <v>0.28895184135977336</v>
      </c>
      <c r="Y158" s="6">
        <f t="shared" si="15"/>
        <v>0.4</v>
      </c>
      <c r="Z158" s="6">
        <f t="shared" si="16"/>
        <v>0.5127478753541076</v>
      </c>
      <c r="AA158" s="6">
        <f t="shared" si="17"/>
        <v>0.91274787535410762</v>
      </c>
      <c r="AB158" s="6">
        <f t="shared" si="18"/>
        <v>0.14527845036319612</v>
      </c>
      <c r="AC158" s="6">
        <f t="shared" si="19"/>
        <v>0.14734299516908211</v>
      </c>
      <c r="AD158" s="6">
        <f t="shared" si="20"/>
        <v>0.22379603399433423</v>
      </c>
    </row>
    <row r="159" spans="1:30" x14ac:dyDescent="0.2">
      <c r="A159" s="3" t="s">
        <v>206</v>
      </c>
      <c r="B159" s="3">
        <v>2011</v>
      </c>
      <c r="C159" s="3">
        <v>2</v>
      </c>
      <c r="D159" s="3" t="s">
        <v>79</v>
      </c>
      <c r="E159" s="3" t="s">
        <v>3</v>
      </c>
      <c r="F159" s="3">
        <v>44</v>
      </c>
      <c r="G159" s="3">
        <v>167</v>
      </c>
      <c r="H159" s="3">
        <v>17</v>
      </c>
      <c r="I159" s="3">
        <v>54</v>
      </c>
      <c r="J159" s="3">
        <v>9</v>
      </c>
      <c r="K159" s="3">
        <v>4</v>
      </c>
      <c r="L159" s="3">
        <v>7</v>
      </c>
      <c r="M159" s="3">
        <v>18</v>
      </c>
      <c r="N159" s="3">
        <v>1</v>
      </c>
      <c r="O159" s="3">
        <v>2</v>
      </c>
      <c r="P159" s="3">
        <v>11</v>
      </c>
      <c r="Q159" s="3">
        <v>27</v>
      </c>
      <c r="R159" s="3" t="s">
        <v>30</v>
      </c>
      <c r="S159" s="3" t="s">
        <v>30</v>
      </c>
      <c r="T159" s="3" t="s">
        <v>28</v>
      </c>
      <c r="U159" s="3" t="s">
        <v>28</v>
      </c>
      <c r="V159" s="3" t="s">
        <v>42</v>
      </c>
      <c r="W159" s="3" t="s">
        <v>28</v>
      </c>
      <c r="X159" s="6">
        <f t="shared" si="14"/>
        <v>0.32335329341317365</v>
      </c>
      <c r="Y159" s="6">
        <f t="shared" si="15"/>
        <v>0.37222222222222223</v>
      </c>
      <c r="Z159" s="6">
        <f t="shared" si="16"/>
        <v>0.55089820359281438</v>
      </c>
      <c r="AA159" s="6">
        <f t="shared" si="17"/>
        <v>0.92312042581503662</v>
      </c>
      <c r="AB159" s="6">
        <f t="shared" si="18"/>
        <v>6.1797752808988762E-2</v>
      </c>
      <c r="AC159" s="6">
        <f t="shared" si="19"/>
        <v>0.13917525773195877</v>
      </c>
      <c r="AD159" s="6">
        <f t="shared" si="20"/>
        <v>0.22754491017964074</v>
      </c>
    </row>
    <row r="160" spans="1:30" x14ac:dyDescent="0.2">
      <c r="A160" s="2" t="s">
        <v>212</v>
      </c>
      <c r="B160" s="2">
        <v>2011</v>
      </c>
      <c r="C160" s="2">
        <v>1</v>
      </c>
      <c r="D160" s="2" t="s">
        <v>60</v>
      </c>
      <c r="E160" s="2" t="s">
        <v>3</v>
      </c>
      <c r="F160" s="2">
        <v>145</v>
      </c>
      <c r="G160" s="2">
        <v>488</v>
      </c>
      <c r="H160" s="2">
        <v>90</v>
      </c>
      <c r="I160" s="2">
        <v>147</v>
      </c>
      <c r="J160" s="2">
        <v>23</v>
      </c>
      <c r="K160" s="2">
        <v>2</v>
      </c>
      <c r="L160" s="2">
        <v>31</v>
      </c>
      <c r="M160" s="2">
        <v>94</v>
      </c>
      <c r="N160" s="2">
        <v>2</v>
      </c>
      <c r="O160" s="2">
        <v>6</v>
      </c>
      <c r="P160" s="2">
        <v>92</v>
      </c>
      <c r="Q160" s="2">
        <v>93</v>
      </c>
      <c r="R160" s="2" t="s">
        <v>47</v>
      </c>
      <c r="S160" s="2" t="s">
        <v>34</v>
      </c>
      <c r="T160" s="2" t="s">
        <v>28</v>
      </c>
      <c r="U160" s="2" t="s">
        <v>33</v>
      </c>
      <c r="V160" s="2" t="s">
        <v>41</v>
      </c>
      <c r="W160" s="2" t="s">
        <v>42</v>
      </c>
      <c r="X160" s="6">
        <f t="shared" si="14"/>
        <v>0.30122950819672129</v>
      </c>
      <c r="Y160" s="6">
        <f t="shared" si="15"/>
        <v>0.42880794701986757</v>
      </c>
      <c r="Z160" s="6">
        <f t="shared" si="16"/>
        <v>0.54713114754098358</v>
      </c>
      <c r="AA160" s="6">
        <f t="shared" si="17"/>
        <v>0.97593909456085115</v>
      </c>
      <c r="AB160" s="6">
        <f t="shared" si="18"/>
        <v>0.15862068965517243</v>
      </c>
      <c r="AC160" s="6">
        <f t="shared" si="19"/>
        <v>0.16006884681583478</v>
      </c>
      <c r="AD160" s="6">
        <f t="shared" si="20"/>
        <v>0.24590163934426229</v>
      </c>
    </row>
    <row r="161" spans="1:30" x14ac:dyDescent="0.2">
      <c r="A161" s="3" t="s">
        <v>277</v>
      </c>
      <c r="B161" s="3">
        <v>2011</v>
      </c>
      <c r="C161" s="3">
        <v>1</v>
      </c>
      <c r="D161" s="3" t="s">
        <v>66</v>
      </c>
      <c r="E161" s="3" t="s">
        <v>6</v>
      </c>
      <c r="F161" s="3">
        <v>151</v>
      </c>
      <c r="G161" s="3">
        <v>604</v>
      </c>
      <c r="H161" s="3">
        <v>87</v>
      </c>
      <c r="I161" s="3">
        <v>165</v>
      </c>
      <c r="J161" s="3">
        <v>32</v>
      </c>
      <c r="K161" s="3">
        <v>3</v>
      </c>
      <c r="L161" s="3">
        <v>25</v>
      </c>
      <c r="M161" s="3">
        <v>92</v>
      </c>
      <c r="N161" s="3">
        <v>17</v>
      </c>
      <c r="O161" s="3">
        <v>5</v>
      </c>
      <c r="P161" s="3">
        <v>44</v>
      </c>
      <c r="Q161" s="3">
        <v>119</v>
      </c>
      <c r="R161" s="3" t="s">
        <v>32</v>
      </c>
      <c r="S161" s="3" t="s">
        <v>40</v>
      </c>
      <c r="T161" s="3" t="s">
        <v>33</v>
      </c>
      <c r="U161" s="3" t="s">
        <v>33</v>
      </c>
      <c r="V161" s="3" t="s">
        <v>37</v>
      </c>
      <c r="W161" s="3" t="s">
        <v>36</v>
      </c>
      <c r="X161" s="6">
        <f t="shared" si="14"/>
        <v>0.27317880794701987</v>
      </c>
      <c r="Y161" s="6">
        <f t="shared" si="15"/>
        <v>0.33682634730538924</v>
      </c>
      <c r="Z161" s="6">
        <f t="shared" si="16"/>
        <v>0.46026490066225167</v>
      </c>
      <c r="AA161" s="6">
        <f t="shared" si="17"/>
        <v>0.79709124796764086</v>
      </c>
      <c r="AB161" s="6">
        <f t="shared" si="18"/>
        <v>6.7901234567901231E-2</v>
      </c>
      <c r="AC161" s="6">
        <f t="shared" si="19"/>
        <v>0.16459197786998617</v>
      </c>
      <c r="AD161" s="6">
        <f t="shared" si="20"/>
        <v>0.1870860927152318</v>
      </c>
    </row>
    <row r="162" spans="1:30" x14ac:dyDescent="0.2">
      <c r="A162" s="2" t="s">
        <v>257</v>
      </c>
      <c r="B162" s="2">
        <v>2011</v>
      </c>
      <c r="C162" s="2">
        <v>1</v>
      </c>
      <c r="D162" s="2" t="s">
        <v>71</v>
      </c>
      <c r="E162" s="2" t="s">
        <v>6</v>
      </c>
      <c r="F162" s="2">
        <v>159</v>
      </c>
      <c r="G162" s="2">
        <v>623</v>
      </c>
      <c r="H162" s="2">
        <v>104</v>
      </c>
      <c r="I162" s="2">
        <v>188</v>
      </c>
      <c r="J162" s="2">
        <v>46</v>
      </c>
      <c r="K162" s="2">
        <v>7</v>
      </c>
      <c r="L162" s="2">
        <v>28</v>
      </c>
      <c r="M162" s="2">
        <v>118</v>
      </c>
      <c r="N162" s="2">
        <v>8</v>
      </c>
      <c r="O162" s="2">
        <v>2</v>
      </c>
      <c r="P162" s="2">
        <v>38</v>
      </c>
      <c r="Q162" s="2">
        <v>96</v>
      </c>
      <c r="R162" s="2" t="s">
        <v>40</v>
      </c>
      <c r="S162" s="2" t="s">
        <v>38</v>
      </c>
      <c r="T162" s="2" t="s">
        <v>28</v>
      </c>
      <c r="U162" s="2" t="s">
        <v>39</v>
      </c>
      <c r="V162" s="2" t="s">
        <v>45</v>
      </c>
      <c r="W162" s="2" t="s">
        <v>33</v>
      </c>
      <c r="X162" s="6">
        <f t="shared" si="14"/>
        <v>0.3017656500802568</v>
      </c>
      <c r="Y162" s="6">
        <f t="shared" si="15"/>
        <v>0.35982658959537572</v>
      </c>
      <c r="Z162" s="6">
        <f t="shared" si="16"/>
        <v>0.5329052969502408</v>
      </c>
      <c r="AA162" s="6">
        <f t="shared" si="17"/>
        <v>0.89273188654561653</v>
      </c>
      <c r="AB162" s="6">
        <f t="shared" si="18"/>
        <v>5.7488653555219364E-2</v>
      </c>
      <c r="AC162" s="6">
        <f t="shared" si="19"/>
        <v>0.13351877607788595</v>
      </c>
      <c r="AD162" s="6">
        <f t="shared" si="20"/>
        <v>0.23113964686998401</v>
      </c>
    </row>
    <row r="163" spans="1:30" x14ac:dyDescent="0.2">
      <c r="A163" s="3" t="s">
        <v>258</v>
      </c>
      <c r="B163" s="3">
        <v>2011</v>
      </c>
      <c r="C163" s="3">
        <v>1</v>
      </c>
      <c r="D163" s="3" t="s">
        <v>204</v>
      </c>
      <c r="E163" s="3" t="s">
        <v>3</v>
      </c>
      <c r="F163" s="3">
        <v>162</v>
      </c>
      <c r="G163" s="3">
        <v>569</v>
      </c>
      <c r="H163" s="3">
        <v>95</v>
      </c>
      <c r="I163" s="3">
        <v>170</v>
      </c>
      <c r="J163" s="3">
        <v>36</v>
      </c>
      <c r="K163" s="3">
        <v>1</v>
      </c>
      <c r="L163" s="3">
        <v>38</v>
      </c>
      <c r="M163" s="3">
        <v>120</v>
      </c>
      <c r="N163" s="3">
        <v>1</v>
      </c>
      <c r="O163" s="3">
        <v>1</v>
      </c>
      <c r="P163" s="3">
        <v>107</v>
      </c>
      <c r="Q163" s="3">
        <v>106</v>
      </c>
      <c r="R163" s="3" t="s">
        <v>56</v>
      </c>
      <c r="S163" s="3" t="s">
        <v>37</v>
      </c>
      <c r="T163" s="3" t="s">
        <v>28</v>
      </c>
      <c r="U163" s="3" t="s">
        <v>36</v>
      </c>
      <c r="V163" s="3" t="s">
        <v>47</v>
      </c>
      <c r="W163" s="3" t="s">
        <v>34</v>
      </c>
      <c r="X163" s="6">
        <f t="shared" si="14"/>
        <v>0.29876977152899825</v>
      </c>
      <c r="Y163" s="6">
        <f t="shared" si="15"/>
        <v>0.44060773480662985</v>
      </c>
      <c r="Z163" s="6">
        <f t="shared" si="16"/>
        <v>0.56590509666080846</v>
      </c>
      <c r="AA163" s="6">
        <f t="shared" si="17"/>
        <v>1.0065128314674383</v>
      </c>
      <c r="AB163" s="6">
        <f t="shared" si="18"/>
        <v>0.15828402366863906</v>
      </c>
      <c r="AC163" s="6">
        <f t="shared" si="19"/>
        <v>0.15703703703703703</v>
      </c>
      <c r="AD163" s="6">
        <f t="shared" si="20"/>
        <v>0.26713532513181021</v>
      </c>
    </row>
    <row r="164" spans="1:30" x14ac:dyDescent="0.2">
      <c r="A164" s="2" t="s">
        <v>246</v>
      </c>
      <c r="B164" s="2">
        <v>2011</v>
      </c>
      <c r="C164" s="2">
        <v>1</v>
      </c>
      <c r="D164" s="2" t="s">
        <v>68</v>
      </c>
      <c r="E164" s="2" t="s">
        <v>6</v>
      </c>
      <c r="F164" s="2">
        <v>159</v>
      </c>
      <c r="G164" s="2">
        <v>630</v>
      </c>
      <c r="H164" s="2">
        <v>108</v>
      </c>
      <c r="I164" s="2">
        <v>213</v>
      </c>
      <c r="J164" s="2">
        <v>45</v>
      </c>
      <c r="K164" s="2">
        <v>3</v>
      </c>
      <c r="L164" s="2">
        <v>27</v>
      </c>
      <c r="M164" s="2">
        <v>117</v>
      </c>
      <c r="N164" s="2">
        <v>1</v>
      </c>
      <c r="O164" s="2">
        <v>0</v>
      </c>
      <c r="P164" s="2">
        <v>74</v>
      </c>
      <c r="Q164" s="2">
        <v>119</v>
      </c>
      <c r="R164" s="2" t="s">
        <v>54</v>
      </c>
      <c r="S164" s="2" t="s">
        <v>36</v>
      </c>
      <c r="T164" s="2" t="s">
        <v>28</v>
      </c>
      <c r="U164" s="2" t="s">
        <v>32</v>
      </c>
      <c r="V164" s="2" t="s">
        <v>58</v>
      </c>
      <c r="W164" s="2" t="s">
        <v>34</v>
      </c>
      <c r="X164" s="6">
        <f t="shared" si="14"/>
        <v>0.33809523809523812</v>
      </c>
      <c r="Y164" s="6">
        <f t="shared" si="15"/>
        <v>0.42585034013605444</v>
      </c>
      <c r="Z164" s="6">
        <f t="shared" si="16"/>
        <v>0.54761904761904767</v>
      </c>
      <c r="AA164" s="6">
        <f t="shared" si="17"/>
        <v>0.97346938775510217</v>
      </c>
      <c r="AB164" s="6">
        <f t="shared" si="18"/>
        <v>0.10511363636363637</v>
      </c>
      <c r="AC164" s="6">
        <f t="shared" si="19"/>
        <v>0.15887850467289719</v>
      </c>
      <c r="AD164" s="6">
        <f t="shared" si="20"/>
        <v>0.20952380952380956</v>
      </c>
    </row>
    <row r="165" spans="1:30" x14ac:dyDescent="0.2">
      <c r="A165" s="3" t="s">
        <v>247</v>
      </c>
      <c r="B165" s="3">
        <v>2011</v>
      </c>
      <c r="C165" s="3">
        <v>1</v>
      </c>
      <c r="D165" s="3" t="s">
        <v>71</v>
      </c>
      <c r="E165" s="3" t="s">
        <v>6</v>
      </c>
      <c r="F165" s="3">
        <v>156</v>
      </c>
      <c r="G165" s="3">
        <v>583</v>
      </c>
      <c r="H165" s="3">
        <v>136</v>
      </c>
      <c r="I165" s="3">
        <v>153</v>
      </c>
      <c r="J165" s="3">
        <v>26</v>
      </c>
      <c r="K165" s="3">
        <v>10</v>
      </c>
      <c r="L165" s="3">
        <v>41</v>
      </c>
      <c r="M165" s="3">
        <v>119</v>
      </c>
      <c r="N165" s="3">
        <v>25</v>
      </c>
      <c r="O165" s="3">
        <v>10</v>
      </c>
      <c r="P165" s="3">
        <v>85</v>
      </c>
      <c r="Q165" s="3">
        <v>169</v>
      </c>
      <c r="R165" s="3" t="s">
        <v>28</v>
      </c>
      <c r="S165" s="3" t="s">
        <v>38</v>
      </c>
      <c r="T165" s="3" t="s">
        <v>33</v>
      </c>
      <c r="U165" s="3" t="s">
        <v>41</v>
      </c>
      <c r="V165" s="3" t="s">
        <v>38</v>
      </c>
      <c r="W165" s="3" t="s">
        <v>39</v>
      </c>
      <c r="X165" s="6">
        <f t="shared" si="14"/>
        <v>0.26243567753001718</v>
      </c>
      <c r="Y165" s="6">
        <f t="shared" si="15"/>
        <v>0.36390101892285298</v>
      </c>
      <c r="Z165" s="6">
        <f t="shared" si="16"/>
        <v>0.55231560891938247</v>
      </c>
      <c r="AA165" s="6">
        <f t="shared" si="17"/>
        <v>0.91621662784223545</v>
      </c>
      <c r="AB165" s="6">
        <f t="shared" si="18"/>
        <v>0.12724550898203593</v>
      </c>
      <c r="AC165" s="6">
        <f t="shared" si="19"/>
        <v>0.22473404255319149</v>
      </c>
      <c r="AD165" s="6">
        <f t="shared" si="20"/>
        <v>0.2898799313893653</v>
      </c>
    </row>
    <row r="166" spans="1:30" x14ac:dyDescent="0.2">
      <c r="A166" s="2" t="s">
        <v>208</v>
      </c>
      <c r="B166" s="2">
        <v>2011</v>
      </c>
      <c r="C166" s="2">
        <v>1</v>
      </c>
      <c r="D166" s="2" t="s">
        <v>29</v>
      </c>
      <c r="E166" s="2" t="s">
        <v>3</v>
      </c>
      <c r="F166" s="2">
        <v>32</v>
      </c>
      <c r="G166" s="2">
        <v>74</v>
      </c>
      <c r="H166" s="2">
        <v>3</v>
      </c>
      <c r="I166" s="2">
        <v>9</v>
      </c>
      <c r="J166" s="2">
        <v>2</v>
      </c>
      <c r="K166" s="2">
        <v>0</v>
      </c>
      <c r="L166" s="2">
        <v>0</v>
      </c>
      <c r="M166" s="2">
        <v>3</v>
      </c>
      <c r="N166" s="2">
        <v>0</v>
      </c>
      <c r="O166" s="2">
        <v>0</v>
      </c>
      <c r="P166" s="2">
        <v>2</v>
      </c>
      <c r="Q166" s="2">
        <v>35</v>
      </c>
      <c r="R166" s="2" t="s">
        <v>28</v>
      </c>
      <c r="S166" s="2" t="s">
        <v>28</v>
      </c>
      <c r="T166" s="2" t="s">
        <v>50</v>
      </c>
      <c r="U166" s="2" t="s">
        <v>28</v>
      </c>
      <c r="V166" s="2" t="s">
        <v>30</v>
      </c>
      <c r="W166" s="2" t="s">
        <v>30</v>
      </c>
      <c r="X166" s="6">
        <f t="shared" si="14"/>
        <v>0.12162162162162163</v>
      </c>
      <c r="Y166" s="6">
        <f t="shared" si="15"/>
        <v>0.14473684210526316</v>
      </c>
      <c r="Z166" s="6">
        <f t="shared" si="16"/>
        <v>0.14864864864864866</v>
      </c>
      <c r="AA166" s="6">
        <f t="shared" si="17"/>
        <v>0.29338549075391185</v>
      </c>
      <c r="AB166" s="6">
        <f t="shared" si="18"/>
        <v>2.6315789473684209E-2</v>
      </c>
      <c r="AC166" s="6">
        <f t="shared" si="19"/>
        <v>0.32110091743119268</v>
      </c>
      <c r="AD166" s="6">
        <f t="shared" si="20"/>
        <v>2.7027027027027029E-2</v>
      </c>
    </row>
    <row r="167" spans="1:30" x14ac:dyDescent="0.2">
      <c r="A167" s="3" t="s">
        <v>278</v>
      </c>
      <c r="B167" s="3">
        <v>2011</v>
      </c>
      <c r="C167" s="3">
        <v>1</v>
      </c>
      <c r="D167" s="3" t="s">
        <v>90</v>
      </c>
      <c r="E167" s="3" t="s">
        <v>6</v>
      </c>
      <c r="F167" s="3">
        <v>121</v>
      </c>
      <c r="G167" s="3">
        <v>487</v>
      </c>
      <c r="H167" s="3">
        <v>80</v>
      </c>
      <c r="I167" s="3">
        <v>145</v>
      </c>
      <c r="J167" s="3">
        <v>31</v>
      </c>
      <c r="K167" s="3">
        <v>5</v>
      </c>
      <c r="L167" s="3">
        <v>25</v>
      </c>
      <c r="M167" s="3">
        <v>94</v>
      </c>
      <c r="N167" s="3">
        <v>8</v>
      </c>
      <c r="O167" s="3">
        <v>1</v>
      </c>
      <c r="P167" s="3">
        <v>39</v>
      </c>
      <c r="Q167" s="3">
        <v>93</v>
      </c>
      <c r="R167" s="3" t="s">
        <v>35</v>
      </c>
      <c r="S167" s="3" t="s">
        <v>31</v>
      </c>
      <c r="T167" s="3" t="s">
        <v>28</v>
      </c>
      <c r="U167" s="3" t="s">
        <v>37</v>
      </c>
      <c r="V167" s="3" t="s">
        <v>39</v>
      </c>
      <c r="W167" s="3" t="s">
        <v>41</v>
      </c>
      <c r="X167" s="6">
        <f t="shared" si="14"/>
        <v>0.29774127310061604</v>
      </c>
      <c r="Y167" s="6">
        <f t="shared" si="15"/>
        <v>0.36116152450090744</v>
      </c>
      <c r="Z167" s="6">
        <f t="shared" si="16"/>
        <v>0.53593429158110883</v>
      </c>
      <c r="AA167" s="6">
        <f t="shared" si="17"/>
        <v>0.89709581608201627</v>
      </c>
      <c r="AB167" s="6">
        <f t="shared" si="18"/>
        <v>7.4144486692015205E-2</v>
      </c>
      <c r="AC167" s="6">
        <f t="shared" si="19"/>
        <v>0.16034482758620688</v>
      </c>
      <c r="AD167" s="6">
        <f t="shared" si="20"/>
        <v>0.23819301848049279</v>
      </c>
    </row>
    <row r="168" spans="1:30" x14ac:dyDescent="0.2">
      <c r="A168" s="2" t="s">
        <v>249</v>
      </c>
      <c r="B168" s="2">
        <v>2011</v>
      </c>
      <c r="C168" s="2">
        <v>1</v>
      </c>
      <c r="D168" s="2" t="s">
        <v>60</v>
      </c>
      <c r="E168" s="2" t="s">
        <v>3</v>
      </c>
      <c r="F168" s="2">
        <v>124</v>
      </c>
      <c r="G168" s="2">
        <v>446</v>
      </c>
      <c r="H168" s="2">
        <v>83</v>
      </c>
      <c r="I168" s="2">
        <v>132</v>
      </c>
      <c r="J168" s="2">
        <v>36</v>
      </c>
      <c r="K168" s="2">
        <v>0</v>
      </c>
      <c r="L168" s="2">
        <v>22</v>
      </c>
      <c r="M168" s="2">
        <v>75</v>
      </c>
      <c r="N168" s="2">
        <v>2</v>
      </c>
      <c r="O168" s="2">
        <v>1</v>
      </c>
      <c r="P168" s="2">
        <v>60</v>
      </c>
      <c r="Q168" s="2">
        <v>93</v>
      </c>
      <c r="R168" s="2" t="s">
        <v>33</v>
      </c>
      <c r="S168" s="2" t="s">
        <v>39</v>
      </c>
      <c r="T168" s="2" t="s">
        <v>28</v>
      </c>
      <c r="U168" s="2" t="s">
        <v>31</v>
      </c>
      <c r="V168" s="2" t="s">
        <v>49</v>
      </c>
      <c r="W168" s="2" t="s">
        <v>41</v>
      </c>
      <c r="X168" s="6">
        <f t="shared" si="14"/>
        <v>0.29596412556053814</v>
      </c>
      <c r="Y168" s="6">
        <f t="shared" si="15"/>
        <v>0.3923076923076923</v>
      </c>
      <c r="Z168" s="6">
        <f t="shared" si="16"/>
        <v>0.5246636771300448</v>
      </c>
      <c r="AA168" s="6">
        <f t="shared" si="17"/>
        <v>0.91697136943773705</v>
      </c>
      <c r="AB168" s="6">
        <f t="shared" si="18"/>
        <v>0.11857707509881422</v>
      </c>
      <c r="AC168" s="6">
        <f t="shared" si="19"/>
        <v>0.17254174397031541</v>
      </c>
      <c r="AD168" s="6">
        <f t="shared" si="20"/>
        <v>0.22869955156950666</v>
      </c>
    </row>
    <row r="169" spans="1:30" x14ac:dyDescent="0.2">
      <c r="A169" s="3" t="s">
        <v>268</v>
      </c>
      <c r="B169" s="3">
        <v>2011</v>
      </c>
      <c r="C169" s="3">
        <v>1</v>
      </c>
      <c r="D169" s="3" t="s">
        <v>80</v>
      </c>
      <c r="E169" s="3" t="s">
        <v>3</v>
      </c>
      <c r="F169" s="3">
        <v>161</v>
      </c>
      <c r="G169" s="3">
        <v>602</v>
      </c>
      <c r="H169" s="3">
        <v>115</v>
      </c>
      <c r="I169" s="3">
        <v>195</v>
      </c>
      <c r="J169" s="3">
        <v>33</v>
      </c>
      <c r="K169" s="3">
        <v>4</v>
      </c>
      <c r="L169" s="3">
        <v>39</v>
      </c>
      <c r="M169" s="3">
        <v>126</v>
      </c>
      <c r="N169" s="3">
        <v>40</v>
      </c>
      <c r="O169" s="3">
        <v>11</v>
      </c>
      <c r="P169" s="3">
        <v>74</v>
      </c>
      <c r="Q169" s="3">
        <v>159</v>
      </c>
      <c r="R169" s="3" t="s">
        <v>57</v>
      </c>
      <c r="S169" s="3" t="s">
        <v>36</v>
      </c>
      <c r="T169" s="3" t="s">
        <v>28</v>
      </c>
      <c r="U169" s="3" t="s">
        <v>41</v>
      </c>
      <c r="V169" s="3" t="s">
        <v>50</v>
      </c>
      <c r="W169" s="3" t="s">
        <v>39</v>
      </c>
      <c r="X169" s="6">
        <f t="shared" si="14"/>
        <v>0.32392026578073091</v>
      </c>
      <c r="Y169" s="6">
        <f t="shared" si="15"/>
        <v>0.41935483870967744</v>
      </c>
      <c r="Z169" s="6">
        <f t="shared" si="16"/>
        <v>0.58637873754152825</v>
      </c>
      <c r="AA169" s="6">
        <f t="shared" si="17"/>
        <v>1.0057335762512056</v>
      </c>
      <c r="AB169" s="6">
        <f t="shared" si="18"/>
        <v>0.10946745562130178</v>
      </c>
      <c r="AC169" s="6">
        <f t="shared" si="19"/>
        <v>0.20893561103810776</v>
      </c>
      <c r="AD169" s="6">
        <f t="shared" si="20"/>
        <v>0.26245847176079734</v>
      </c>
    </row>
    <row r="170" spans="1:30" x14ac:dyDescent="0.2">
      <c r="A170" s="2" t="s">
        <v>261</v>
      </c>
      <c r="B170" s="2">
        <v>2011</v>
      </c>
      <c r="C170" s="2">
        <v>1</v>
      </c>
      <c r="D170" s="2" t="s">
        <v>85</v>
      </c>
      <c r="E170" s="2" t="s">
        <v>3</v>
      </c>
      <c r="F170" s="2">
        <v>128</v>
      </c>
      <c r="G170" s="2">
        <v>466</v>
      </c>
      <c r="H170" s="2">
        <v>51</v>
      </c>
      <c r="I170" s="2">
        <v>126</v>
      </c>
      <c r="J170" s="2">
        <v>19</v>
      </c>
      <c r="K170" s="2">
        <v>0</v>
      </c>
      <c r="L170" s="2">
        <v>24</v>
      </c>
      <c r="M170" s="2">
        <v>71</v>
      </c>
      <c r="N170" s="2">
        <v>3</v>
      </c>
      <c r="O170" s="2">
        <v>2</v>
      </c>
      <c r="P170" s="2">
        <v>57</v>
      </c>
      <c r="Q170" s="2">
        <v>89</v>
      </c>
      <c r="R170" s="2" t="s">
        <v>43</v>
      </c>
      <c r="S170" s="2" t="s">
        <v>31</v>
      </c>
      <c r="T170" s="2" t="s">
        <v>28</v>
      </c>
      <c r="U170" s="2" t="s">
        <v>31</v>
      </c>
      <c r="V170" s="2" t="s">
        <v>37</v>
      </c>
      <c r="W170" s="2" t="s">
        <v>31</v>
      </c>
      <c r="X170" s="6">
        <f t="shared" si="14"/>
        <v>0.27038626609442062</v>
      </c>
      <c r="Y170" s="6">
        <f t="shared" si="15"/>
        <v>0.36783733826247689</v>
      </c>
      <c r="Z170" s="6">
        <f t="shared" si="16"/>
        <v>0.46566523605150212</v>
      </c>
      <c r="AA170" s="6">
        <f t="shared" si="17"/>
        <v>0.83350257431397901</v>
      </c>
      <c r="AB170" s="6">
        <f t="shared" si="18"/>
        <v>0.10898661567877629</v>
      </c>
      <c r="AC170" s="6">
        <f t="shared" si="19"/>
        <v>0.16036036036036036</v>
      </c>
      <c r="AD170" s="6">
        <f t="shared" si="20"/>
        <v>0.19527896995708149</v>
      </c>
    </row>
    <row r="171" spans="1:30" x14ac:dyDescent="0.2">
      <c r="A171" s="3" t="s">
        <v>198</v>
      </c>
      <c r="B171" s="3">
        <v>2011</v>
      </c>
      <c r="C171" s="3">
        <v>1</v>
      </c>
      <c r="D171" s="3" t="s">
        <v>68</v>
      </c>
      <c r="E171" s="3" t="s">
        <v>6</v>
      </c>
      <c r="F171" s="3">
        <v>146</v>
      </c>
      <c r="G171" s="3">
        <v>525</v>
      </c>
      <c r="H171" s="3">
        <v>84</v>
      </c>
      <c r="I171" s="3">
        <v>162</v>
      </c>
      <c r="J171" s="3">
        <v>40</v>
      </c>
      <c r="K171" s="3">
        <v>1</v>
      </c>
      <c r="L171" s="3">
        <v>29</v>
      </c>
      <c r="M171" s="3">
        <v>96</v>
      </c>
      <c r="N171" s="3">
        <v>1</v>
      </c>
      <c r="O171" s="3">
        <v>1</v>
      </c>
      <c r="P171" s="3">
        <v>78</v>
      </c>
      <c r="Q171" s="3">
        <v>83</v>
      </c>
      <c r="R171" s="3" t="s">
        <v>38</v>
      </c>
      <c r="S171" s="3" t="s">
        <v>30</v>
      </c>
      <c r="T171" s="3" t="s">
        <v>28</v>
      </c>
      <c r="U171" s="3" t="s">
        <v>30</v>
      </c>
      <c r="V171" s="3" t="s">
        <v>57</v>
      </c>
      <c r="W171" s="3" t="s">
        <v>28</v>
      </c>
      <c r="X171" s="6">
        <f t="shared" si="14"/>
        <v>0.30857142857142855</v>
      </c>
      <c r="Y171" s="6">
        <f t="shared" si="15"/>
        <v>0.41004862236628847</v>
      </c>
      <c r="Z171" s="6">
        <f t="shared" si="16"/>
        <v>0.55428571428571427</v>
      </c>
      <c r="AA171" s="6">
        <f t="shared" si="17"/>
        <v>0.96433433665200274</v>
      </c>
      <c r="AB171" s="6">
        <f t="shared" si="18"/>
        <v>0.12935323383084577</v>
      </c>
      <c r="AC171" s="6">
        <f t="shared" si="19"/>
        <v>0.13651315789473684</v>
      </c>
      <c r="AD171" s="6">
        <f t="shared" si="20"/>
        <v>0.24571428571428572</v>
      </c>
    </row>
    <row r="172" spans="1:30" x14ac:dyDescent="0.2">
      <c r="A172" s="2" t="s">
        <v>190</v>
      </c>
      <c r="B172" s="2">
        <v>2011</v>
      </c>
      <c r="C172" s="2">
        <v>1</v>
      </c>
      <c r="D172" s="2" t="s">
        <v>53</v>
      </c>
      <c r="E172" s="2" t="s">
        <v>3</v>
      </c>
      <c r="F172" s="2">
        <v>65</v>
      </c>
      <c r="G172" s="2">
        <v>252</v>
      </c>
      <c r="H172" s="2">
        <v>31</v>
      </c>
      <c r="I172" s="2">
        <v>61</v>
      </c>
      <c r="J172" s="2">
        <v>20</v>
      </c>
      <c r="K172" s="2">
        <v>2</v>
      </c>
      <c r="L172" s="2">
        <v>5</v>
      </c>
      <c r="M172" s="2">
        <v>36</v>
      </c>
      <c r="N172" s="2">
        <v>1</v>
      </c>
      <c r="O172" s="2">
        <v>0</v>
      </c>
      <c r="P172" s="2">
        <v>10</v>
      </c>
      <c r="Q172" s="2">
        <v>36</v>
      </c>
      <c r="R172" s="2" t="s">
        <v>28</v>
      </c>
      <c r="S172" s="2" t="s">
        <v>33</v>
      </c>
      <c r="T172" s="2" t="s">
        <v>28</v>
      </c>
      <c r="U172" s="2" t="s">
        <v>34</v>
      </c>
      <c r="V172" s="2" t="s">
        <v>33</v>
      </c>
      <c r="W172" s="2" t="s">
        <v>32</v>
      </c>
      <c r="X172" s="6">
        <f t="shared" si="14"/>
        <v>0.24206349206349206</v>
      </c>
      <c r="Y172" s="6">
        <f t="shared" si="15"/>
        <v>0.27881040892193309</v>
      </c>
      <c r="Z172" s="6">
        <f t="shared" si="16"/>
        <v>0.3968253968253968</v>
      </c>
      <c r="AA172" s="6">
        <f t="shared" si="17"/>
        <v>0.67563580574732995</v>
      </c>
      <c r="AB172" s="6">
        <f t="shared" si="18"/>
        <v>3.8167938931297711E-2</v>
      </c>
      <c r="AC172" s="6">
        <f t="shared" si="19"/>
        <v>0.125</v>
      </c>
      <c r="AD172" s="6">
        <f t="shared" si="20"/>
        <v>0.15476190476190474</v>
      </c>
    </row>
    <row r="173" spans="1:30" x14ac:dyDescent="0.2">
      <c r="A173" s="3" t="s">
        <v>273</v>
      </c>
      <c r="B173" s="3">
        <v>2011</v>
      </c>
      <c r="C173" s="3">
        <v>1</v>
      </c>
      <c r="D173" s="3" t="s">
        <v>164</v>
      </c>
      <c r="E173" s="3" t="s">
        <v>3</v>
      </c>
      <c r="F173" s="3">
        <v>143</v>
      </c>
      <c r="G173" s="3">
        <v>537</v>
      </c>
      <c r="H173" s="3">
        <v>81</v>
      </c>
      <c r="I173" s="3">
        <v>162</v>
      </c>
      <c r="J173" s="3">
        <v>36</v>
      </c>
      <c r="K173" s="3">
        <v>2</v>
      </c>
      <c r="L173" s="3">
        <v>30</v>
      </c>
      <c r="M173" s="3">
        <v>105</v>
      </c>
      <c r="N173" s="3">
        <v>9</v>
      </c>
      <c r="O173" s="3">
        <v>3</v>
      </c>
      <c r="P173" s="3">
        <v>59</v>
      </c>
      <c r="Q173" s="3">
        <v>79</v>
      </c>
      <c r="R173" s="3" t="s">
        <v>38</v>
      </c>
      <c r="S173" s="3" t="s">
        <v>33</v>
      </c>
      <c r="T173" s="3" t="s">
        <v>30</v>
      </c>
      <c r="U173" s="3" t="s">
        <v>32</v>
      </c>
      <c r="V173" s="3" t="s">
        <v>50</v>
      </c>
      <c r="W173" s="3" t="s">
        <v>36</v>
      </c>
      <c r="X173" s="6">
        <f t="shared" si="14"/>
        <v>0.3016759776536313</v>
      </c>
      <c r="Y173" s="6">
        <f t="shared" si="15"/>
        <v>0.3841166936790924</v>
      </c>
      <c r="Z173" s="6">
        <f t="shared" si="16"/>
        <v>0.54376163873370575</v>
      </c>
      <c r="AA173" s="6">
        <f t="shared" si="17"/>
        <v>0.92787833241279816</v>
      </c>
      <c r="AB173" s="6">
        <f t="shared" si="18"/>
        <v>9.8993288590604023E-2</v>
      </c>
      <c r="AC173" s="6">
        <f t="shared" si="19"/>
        <v>0.12824675324675325</v>
      </c>
      <c r="AD173" s="6">
        <f t="shared" si="20"/>
        <v>0.24208566108007445</v>
      </c>
    </row>
    <row r="174" spans="1:30" x14ac:dyDescent="0.2">
      <c r="A174" s="2" t="s">
        <v>275</v>
      </c>
      <c r="B174" s="2">
        <v>2011</v>
      </c>
      <c r="C174" s="2">
        <v>1</v>
      </c>
      <c r="D174" s="2" t="s">
        <v>2</v>
      </c>
      <c r="E174" s="2" t="s">
        <v>6</v>
      </c>
      <c r="F174" s="2">
        <v>33</v>
      </c>
      <c r="G174" s="2">
        <v>4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1</v>
      </c>
      <c r="R174" s="2" t="s">
        <v>28</v>
      </c>
      <c r="S174" s="2" t="s">
        <v>28</v>
      </c>
      <c r="T174" s="2" t="s">
        <v>28</v>
      </c>
      <c r="U174" s="2" t="s">
        <v>28</v>
      </c>
      <c r="V174" s="2" t="s">
        <v>28</v>
      </c>
      <c r="W174" s="2" t="s">
        <v>30</v>
      </c>
      <c r="X174" s="6">
        <f t="shared" si="14"/>
        <v>0</v>
      </c>
      <c r="Y174" s="6">
        <f t="shared" si="15"/>
        <v>0</v>
      </c>
      <c r="Z174" s="6">
        <f t="shared" si="16"/>
        <v>0</v>
      </c>
      <c r="AA174" s="6">
        <f t="shared" si="17"/>
        <v>0</v>
      </c>
      <c r="AB174" s="6">
        <f t="shared" si="18"/>
        <v>0</v>
      </c>
      <c r="AC174" s="6">
        <f t="shared" si="19"/>
        <v>0.2</v>
      </c>
      <c r="AD174" s="6">
        <f t="shared" si="20"/>
        <v>0</v>
      </c>
    </row>
    <row r="175" spans="1:30" x14ac:dyDescent="0.2">
      <c r="A175" s="3" t="s">
        <v>243</v>
      </c>
      <c r="B175" s="3">
        <v>2011</v>
      </c>
      <c r="C175" s="3">
        <v>1</v>
      </c>
      <c r="D175" s="3" t="s">
        <v>204</v>
      </c>
      <c r="E175" s="3" t="s">
        <v>3</v>
      </c>
      <c r="F175" s="3">
        <v>118</v>
      </c>
      <c r="G175" s="3">
        <v>453</v>
      </c>
      <c r="H175" s="3">
        <v>77</v>
      </c>
      <c r="I175" s="3">
        <v>122</v>
      </c>
      <c r="J175" s="3">
        <v>26</v>
      </c>
      <c r="K175" s="3">
        <v>2</v>
      </c>
      <c r="L175" s="3">
        <v>20</v>
      </c>
      <c r="M175" s="3">
        <v>49</v>
      </c>
      <c r="N175" s="3">
        <v>9</v>
      </c>
      <c r="O175" s="3">
        <v>2</v>
      </c>
      <c r="P175" s="3">
        <v>50</v>
      </c>
      <c r="Q175" s="3">
        <v>107</v>
      </c>
      <c r="R175" s="3" t="s">
        <v>34</v>
      </c>
      <c r="S175" s="3" t="s">
        <v>39</v>
      </c>
      <c r="T175" s="3" t="s">
        <v>30</v>
      </c>
      <c r="U175" s="3" t="s">
        <v>34</v>
      </c>
      <c r="V175" s="3" t="s">
        <v>36</v>
      </c>
      <c r="W175" s="3" t="s">
        <v>33</v>
      </c>
      <c r="X175" s="6">
        <f t="shared" si="14"/>
        <v>0.26931567328918321</v>
      </c>
      <c r="Y175" s="6">
        <f t="shared" si="15"/>
        <v>0.35396518375241781</v>
      </c>
      <c r="Z175" s="6">
        <f t="shared" si="16"/>
        <v>0.46799116997792495</v>
      </c>
      <c r="AA175" s="6">
        <f t="shared" si="17"/>
        <v>0.8219563537303427</v>
      </c>
      <c r="AB175" s="6">
        <f t="shared" si="18"/>
        <v>9.9403578528827044E-2</v>
      </c>
      <c r="AC175" s="6">
        <f t="shared" si="19"/>
        <v>0.19107142857142856</v>
      </c>
      <c r="AD175" s="6">
        <f t="shared" si="20"/>
        <v>0.19867549668874174</v>
      </c>
    </row>
    <row r="176" spans="1:30" x14ac:dyDescent="0.2">
      <c r="A176" s="2" t="s">
        <v>244</v>
      </c>
      <c r="B176" s="2">
        <v>2012</v>
      </c>
      <c r="C176" s="2">
        <v>1</v>
      </c>
      <c r="D176" s="2" t="s">
        <v>92</v>
      </c>
      <c r="E176" s="2" t="s">
        <v>6</v>
      </c>
      <c r="F176" s="2">
        <v>92</v>
      </c>
      <c r="G176" s="2">
        <v>332</v>
      </c>
      <c r="H176" s="2">
        <v>64</v>
      </c>
      <c r="I176" s="2">
        <v>80</v>
      </c>
      <c r="J176" s="2">
        <v>14</v>
      </c>
      <c r="K176" s="2">
        <v>0</v>
      </c>
      <c r="L176" s="2">
        <v>27</v>
      </c>
      <c r="M176" s="2">
        <v>65</v>
      </c>
      <c r="N176" s="2">
        <v>5</v>
      </c>
      <c r="O176" s="2">
        <v>2</v>
      </c>
      <c r="P176" s="2">
        <v>59</v>
      </c>
      <c r="Q176" s="2">
        <v>63</v>
      </c>
      <c r="R176" s="2" t="s">
        <v>31</v>
      </c>
      <c r="S176" s="2" t="s">
        <v>33</v>
      </c>
      <c r="T176" s="2" t="s">
        <v>28</v>
      </c>
      <c r="U176" s="2" t="s">
        <v>33</v>
      </c>
      <c r="V176" s="2" t="s">
        <v>40</v>
      </c>
      <c r="W176" s="2" t="s">
        <v>42</v>
      </c>
      <c r="X176" s="6">
        <f t="shared" si="14"/>
        <v>0.24096385542168675</v>
      </c>
      <c r="Y176" s="6">
        <f t="shared" si="15"/>
        <v>0.36159600997506236</v>
      </c>
      <c r="Z176" s="6">
        <f t="shared" si="16"/>
        <v>0.52710843373493976</v>
      </c>
      <c r="AA176" s="6">
        <f t="shared" si="17"/>
        <v>0.88870444371000212</v>
      </c>
      <c r="AB176" s="6">
        <f t="shared" si="18"/>
        <v>0.15089514066496162</v>
      </c>
      <c r="AC176" s="6">
        <f t="shared" si="19"/>
        <v>0.15949367088607594</v>
      </c>
      <c r="AD176" s="6">
        <f t="shared" si="20"/>
        <v>0.28614457831325302</v>
      </c>
    </row>
    <row r="177" spans="1:30" x14ac:dyDescent="0.2">
      <c r="A177" s="3" t="s">
        <v>205</v>
      </c>
      <c r="B177" s="3">
        <v>2012</v>
      </c>
      <c r="C177" s="3">
        <v>1</v>
      </c>
      <c r="D177" s="3" t="s">
        <v>90</v>
      </c>
      <c r="E177" s="3" t="s">
        <v>6</v>
      </c>
      <c r="F177" s="3">
        <v>156</v>
      </c>
      <c r="G177" s="3">
        <v>604</v>
      </c>
      <c r="H177" s="3">
        <v>95</v>
      </c>
      <c r="I177" s="3">
        <v>194</v>
      </c>
      <c r="J177" s="3">
        <v>33</v>
      </c>
      <c r="K177" s="3">
        <v>2</v>
      </c>
      <c r="L177" s="3">
        <v>36</v>
      </c>
      <c r="M177" s="3">
        <v>102</v>
      </c>
      <c r="N177" s="3">
        <v>1</v>
      </c>
      <c r="O177" s="3">
        <v>0</v>
      </c>
      <c r="P177" s="3">
        <v>36</v>
      </c>
      <c r="Q177" s="3">
        <v>82</v>
      </c>
      <c r="R177" s="3" t="s">
        <v>39</v>
      </c>
      <c r="S177" s="3" t="s">
        <v>32</v>
      </c>
      <c r="T177" s="3" t="s">
        <v>28</v>
      </c>
      <c r="U177" s="3" t="s">
        <v>42</v>
      </c>
      <c r="V177" s="3" t="s">
        <v>39</v>
      </c>
      <c r="W177" s="3" t="s">
        <v>32</v>
      </c>
      <c r="X177" s="6">
        <f t="shared" si="14"/>
        <v>0.32119205298013243</v>
      </c>
      <c r="Y177" s="6">
        <f t="shared" si="15"/>
        <v>0.36706948640483383</v>
      </c>
      <c r="Z177" s="6">
        <f t="shared" si="16"/>
        <v>0.5612582781456954</v>
      </c>
      <c r="AA177" s="6">
        <f t="shared" si="17"/>
        <v>0.92832776455052923</v>
      </c>
      <c r="AB177" s="6">
        <f t="shared" si="18"/>
        <v>5.6250000000000001E-2</v>
      </c>
      <c r="AC177" s="6">
        <f t="shared" si="19"/>
        <v>0.119533527696793</v>
      </c>
      <c r="AD177" s="6">
        <f t="shared" si="20"/>
        <v>0.24006622516556297</v>
      </c>
    </row>
    <row r="178" spans="1:30" x14ac:dyDescent="0.2">
      <c r="A178" s="2" t="s">
        <v>206</v>
      </c>
      <c r="B178" s="2">
        <v>2012</v>
      </c>
      <c r="C178" s="2">
        <v>1</v>
      </c>
      <c r="D178" s="2" t="s">
        <v>60</v>
      </c>
      <c r="E178" s="2" t="s">
        <v>3</v>
      </c>
      <c r="F178" s="2">
        <v>151</v>
      </c>
      <c r="G178" s="2">
        <v>547</v>
      </c>
      <c r="H178" s="2">
        <v>83</v>
      </c>
      <c r="I178" s="2">
        <v>147</v>
      </c>
      <c r="J178" s="2">
        <v>26</v>
      </c>
      <c r="K178" s="2">
        <v>1</v>
      </c>
      <c r="L178" s="2">
        <v>32</v>
      </c>
      <c r="M178" s="2">
        <v>97</v>
      </c>
      <c r="N178" s="2">
        <v>13</v>
      </c>
      <c r="O178" s="2">
        <v>6</v>
      </c>
      <c r="P178" s="2">
        <v>65</v>
      </c>
      <c r="Q178" s="2">
        <v>124</v>
      </c>
      <c r="R178" s="2" t="s">
        <v>44</v>
      </c>
      <c r="S178" s="2" t="s">
        <v>31</v>
      </c>
      <c r="T178" s="2" t="s">
        <v>30</v>
      </c>
      <c r="U178" s="2" t="s">
        <v>33</v>
      </c>
      <c r="V178" s="2" t="s">
        <v>42</v>
      </c>
      <c r="W178" s="2" t="s">
        <v>42</v>
      </c>
      <c r="X178" s="6">
        <f t="shared" si="14"/>
        <v>0.26873857404021939</v>
      </c>
      <c r="Y178" s="6">
        <f t="shared" si="15"/>
        <v>0.3617693522906793</v>
      </c>
      <c r="Z178" s="6">
        <f t="shared" si="16"/>
        <v>0.49542961608775138</v>
      </c>
      <c r="AA178" s="6">
        <f t="shared" si="17"/>
        <v>0.85719896837843068</v>
      </c>
      <c r="AB178" s="6">
        <f t="shared" si="18"/>
        <v>0.10620915032679738</v>
      </c>
      <c r="AC178" s="6">
        <f t="shared" si="19"/>
        <v>0.18479880774962743</v>
      </c>
      <c r="AD178" s="6">
        <f t="shared" si="20"/>
        <v>0.22669104204753199</v>
      </c>
    </row>
    <row r="179" spans="1:30" x14ac:dyDescent="0.2">
      <c r="A179" s="3" t="s">
        <v>276</v>
      </c>
      <c r="B179" s="3">
        <v>2012</v>
      </c>
      <c r="C179" s="3">
        <v>1</v>
      </c>
      <c r="D179" s="3" t="s">
        <v>204</v>
      </c>
      <c r="E179" s="3" t="s">
        <v>3</v>
      </c>
      <c r="F179" s="3">
        <v>154</v>
      </c>
      <c r="G179" s="3">
        <v>598</v>
      </c>
      <c r="H179" s="3">
        <v>108</v>
      </c>
      <c r="I179" s="3">
        <v>191</v>
      </c>
      <c r="J179" s="3">
        <v>36</v>
      </c>
      <c r="K179" s="3">
        <v>3</v>
      </c>
      <c r="L179" s="3">
        <v>41</v>
      </c>
      <c r="M179" s="3">
        <v>112</v>
      </c>
      <c r="N179" s="3">
        <v>30</v>
      </c>
      <c r="O179" s="3">
        <v>7</v>
      </c>
      <c r="P179" s="3">
        <v>63</v>
      </c>
      <c r="Q179" s="3">
        <v>128</v>
      </c>
      <c r="R179" s="3" t="s">
        <v>44</v>
      </c>
      <c r="S179" s="3" t="s">
        <v>40</v>
      </c>
      <c r="T179" s="3" t="s">
        <v>28</v>
      </c>
      <c r="U179" s="3" t="s">
        <v>32</v>
      </c>
      <c r="V179" s="3" t="s">
        <v>38</v>
      </c>
      <c r="W179" s="3" t="s">
        <v>41</v>
      </c>
      <c r="X179" s="6">
        <f t="shared" si="14"/>
        <v>0.3193979933110368</v>
      </c>
      <c r="Y179" s="6">
        <f t="shared" si="15"/>
        <v>0.40462427745664742</v>
      </c>
      <c r="Z179" s="6">
        <f t="shared" si="16"/>
        <v>0.59531772575250841</v>
      </c>
      <c r="AA179" s="6">
        <f t="shared" si="17"/>
        <v>0.99994200320915583</v>
      </c>
      <c r="AB179" s="6">
        <f t="shared" si="18"/>
        <v>9.5310136157337369E-2</v>
      </c>
      <c r="AC179" s="6">
        <f t="shared" si="19"/>
        <v>0.17630853994490359</v>
      </c>
      <c r="AD179" s="6">
        <f t="shared" si="20"/>
        <v>0.27591973244147161</v>
      </c>
    </row>
    <row r="180" spans="1:30" x14ac:dyDescent="0.2">
      <c r="A180" s="2" t="s">
        <v>255</v>
      </c>
      <c r="B180" s="2">
        <v>2012</v>
      </c>
      <c r="C180" s="2">
        <v>1</v>
      </c>
      <c r="D180" s="2" t="s">
        <v>79</v>
      </c>
      <c r="E180" s="2" t="s">
        <v>3</v>
      </c>
      <c r="F180" s="2">
        <v>113</v>
      </c>
      <c r="G180" s="2">
        <v>459</v>
      </c>
      <c r="H180" s="2">
        <v>84</v>
      </c>
      <c r="I180" s="2">
        <v>159</v>
      </c>
      <c r="J180" s="2">
        <v>25</v>
      </c>
      <c r="K180" s="2">
        <v>10</v>
      </c>
      <c r="L180" s="2">
        <v>11</v>
      </c>
      <c r="M180" s="2">
        <v>60</v>
      </c>
      <c r="N180" s="2">
        <v>13</v>
      </c>
      <c r="O180" s="2">
        <v>5</v>
      </c>
      <c r="P180" s="2">
        <v>36</v>
      </c>
      <c r="Q180" s="2">
        <v>63</v>
      </c>
      <c r="R180" s="2" t="s">
        <v>33</v>
      </c>
      <c r="S180" s="2" t="s">
        <v>28</v>
      </c>
      <c r="T180" s="2" t="s">
        <v>30</v>
      </c>
      <c r="U180" s="2" t="s">
        <v>32</v>
      </c>
      <c r="V180" s="2" t="s">
        <v>39</v>
      </c>
      <c r="W180" s="2" t="s">
        <v>39</v>
      </c>
      <c r="X180" s="6">
        <f t="shared" si="14"/>
        <v>0.34640522875816993</v>
      </c>
      <c r="Y180" s="6">
        <f t="shared" si="15"/>
        <v>0.39484126984126983</v>
      </c>
      <c r="Z180" s="6">
        <f t="shared" si="16"/>
        <v>0.5163398692810458</v>
      </c>
      <c r="AA180" s="6">
        <f t="shared" si="17"/>
        <v>0.91118113912231569</v>
      </c>
      <c r="AB180" s="6">
        <f t="shared" si="18"/>
        <v>7.2727272727272724E-2</v>
      </c>
      <c r="AC180" s="6">
        <f t="shared" si="19"/>
        <v>0.1206896551724138</v>
      </c>
      <c r="AD180" s="6">
        <f t="shared" si="20"/>
        <v>0.16993464052287588</v>
      </c>
    </row>
    <row r="181" spans="1:30" x14ac:dyDescent="0.2">
      <c r="A181" s="3" t="s">
        <v>256</v>
      </c>
      <c r="B181" s="3">
        <v>2012</v>
      </c>
      <c r="C181" s="3">
        <v>1</v>
      </c>
      <c r="D181" s="3" t="s">
        <v>79</v>
      </c>
      <c r="E181" s="3" t="s">
        <v>3</v>
      </c>
      <c r="F181" s="3">
        <v>35</v>
      </c>
      <c r="G181" s="3">
        <v>74</v>
      </c>
      <c r="H181" s="3">
        <v>6</v>
      </c>
      <c r="I181" s="3">
        <v>13</v>
      </c>
      <c r="J181" s="3">
        <v>2</v>
      </c>
      <c r="K181" s="3">
        <v>0</v>
      </c>
      <c r="L181" s="3">
        <v>1</v>
      </c>
      <c r="M181" s="3">
        <v>6</v>
      </c>
      <c r="N181" s="3">
        <v>0</v>
      </c>
      <c r="O181" s="3">
        <v>0</v>
      </c>
      <c r="P181" s="3">
        <v>2</v>
      </c>
      <c r="Q181" s="3">
        <v>33</v>
      </c>
      <c r="R181" s="3" t="s">
        <v>28</v>
      </c>
      <c r="S181" s="3" t="s">
        <v>28</v>
      </c>
      <c r="T181" s="3" t="s">
        <v>39</v>
      </c>
      <c r="U181" s="3" t="s">
        <v>28</v>
      </c>
      <c r="V181" s="3" t="s">
        <v>28</v>
      </c>
      <c r="W181" s="3" t="s">
        <v>30</v>
      </c>
      <c r="X181" s="6">
        <f t="shared" si="14"/>
        <v>0.17567567567567569</v>
      </c>
      <c r="Y181" s="6">
        <f t="shared" si="15"/>
        <v>0.19736842105263158</v>
      </c>
      <c r="Z181" s="6">
        <f t="shared" si="16"/>
        <v>0.24324324324324326</v>
      </c>
      <c r="AA181" s="6">
        <f t="shared" si="17"/>
        <v>0.44061166429587484</v>
      </c>
      <c r="AB181" s="6">
        <f t="shared" si="18"/>
        <v>2.6315789473684209E-2</v>
      </c>
      <c r="AC181" s="6">
        <f t="shared" si="19"/>
        <v>0.30841121495327101</v>
      </c>
      <c r="AD181" s="6">
        <f t="shared" si="20"/>
        <v>6.7567567567567571E-2</v>
      </c>
    </row>
    <row r="182" spans="1:30" x14ac:dyDescent="0.2">
      <c r="A182" s="2" t="s">
        <v>257</v>
      </c>
      <c r="B182" s="2">
        <v>2012</v>
      </c>
      <c r="C182" s="2">
        <v>1</v>
      </c>
      <c r="D182" s="2" t="s">
        <v>71</v>
      </c>
      <c r="E182" s="2" t="s">
        <v>6</v>
      </c>
      <c r="F182" s="2">
        <v>161</v>
      </c>
      <c r="G182" s="2">
        <v>627</v>
      </c>
      <c r="H182" s="2">
        <v>105</v>
      </c>
      <c r="I182" s="2">
        <v>196</v>
      </c>
      <c r="J182" s="2">
        <v>48</v>
      </c>
      <c r="K182" s="2">
        <v>1</v>
      </c>
      <c r="L182" s="2">
        <v>33</v>
      </c>
      <c r="M182" s="2">
        <v>94</v>
      </c>
      <c r="N182" s="2">
        <v>3</v>
      </c>
      <c r="O182" s="2">
        <v>2</v>
      </c>
      <c r="P182" s="2">
        <v>61</v>
      </c>
      <c r="Q182" s="2">
        <v>96</v>
      </c>
      <c r="R182" s="2" t="s">
        <v>37</v>
      </c>
      <c r="S182" s="2" t="s">
        <v>41</v>
      </c>
      <c r="T182" s="2" t="s">
        <v>28</v>
      </c>
      <c r="U182" s="2" t="s">
        <v>31</v>
      </c>
      <c r="V182" s="2" t="s">
        <v>64</v>
      </c>
      <c r="W182" s="2" t="s">
        <v>33</v>
      </c>
      <c r="X182" s="6">
        <f t="shared" si="14"/>
        <v>0.31259968102073366</v>
      </c>
      <c r="Y182" s="6">
        <f t="shared" si="15"/>
        <v>0.38755304101838756</v>
      </c>
      <c r="Z182" s="6">
        <f t="shared" si="16"/>
        <v>0.55023923444976075</v>
      </c>
      <c r="AA182" s="6">
        <f t="shared" si="17"/>
        <v>0.93779227546814825</v>
      </c>
      <c r="AB182" s="6">
        <f t="shared" si="18"/>
        <v>8.8662790697674423E-2</v>
      </c>
      <c r="AC182" s="6">
        <f t="shared" si="19"/>
        <v>0.13278008298755187</v>
      </c>
      <c r="AD182" s="6">
        <f t="shared" si="20"/>
        <v>0.23763955342902709</v>
      </c>
    </row>
    <row r="183" spans="1:30" x14ac:dyDescent="0.2">
      <c r="A183" s="3" t="s">
        <v>258</v>
      </c>
      <c r="B183" s="3">
        <v>2012</v>
      </c>
      <c r="C183" s="3">
        <v>1</v>
      </c>
      <c r="D183" s="3" t="s">
        <v>67</v>
      </c>
      <c r="E183" s="3" t="s">
        <v>6</v>
      </c>
      <c r="F183" s="3">
        <v>162</v>
      </c>
      <c r="G183" s="3">
        <v>581</v>
      </c>
      <c r="H183" s="3">
        <v>83</v>
      </c>
      <c r="I183" s="3">
        <v>182</v>
      </c>
      <c r="J183" s="3">
        <v>33</v>
      </c>
      <c r="K183" s="3">
        <v>1</v>
      </c>
      <c r="L183" s="3">
        <v>30</v>
      </c>
      <c r="M183" s="3">
        <v>108</v>
      </c>
      <c r="N183" s="3">
        <v>1</v>
      </c>
      <c r="O183" s="3">
        <v>0</v>
      </c>
      <c r="P183" s="3">
        <v>85</v>
      </c>
      <c r="Q183" s="3">
        <v>84</v>
      </c>
      <c r="R183" s="3" t="s">
        <v>45</v>
      </c>
      <c r="S183" s="3" t="s">
        <v>47</v>
      </c>
      <c r="T183" s="3" t="s">
        <v>28</v>
      </c>
      <c r="U183" s="3" t="s">
        <v>41</v>
      </c>
      <c r="V183" s="3" t="s">
        <v>52</v>
      </c>
      <c r="W183" s="3" t="s">
        <v>34</v>
      </c>
      <c r="X183" s="6">
        <f t="shared" si="14"/>
        <v>0.31325301204819278</v>
      </c>
      <c r="Y183" s="6">
        <f t="shared" si="15"/>
        <v>0.42655367231638419</v>
      </c>
      <c r="Z183" s="6">
        <f t="shared" si="16"/>
        <v>0.52839931153184161</v>
      </c>
      <c r="AA183" s="6">
        <f t="shared" si="17"/>
        <v>0.9549529838482258</v>
      </c>
      <c r="AB183" s="6">
        <f t="shared" si="18"/>
        <v>0.12762762762762764</v>
      </c>
      <c r="AC183" s="6">
        <f t="shared" si="19"/>
        <v>0.12631578947368421</v>
      </c>
      <c r="AD183" s="6">
        <f t="shared" si="20"/>
        <v>0.21514629948364883</v>
      </c>
    </row>
    <row r="184" spans="1:30" x14ac:dyDescent="0.2">
      <c r="A184" s="2" t="s">
        <v>217</v>
      </c>
      <c r="B184" s="2">
        <v>2012</v>
      </c>
      <c r="C184" s="2">
        <v>1</v>
      </c>
      <c r="D184" s="2" t="s">
        <v>60</v>
      </c>
      <c r="E184" s="2" t="s">
        <v>3</v>
      </c>
      <c r="F184" s="2">
        <v>121</v>
      </c>
      <c r="G184" s="2">
        <v>477</v>
      </c>
      <c r="H184" s="2">
        <v>69</v>
      </c>
      <c r="I184" s="2">
        <v>126</v>
      </c>
      <c r="J184" s="2">
        <v>18</v>
      </c>
      <c r="K184" s="2">
        <v>3</v>
      </c>
      <c r="L184" s="2">
        <v>5</v>
      </c>
      <c r="M184" s="2">
        <v>49</v>
      </c>
      <c r="N184" s="2">
        <v>12</v>
      </c>
      <c r="O184" s="2">
        <v>4</v>
      </c>
      <c r="P184" s="2">
        <v>44</v>
      </c>
      <c r="Q184" s="2">
        <v>57</v>
      </c>
      <c r="R184" s="2" t="s">
        <v>30</v>
      </c>
      <c r="S184" s="2" t="s">
        <v>30</v>
      </c>
      <c r="T184" s="2" t="s">
        <v>32</v>
      </c>
      <c r="U184" s="2" t="s">
        <v>33</v>
      </c>
      <c r="V184" s="2" t="s">
        <v>41</v>
      </c>
      <c r="W184" s="2" t="s">
        <v>36</v>
      </c>
      <c r="X184" s="6">
        <f t="shared" si="14"/>
        <v>0.26415094339622641</v>
      </c>
      <c r="Y184" s="6">
        <f t="shared" si="15"/>
        <v>0.32637571157495254</v>
      </c>
      <c r="Z184" s="6">
        <f t="shared" si="16"/>
        <v>0.34591194968553457</v>
      </c>
      <c r="AA184" s="6">
        <f t="shared" si="17"/>
        <v>0.67228766126048711</v>
      </c>
      <c r="AB184" s="6">
        <f t="shared" si="18"/>
        <v>8.4452975047984644E-2</v>
      </c>
      <c r="AC184" s="6">
        <f t="shared" si="19"/>
        <v>0.10674157303370786</v>
      </c>
      <c r="AD184" s="6">
        <f t="shared" si="20"/>
        <v>8.1761006289308158E-2</v>
      </c>
    </row>
    <row r="185" spans="1:30" x14ac:dyDescent="0.2">
      <c r="A185" s="3" t="s">
        <v>283</v>
      </c>
      <c r="B185" s="3">
        <v>2012</v>
      </c>
      <c r="C185" s="3">
        <v>1</v>
      </c>
      <c r="D185" s="3" t="s">
        <v>164</v>
      </c>
      <c r="E185" s="3" t="s">
        <v>3</v>
      </c>
      <c r="F185" s="3">
        <v>135</v>
      </c>
      <c r="G185" s="3">
        <v>518</v>
      </c>
      <c r="H185" s="3">
        <v>89</v>
      </c>
      <c r="I185" s="3">
        <v>157</v>
      </c>
      <c r="J185" s="3">
        <v>31</v>
      </c>
      <c r="K185" s="3">
        <v>5</v>
      </c>
      <c r="L185" s="3">
        <v>22</v>
      </c>
      <c r="M185" s="3">
        <v>85</v>
      </c>
      <c r="N185" s="3">
        <v>20</v>
      </c>
      <c r="O185" s="3">
        <v>5</v>
      </c>
      <c r="P185" s="3">
        <v>56</v>
      </c>
      <c r="Q185" s="3">
        <v>115</v>
      </c>
      <c r="R185" s="3" t="s">
        <v>40</v>
      </c>
      <c r="S185" s="3" t="s">
        <v>31</v>
      </c>
      <c r="T185" s="3" t="s">
        <v>28</v>
      </c>
      <c r="U185" s="3" t="s">
        <v>34</v>
      </c>
      <c r="V185" s="3" t="s">
        <v>40</v>
      </c>
      <c r="W185" s="3" t="s">
        <v>28</v>
      </c>
      <c r="X185" s="6">
        <f t="shared" si="14"/>
        <v>0.30308880308880309</v>
      </c>
      <c r="Y185" s="6">
        <f t="shared" si="15"/>
        <v>0.38305084745762713</v>
      </c>
      <c r="Z185" s="6">
        <f t="shared" si="16"/>
        <v>0.50965250965250963</v>
      </c>
      <c r="AA185" s="6">
        <f t="shared" si="17"/>
        <v>0.89270335711013682</v>
      </c>
      <c r="AB185" s="6">
        <f t="shared" si="18"/>
        <v>9.7560975609756101E-2</v>
      </c>
      <c r="AC185" s="6">
        <f t="shared" si="19"/>
        <v>0.18167456556082148</v>
      </c>
      <c r="AD185" s="6">
        <f t="shared" si="20"/>
        <v>0.20656370656370654</v>
      </c>
    </row>
    <row r="186" spans="1:30" x14ac:dyDescent="0.2">
      <c r="A186" s="2" t="s">
        <v>247</v>
      </c>
      <c r="B186" s="2">
        <v>2012</v>
      </c>
      <c r="C186" s="2">
        <v>1</v>
      </c>
      <c r="D186" s="2" t="s">
        <v>71</v>
      </c>
      <c r="E186" s="2" t="s">
        <v>6</v>
      </c>
      <c r="F186" s="2">
        <v>160</v>
      </c>
      <c r="G186" s="2">
        <v>596</v>
      </c>
      <c r="H186" s="2">
        <v>102</v>
      </c>
      <c r="I186" s="2">
        <v>138</v>
      </c>
      <c r="J186" s="2">
        <v>18</v>
      </c>
      <c r="K186" s="2">
        <v>4</v>
      </c>
      <c r="L186" s="2">
        <v>43</v>
      </c>
      <c r="M186" s="2">
        <v>106</v>
      </c>
      <c r="N186" s="2">
        <v>10</v>
      </c>
      <c r="O186" s="2">
        <v>3</v>
      </c>
      <c r="P186" s="2">
        <v>75</v>
      </c>
      <c r="Q186" s="2">
        <v>195</v>
      </c>
      <c r="R186" s="2" t="s">
        <v>33</v>
      </c>
      <c r="S186" s="2" t="s">
        <v>32</v>
      </c>
      <c r="T186" s="2" t="s">
        <v>30</v>
      </c>
      <c r="U186" s="2" t="s">
        <v>41</v>
      </c>
      <c r="V186" s="2" t="s">
        <v>32</v>
      </c>
      <c r="W186" s="2" t="s">
        <v>39</v>
      </c>
      <c r="X186" s="6">
        <f t="shared" si="14"/>
        <v>0.23154362416107382</v>
      </c>
      <c r="Y186" s="6">
        <f t="shared" si="15"/>
        <v>0.32314410480349343</v>
      </c>
      <c r="Z186" s="6">
        <f t="shared" si="16"/>
        <v>0.49161073825503354</v>
      </c>
      <c r="AA186" s="6">
        <f t="shared" si="17"/>
        <v>0.81475484305852697</v>
      </c>
      <c r="AB186" s="6">
        <f t="shared" si="18"/>
        <v>0.11177347242921014</v>
      </c>
      <c r="AC186" s="6">
        <f t="shared" si="19"/>
        <v>0.24652338811630847</v>
      </c>
      <c r="AD186" s="6">
        <f t="shared" si="20"/>
        <v>0.26006711409395972</v>
      </c>
    </row>
    <row r="187" spans="1:30" x14ac:dyDescent="0.2">
      <c r="A187" s="3" t="s">
        <v>278</v>
      </c>
      <c r="B187" s="3">
        <v>2012</v>
      </c>
      <c r="C187" s="3">
        <v>1</v>
      </c>
      <c r="D187" s="3" t="s">
        <v>90</v>
      </c>
      <c r="E187" s="3" t="s">
        <v>6</v>
      </c>
      <c r="F187" s="3">
        <v>148</v>
      </c>
      <c r="G187" s="3">
        <v>562</v>
      </c>
      <c r="H187" s="3">
        <v>103</v>
      </c>
      <c r="I187" s="3">
        <v>160</v>
      </c>
      <c r="J187" s="3">
        <v>31</v>
      </c>
      <c r="K187" s="3">
        <v>2</v>
      </c>
      <c r="L187" s="3">
        <v>43</v>
      </c>
      <c r="M187" s="3">
        <v>128</v>
      </c>
      <c r="N187" s="3">
        <v>7</v>
      </c>
      <c r="O187" s="3">
        <v>4</v>
      </c>
      <c r="P187" s="3">
        <v>60</v>
      </c>
      <c r="Q187" s="3">
        <v>162</v>
      </c>
      <c r="R187" s="3" t="s">
        <v>35</v>
      </c>
      <c r="S187" s="3" t="s">
        <v>32</v>
      </c>
      <c r="T187" s="3" t="s">
        <v>28</v>
      </c>
      <c r="U187" s="3" t="s">
        <v>42</v>
      </c>
      <c r="V187" s="3" t="s">
        <v>42</v>
      </c>
      <c r="W187" s="3" t="s">
        <v>41</v>
      </c>
      <c r="X187" s="6">
        <f t="shared" si="14"/>
        <v>0.28469750889679718</v>
      </c>
      <c r="Y187" s="6">
        <f t="shared" si="15"/>
        <v>0.36671802773497691</v>
      </c>
      <c r="Z187" s="6">
        <f t="shared" si="16"/>
        <v>0.57651245551601427</v>
      </c>
      <c r="AA187" s="6">
        <f t="shared" si="17"/>
        <v>0.94323048325099124</v>
      </c>
      <c r="AB187" s="6">
        <f t="shared" si="18"/>
        <v>9.6463022508038579E-2</v>
      </c>
      <c r="AC187" s="6">
        <f t="shared" si="19"/>
        <v>0.22375690607734808</v>
      </c>
      <c r="AD187" s="6">
        <f t="shared" si="20"/>
        <v>0.29181494661921709</v>
      </c>
    </row>
    <row r="188" spans="1:30" x14ac:dyDescent="0.2">
      <c r="A188" s="2" t="s">
        <v>177</v>
      </c>
      <c r="B188" s="2">
        <v>2012</v>
      </c>
      <c r="C188" s="2">
        <v>1</v>
      </c>
      <c r="D188" s="2" t="s">
        <v>71</v>
      </c>
      <c r="E188" s="2" t="s">
        <v>6</v>
      </c>
      <c r="F188" s="2">
        <v>159</v>
      </c>
      <c r="G188" s="2">
        <v>683</v>
      </c>
      <c r="H188" s="2">
        <v>99</v>
      </c>
      <c r="I188" s="2">
        <v>216</v>
      </c>
      <c r="J188" s="2">
        <v>32</v>
      </c>
      <c r="K188" s="2">
        <v>0</v>
      </c>
      <c r="L188" s="2">
        <v>15</v>
      </c>
      <c r="M188" s="2">
        <v>58</v>
      </c>
      <c r="N188" s="2">
        <v>9</v>
      </c>
      <c r="O188" s="2">
        <v>4</v>
      </c>
      <c r="P188" s="2">
        <v>45</v>
      </c>
      <c r="Q188" s="2">
        <v>90</v>
      </c>
      <c r="R188" s="2" t="s">
        <v>30</v>
      </c>
      <c r="S188" s="2" t="s">
        <v>32</v>
      </c>
      <c r="T188" s="2" t="s">
        <v>36</v>
      </c>
      <c r="U188" s="2" t="s">
        <v>30</v>
      </c>
      <c r="V188" s="2" t="s">
        <v>57</v>
      </c>
      <c r="W188" s="2" t="s">
        <v>36</v>
      </c>
      <c r="X188" s="6">
        <f t="shared" si="14"/>
        <v>0.31625183016105418</v>
      </c>
      <c r="Y188" s="6">
        <f t="shared" si="15"/>
        <v>0.36326530612244901</v>
      </c>
      <c r="Z188" s="6">
        <f t="shared" si="16"/>
        <v>0.42898975109809662</v>
      </c>
      <c r="AA188" s="6">
        <f t="shared" si="17"/>
        <v>0.79225505722054557</v>
      </c>
      <c r="AB188" s="6">
        <f t="shared" si="18"/>
        <v>6.1813186813186816E-2</v>
      </c>
      <c r="AC188" s="6">
        <f t="shared" si="19"/>
        <v>0.11642949547218628</v>
      </c>
      <c r="AD188" s="6">
        <f t="shared" si="20"/>
        <v>0.11273792093704244</v>
      </c>
    </row>
    <row r="189" spans="1:30" x14ac:dyDescent="0.2">
      <c r="A189" s="3" t="s">
        <v>270</v>
      </c>
      <c r="B189" s="3">
        <v>2012</v>
      </c>
      <c r="C189" s="3">
        <v>1</v>
      </c>
      <c r="D189" s="3" t="s">
        <v>90</v>
      </c>
      <c r="E189" s="3" t="s">
        <v>6</v>
      </c>
      <c r="F189" s="3">
        <v>108</v>
      </c>
      <c r="G189" s="3">
        <v>352</v>
      </c>
      <c r="H189" s="3">
        <v>53</v>
      </c>
      <c r="I189" s="3">
        <v>80</v>
      </c>
      <c r="J189" s="3">
        <v>9</v>
      </c>
      <c r="K189" s="3">
        <v>2</v>
      </c>
      <c r="L189" s="3">
        <v>24</v>
      </c>
      <c r="M189" s="3">
        <v>56</v>
      </c>
      <c r="N189" s="3">
        <v>1</v>
      </c>
      <c r="O189" s="3">
        <v>0</v>
      </c>
      <c r="P189" s="3">
        <v>56</v>
      </c>
      <c r="Q189" s="3">
        <v>125</v>
      </c>
      <c r="R189" s="3" t="s">
        <v>32</v>
      </c>
      <c r="S189" s="3" t="s">
        <v>41</v>
      </c>
      <c r="T189" s="3" t="s">
        <v>28</v>
      </c>
      <c r="U189" s="3" t="s">
        <v>31</v>
      </c>
      <c r="V189" s="3" t="s">
        <v>42</v>
      </c>
      <c r="W189" s="3" t="s">
        <v>31</v>
      </c>
      <c r="X189" s="6">
        <f t="shared" si="14"/>
        <v>0.22727272727272727</v>
      </c>
      <c r="Y189" s="6">
        <f t="shared" si="15"/>
        <v>0.35071090047393366</v>
      </c>
      <c r="Z189" s="6">
        <f t="shared" si="16"/>
        <v>0.46875</v>
      </c>
      <c r="AA189" s="6">
        <f t="shared" si="17"/>
        <v>0.81946090047393372</v>
      </c>
      <c r="AB189" s="6">
        <f t="shared" si="18"/>
        <v>0.13725490196078433</v>
      </c>
      <c r="AC189" s="6">
        <f t="shared" si="19"/>
        <v>0.26205450733752622</v>
      </c>
      <c r="AD189" s="6">
        <f t="shared" si="20"/>
        <v>0.24147727272727273</v>
      </c>
    </row>
    <row r="190" spans="1:30" x14ac:dyDescent="0.2">
      <c r="A190" s="2" t="s">
        <v>198</v>
      </c>
      <c r="B190" s="2">
        <v>2012</v>
      </c>
      <c r="C190" s="2">
        <v>1</v>
      </c>
      <c r="D190" s="2" t="s">
        <v>68</v>
      </c>
      <c r="E190" s="2" t="s">
        <v>6</v>
      </c>
      <c r="F190" s="2">
        <v>90</v>
      </c>
      <c r="G190" s="2">
        <v>324</v>
      </c>
      <c r="H190" s="2">
        <v>65</v>
      </c>
      <c r="I190" s="2">
        <v>103</v>
      </c>
      <c r="J190" s="2">
        <v>26</v>
      </c>
      <c r="K190" s="2">
        <v>0</v>
      </c>
      <c r="L190" s="2">
        <v>23</v>
      </c>
      <c r="M190" s="2">
        <v>60</v>
      </c>
      <c r="N190" s="2">
        <v>0</v>
      </c>
      <c r="O190" s="2">
        <v>1</v>
      </c>
      <c r="P190" s="2">
        <v>56</v>
      </c>
      <c r="Q190" s="2">
        <v>51</v>
      </c>
      <c r="R190" s="2" t="s">
        <v>35</v>
      </c>
      <c r="S190" s="2" t="s">
        <v>28</v>
      </c>
      <c r="T190" s="2" t="s">
        <v>28</v>
      </c>
      <c r="U190" s="2" t="s">
        <v>34</v>
      </c>
      <c r="V190" s="2" t="s">
        <v>36</v>
      </c>
      <c r="W190" s="2" t="s">
        <v>28</v>
      </c>
      <c r="X190" s="6">
        <f t="shared" si="14"/>
        <v>0.31790123456790126</v>
      </c>
      <c r="Y190" s="6">
        <f t="shared" si="15"/>
        <v>0.43434343434343436</v>
      </c>
      <c r="Z190" s="6">
        <f t="shared" si="16"/>
        <v>0.61111111111111116</v>
      </c>
      <c r="AA190" s="6">
        <f t="shared" si="17"/>
        <v>1.0454545454545454</v>
      </c>
      <c r="AB190" s="6">
        <f t="shared" si="18"/>
        <v>0.14736842105263157</v>
      </c>
      <c r="AC190" s="6">
        <f t="shared" si="19"/>
        <v>0.13600000000000001</v>
      </c>
      <c r="AD190" s="6">
        <f t="shared" si="20"/>
        <v>0.2932098765432099</v>
      </c>
    </row>
    <row r="191" spans="1:30" x14ac:dyDescent="0.2">
      <c r="A191" s="3" t="s">
        <v>289</v>
      </c>
      <c r="B191" s="3">
        <v>2012</v>
      </c>
      <c r="C191" s="3">
        <v>1</v>
      </c>
      <c r="D191" s="3" t="s">
        <v>79</v>
      </c>
      <c r="E191" s="3" t="s">
        <v>3</v>
      </c>
      <c r="F191" s="3">
        <v>148</v>
      </c>
      <c r="G191" s="3">
        <v>530</v>
      </c>
      <c r="H191" s="3">
        <v>78</v>
      </c>
      <c r="I191" s="3">
        <v>178</v>
      </c>
      <c r="J191" s="3">
        <v>39</v>
      </c>
      <c r="K191" s="3">
        <v>1</v>
      </c>
      <c r="L191" s="3">
        <v>24</v>
      </c>
      <c r="M191" s="3">
        <v>103</v>
      </c>
      <c r="N191" s="3">
        <v>1</v>
      </c>
      <c r="O191" s="3">
        <v>1</v>
      </c>
      <c r="P191" s="3">
        <v>69</v>
      </c>
      <c r="Q191" s="3">
        <v>96</v>
      </c>
      <c r="R191" s="3" t="s">
        <v>41</v>
      </c>
      <c r="S191" s="3" t="s">
        <v>31</v>
      </c>
      <c r="T191" s="3" t="s">
        <v>28</v>
      </c>
      <c r="U191" s="3" t="s">
        <v>42</v>
      </c>
      <c r="V191" s="3" t="s">
        <v>52</v>
      </c>
      <c r="W191" s="3" t="s">
        <v>31</v>
      </c>
      <c r="X191" s="6">
        <f t="shared" si="14"/>
        <v>0.33584905660377357</v>
      </c>
      <c r="Y191" s="6">
        <f t="shared" si="15"/>
        <v>0.41491085899513774</v>
      </c>
      <c r="Z191" s="6">
        <f t="shared" si="16"/>
        <v>0.54905660377358489</v>
      </c>
      <c r="AA191" s="6">
        <f t="shared" si="17"/>
        <v>0.96396746276872269</v>
      </c>
      <c r="AB191" s="6">
        <f t="shared" si="18"/>
        <v>0.11519198664440734</v>
      </c>
      <c r="AC191" s="6">
        <f t="shared" si="19"/>
        <v>0.15335463258785942</v>
      </c>
      <c r="AD191" s="6">
        <f t="shared" si="20"/>
        <v>0.21320754716981133</v>
      </c>
    </row>
    <row r="192" spans="1:30" x14ac:dyDescent="0.2">
      <c r="A192" s="2" t="s">
        <v>286</v>
      </c>
      <c r="B192" s="2">
        <v>2012</v>
      </c>
      <c r="C192" s="2">
        <v>1</v>
      </c>
      <c r="D192" s="2" t="s">
        <v>79</v>
      </c>
      <c r="E192" s="2" t="s">
        <v>3</v>
      </c>
      <c r="F192" s="2">
        <v>108</v>
      </c>
      <c r="G192" s="2">
        <v>396</v>
      </c>
      <c r="H192" s="2">
        <v>59</v>
      </c>
      <c r="I192" s="2">
        <v>112</v>
      </c>
      <c r="J192" s="2">
        <v>25</v>
      </c>
      <c r="K192" s="2">
        <v>2</v>
      </c>
      <c r="L192" s="2">
        <v>12</v>
      </c>
      <c r="M192" s="2">
        <v>63</v>
      </c>
      <c r="N192" s="2">
        <v>1</v>
      </c>
      <c r="O192" s="2">
        <v>1</v>
      </c>
      <c r="P192" s="2">
        <v>38</v>
      </c>
      <c r="Q192" s="2">
        <v>59</v>
      </c>
      <c r="R192" s="2" t="s">
        <v>33</v>
      </c>
      <c r="S192" s="2" t="s">
        <v>30</v>
      </c>
      <c r="T192" s="2" t="s">
        <v>28</v>
      </c>
      <c r="U192" s="2" t="s">
        <v>41</v>
      </c>
      <c r="V192" s="2" t="s">
        <v>35</v>
      </c>
      <c r="W192" s="2" t="s">
        <v>32</v>
      </c>
      <c r="X192" s="6">
        <f t="shared" si="14"/>
        <v>0.28282828282828282</v>
      </c>
      <c r="Y192" s="6">
        <f t="shared" si="15"/>
        <v>0.34753363228699552</v>
      </c>
      <c r="Z192" s="6">
        <f t="shared" si="16"/>
        <v>0.44696969696969696</v>
      </c>
      <c r="AA192" s="6">
        <f t="shared" si="17"/>
        <v>0.79450332925669254</v>
      </c>
      <c r="AB192" s="6">
        <f t="shared" si="18"/>
        <v>8.755760368663594E-2</v>
      </c>
      <c r="AC192" s="6">
        <f t="shared" si="19"/>
        <v>0.12967032967032968</v>
      </c>
      <c r="AD192" s="6">
        <f t="shared" si="20"/>
        <v>0.16414141414141414</v>
      </c>
    </row>
    <row r="193" spans="1:30" x14ac:dyDescent="0.2">
      <c r="A193" s="3" t="s">
        <v>274</v>
      </c>
      <c r="B193" s="3">
        <v>2012</v>
      </c>
      <c r="C193" s="3">
        <v>1</v>
      </c>
      <c r="D193" s="3" t="s">
        <v>85</v>
      </c>
      <c r="E193" s="3" t="s">
        <v>3</v>
      </c>
      <c r="F193" s="3">
        <v>154</v>
      </c>
      <c r="G193" s="3">
        <v>523</v>
      </c>
      <c r="H193" s="3">
        <v>86</v>
      </c>
      <c r="I193" s="3">
        <v>115</v>
      </c>
      <c r="J193" s="3">
        <v>29</v>
      </c>
      <c r="K193" s="3">
        <v>0</v>
      </c>
      <c r="L193" s="3">
        <v>19</v>
      </c>
      <c r="M193" s="3">
        <v>78</v>
      </c>
      <c r="N193" s="3">
        <v>4</v>
      </c>
      <c r="O193" s="3">
        <v>3</v>
      </c>
      <c r="P193" s="3">
        <v>94</v>
      </c>
      <c r="Q193" s="3">
        <v>168</v>
      </c>
      <c r="R193" s="3" t="s">
        <v>32</v>
      </c>
      <c r="S193" s="3" t="s">
        <v>37</v>
      </c>
      <c r="T193" s="3" t="s">
        <v>28</v>
      </c>
      <c r="U193" s="3" t="s">
        <v>34</v>
      </c>
      <c r="V193" s="3" t="s">
        <v>39</v>
      </c>
      <c r="W193" s="3" t="s">
        <v>33</v>
      </c>
      <c r="X193" s="6">
        <f t="shared" si="14"/>
        <v>0.21988527724665391</v>
      </c>
      <c r="Y193" s="6">
        <f t="shared" si="15"/>
        <v>0.35275590551181102</v>
      </c>
      <c r="Z193" s="6">
        <f t="shared" si="16"/>
        <v>0.384321223709369</v>
      </c>
      <c r="AA193" s="6">
        <f t="shared" si="17"/>
        <v>0.73707712922117996</v>
      </c>
      <c r="AB193" s="6">
        <f t="shared" si="18"/>
        <v>0.15235008103727715</v>
      </c>
      <c r="AC193" s="6">
        <f t="shared" si="19"/>
        <v>0.24312590448625182</v>
      </c>
      <c r="AD193" s="6">
        <f t="shared" si="20"/>
        <v>0.16443594646271509</v>
      </c>
    </row>
    <row r="194" spans="1:30" x14ac:dyDescent="0.2">
      <c r="A194" s="2" t="s">
        <v>264</v>
      </c>
      <c r="B194" s="2">
        <v>2012</v>
      </c>
      <c r="C194" s="2">
        <v>1</v>
      </c>
      <c r="D194" s="2" t="s">
        <v>67</v>
      </c>
      <c r="E194" s="2" t="s">
        <v>6</v>
      </c>
      <c r="F194" s="2">
        <v>33</v>
      </c>
      <c r="G194" s="2">
        <v>4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1</v>
      </c>
      <c r="R194" s="2" t="s">
        <v>28</v>
      </c>
      <c r="S194" s="2" t="s">
        <v>28</v>
      </c>
      <c r="T194" s="2" t="s">
        <v>33</v>
      </c>
      <c r="U194" s="2" t="s">
        <v>28</v>
      </c>
      <c r="V194" s="2" t="s">
        <v>28</v>
      </c>
      <c r="W194" s="2" t="s">
        <v>30</v>
      </c>
      <c r="X194" s="6">
        <f t="shared" si="14"/>
        <v>0</v>
      </c>
      <c r="Y194" s="6">
        <f t="shared" si="15"/>
        <v>0</v>
      </c>
      <c r="Z194" s="6">
        <f t="shared" si="16"/>
        <v>0</v>
      </c>
      <c r="AA194" s="6">
        <f t="shared" si="17"/>
        <v>0</v>
      </c>
      <c r="AB194" s="6">
        <f t="shared" si="18"/>
        <v>0</v>
      </c>
      <c r="AC194" s="6">
        <f t="shared" si="19"/>
        <v>0.2</v>
      </c>
      <c r="AD194" s="6">
        <f t="shared" si="20"/>
        <v>0</v>
      </c>
    </row>
    <row r="195" spans="1:30" x14ac:dyDescent="0.2">
      <c r="A195" s="3" t="s">
        <v>280</v>
      </c>
      <c r="B195" s="3">
        <v>2012</v>
      </c>
      <c r="C195" s="3">
        <v>1</v>
      </c>
      <c r="D195" s="3" t="s">
        <v>53</v>
      </c>
      <c r="E195" s="3" t="s">
        <v>3</v>
      </c>
      <c r="F195" s="3">
        <v>111</v>
      </c>
      <c r="G195" s="3">
        <v>374</v>
      </c>
      <c r="H195" s="3">
        <v>59</v>
      </c>
      <c r="I195" s="3">
        <v>126</v>
      </c>
      <c r="J195" s="3">
        <v>44</v>
      </c>
      <c r="K195" s="3">
        <v>0</v>
      </c>
      <c r="L195" s="3">
        <v>14</v>
      </c>
      <c r="M195" s="3">
        <v>56</v>
      </c>
      <c r="N195" s="3">
        <v>5</v>
      </c>
      <c r="O195" s="3">
        <v>3</v>
      </c>
      <c r="P195" s="3">
        <v>94</v>
      </c>
      <c r="Q195" s="3">
        <v>85</v>
      </c>
      <c r="R195" s="3" t="s">
        <v>45</v>
      </c>
      <c r="S195" s="3" t="s">
        <v>32</v>
      </c>
      <c r="T195" s="3" t="s">
        <v>28</v>
      </c>
      <c r="U195" s="3" t="s">
        <v>31</v>
      </c>
      <c r="V195" s="3" t="s">
        <v>39</v>
      </c>
      <c r="W195" s="3" t="s">
        <v>34</v>
      </c>
      <c r="X195" s="6">
        <f t="shared" ref="X195:X215" si="21">I195/G195</f>
        <v>0.33689839572192515</v>
      </c>
      <c r="Y195" s="6">
        <f t="shared" ref="Y195:Y215" si="22">(I195+P195+R195+S195)/(G195+P195+R195+S195+U195)</f>
        <v>0.49290060851926976</v>
      </c>
      <c r="Z195" s="6">
        <f t="shared" ref="Z195:Z215" si="23">((I195-J195-K195-L195)+(2*J195)+(3*K195)+(4*L195))/G195</f>
        <v>0.5668449197860963</v>
      </c>
      <c r="AA195" s="6">
        <f t="shared" ref="AA195:AA215" si="24">Y195+Z195</f>
        <v>1.0597455283053661</v>
      </c>
      <c r="AB195" s="6">
        <f t="shared" ref="AB195:AB215" si="25">P195/(P195+G195)</f>
        <v>0.20085470085470086</v>
      </c>
      <c r="AC195" s="6">
        <f t="shared" ref="AC195:AC215" si="26">Q195/(Q195+G195)</f>
        <v>0.18518518518518517</v>
      </c>
      <c r="AD195" s="6">
        <f t="shared" ref="AD195:AD215" si="27">Z195-X195</f>
        <v>0.22994652406417115</v>
      </c>
    </row>
    <row r="196" spans="1:30" x14ac:dyDescent="0.2">
      <c r="A196" s="2" t="s">
        <v>244</v>
      </c>
      <c r="B196" s="2">
        <v>2013</v>
      </c>
      <c r="C196" s="2">
        <v>1</v>
      </c>
      <c r="D196" s="2" t="s">
        <v>92</v>
      </c>
      <c r="E196" s="2" t="s">
        <v>6</v>
      </c>
      <c r="F196" s="2">
        <v>118</v>
      </c>
      <c r="G196" s="2">
        <v>452</v>
      </c>
      <c r="H196" s="2">
        <v>82</v>
      </c>
      <c r="I196" s="2">
        <v>117</v>
      </c>
      <c r="J196" s="2">
        <v>24</v>
      </c>
      <c r="K196" s="2">
        <v>0</v>
      </c>
      <c r="L196" s="2">
        <v>28</v>
      </c>
      <c r="M196" s="2">
        <v>73</v>
      </c>
      <c r="N196" s="2">
        <v>7</v>
      </c>
      <c r="O196" s="2">
        <v>2</v>
      </c>
      <c r="P196" s="2">
        <v>69</v>
      </c>
      <c r="Q196" s="2">
        <v>84</v>
      </c>
      <c r="R196" s="2" t="s">
        <v>31</v>
      </c>
      <c r="S196" s="2" t="s">
        <v>34</v>
      </c>
      <c r="T196" s="2" t="s">
        <v>28</v>
      </c>
      <c r="U196" s="2" t="s">
        <v>33</v>
      </c>
      <c r="V196" s="2" t="s">
        <v>35</v>
      </c>
      <c r="W196" s="2" t="s">
        <v>42</v>
      </c>
      <c r="X196" s="6">
        <f t="shared" si="21"/>
        <v>0.25884955752212391</v>
      </c>
      <c r="Y196" s="6">
        <f t="shared" si="22"/>
        <v>0.36037735849056601</v>
      </c>
      <c r="Z196" s="6">
        <f t="shared" si="23"/>
        <v>0.49778761061946902</v>
      </c>
      <c r="AA196" s="6">
        <f t="shared" si="24"/>
        <v>0.85816496911003504</v>
      </c>
      <c r="AB196" s="6">
        <f t="shared" si="25"/>
        <v>0.1324376199616123</v>
      </c>
      <c r="AC196" s="6">
        <f t="shared" si="26"/>
        <v>0.15671641791044777</v>
      </c>
      <c r="AD196" s="6">
        <f t="shared" si="27"/>
        <v>0.23893805309734512</v>
      </c>
    </row>
    <row r="197" spans="1:30" x14ac:dyDescent="0.2">
      <c r="A197" s="3" t="s">
        <v>206</v>
      </c>
      <c r="B197" s="3">
        <v>2013</v>
      </c>
      <c r="C197" s="3">
        <v>1</v>
      </c>
      <c r="D197" s="3" t="s">
        <v>60</v>
      </c>
      <c r="E197" s="3" t="s">
        <v>3</v>
      </c>
      <c r="F197" s="3">
        <v>145</v>
      </c>
      <c r="G197" s="3">
        <v>554</v>
      </c>
      <c r="H197" s="3">
        <v>79</v>
      </c>
      <c r="I197" s="3">
        <v>164</v>
      </c>
      <c r="J197" s="3">
        <v>30</v>
      </c>
      <c r="K197" s="3">
        <v>3</v>
      </c>
      <c r="L197" s="3">
        <v>24</v>
      </c>
      <c r="M197" s="3">
        <v>84</v>
      </c>
      <c r="N197" s="3">
        <v>2</v>
      </c>
      <c r="O197" s="3">
        <v>1</v>
      </c>
      <c r="P197" s="3">
        <v>38</v>
      </c>
      <c r="Q197" s="3">
        <v>90</v>
      </c>
      <c r="R197" s="3" t="s">
        <v>30</v>
      </c>
      <c r="S197" s="3" t="s">
        <v>30</v>
      </c>
      <c r="T197" s="3" t="s">
        <v>30</v>
      </c>
      <c r="U197" s="3" t="s">
        <v>36</v>
      </c>
      <c r="V197" s="3" t="s">
        <v>38</v>
      </c>
      <c r="W197" s="3" t="s">
        <v>42</v>
      </c>
      <c r="X197" s="6">
        <f t="shared" si="21"/>
        <v>0.29602888086642598</v>
      </c>
      <c r="Y197" s="6">
        <f t="shared" si="22"/>
        <v>0.34</v>
      </c>
      <c r="Z197" s="6">
        <f t="shared" si="23"/>
        <v>0.49097472924187724</v>
      </c>
      <c r="AA197" s="6">
        <f t="shared" si="24"/>
        <v>0.83097472924187721</v>
      </c>
      <c r="AB197" s="6">
        <f t="shared" si="25"/>
        <v>6.4189189189189186E-2</v>
      </c>
      <c r="AC197" s="6">
        <f t="shared" si="26"/>
        <v>0.13975155279503104</v>
      </c>
      <c r="AD197" s="6">
        <f t="shared" si="27"/>
        <v>0.19494584837545126</v>
      </c>
    </row>
    <row r="198" spans="1:30" x14ac:dyDescent="0.2">
      <c r="A198" s="2" t="s">
        <v>236</v>
      </c>
      <c r="B198" s="2">
        <v>2013</v>
      </c>
      <c r="C198" s="2">
        <v>1</v>
      </c>
      <c r="D198" s="2" t="s">
        <v>67</v>
      </c>
      <c r="E198" s="2" t="s">
        <v>6</v>
      </c>
      <c r="F198" s="2">
        <v>148</v>
      </c>
      <c r="G198" s="2">
        <v>555</v>
      </c>
      <c r="H198" s="2">
        <v>103</v>
      </c>
      <c r="I198" s="2">
        <v>193</v>
      </c>
      <c r="J198" s="2">
        <v>26</v>
      </c>
      <c r="K198" s="2">
        <v>1</v>
      </c>
      <c r="L198" s="2">
        <v>44</v>
      </c>
      <c r="M198" s="2">
        <v>137</v>
      </c>
      <c r="N198" s="2">
        <v>3</v>
      </c>
      <c r="O198" s="2">
        <v>0</v>
      </c>
      <c r="P198" s="2">
        <v>90</v>
      </c>
      <c r="Q198" s="2">
        <v>94</v>
      </c>
      <c r="R198" s="2" t="s">
        <v>52</v>
      </c>
      <c r="S198" s="2" t="s">
        <v>32</v>
      </c>
      <c r="T198" s="2" t="s">
        <v>28</v>
      </c>
      <c r="U198" s="2" t="s">
        <v>31</v>
      </c>
      <c r="V198" s="2" t="s">
        <v>52</v>
      </c>
      <c r="W198" s="2" t="s">
        <v>32</v>
      </c>
      <c r="X198" s="6">
        <f t="shared" si="21"/>
        <v>0.34774774774774775</v>
      </c>
      <c r="Y198" s="6">
        <f t="shared" si="22"/>
        <v>0.45752608047690013</v>
      </c>
      <c r="Z198" s="6">
        <f t="shared" si="23"/>
        <v>0.63603603603603609</v>
      </c>
      <c r="AA198" s="6">
        <f t="shared" si="24"/>
        <v>1.0935621165129361</v>
      </c>
      <c r="AB198" s="6">
        <f t="shared" si="25"/>
        <v>0.13953488372093023</v>
      </c>
      <c r="AC198" s="6">
        <f t="shared" si="26"/>
        <v>0.1448382126348228</v>
      </c>
      <c r="AD198" s="6">
        <f t="shared" si="27"/>
        <v>0.28828828828828834</v>
      </c>
    </row>
    <row r="199" spans="1:30" x14ac:dyDescent="0.2">
      <c r="A199" s="3" t="s">
        <v>257</v>
      </c>
      <c r="B199" s="3">
        <v>2013</v>
      </c>
      <c r="C199" s="3">
        <v>1</v>
      </c>
      <c r="D199" s="3" t="s">
        <v>71</v>
      </c>
      <c r="E199" s="3" t="s">
        <v>6</v>
      </c>
      <c r="F199" s="3">
        <v>160</v>
      </c>
      <c r="G199" s="3">
        <v>605</v>
      </c>
      <c r="H199" s="3">
        <v>81</v>
      </c>
      <c r="I199" s="3">
        <v>190</v>
      </c>
      <c r="J199" s="3">
        <v>41</v>
      </c>
      <c r="K199" s="3">
        <v>0</v>
      </c>
      <c r="L199" s="3">
        <v>27</v>
      </c>
      <c r="M199" s="3">
        <v>107</v>
      </c>
      <c r="N199" s="3">
        <v>7</v>
      </c>
      <c r="O199" s="3">
        <v>1</v>
      </c>
      <c r="P199" s="3">
        <v>65</v>
      </c>
      <c r="Q199" s="3">
        <v>85</v>
      </c>
      <c r="R199" s="3" t="s">
        <v>50</v>
      </c>
      <c r="S199" s="3" t="s">
        <v>36</v>
      </c>
      <c r="T199" s="3" t="s">
        <v>28</v>
      </c>
      <c r="U199" s="3" t="s">
        <v>32</v>
      </c>
      <c r="V199" s="3" t="s">
        <v>45</v>
      </c>
      <c r="W199" s="3" t="s">
        <v>33</v>
      </c>
      <c r="X199" s="6">
        <f t="shared" si="21"/>
        <v>0.31404958677685951</v>
      </c>
      <c r="Y199" s="6">
        <f t="shared" si="22"/>
        <v>0.39741750358680056</v>
      </c>
      <c r="Z199" s="6">
        <f t="shared" si="23"/>
        <v>0.51570247933884295</v>
      </c>
      <c r="AA199" s="6">
        <f t="shared" si="24"/>
        <v>0.91311998292564356</v>
      </c>
      <c r="AB199" s="6">
        <f t="shared" si="25"/>
        <v>9.7014925373134331E-2</v>
      </c>
      <c r="AC199" s="6">
        <f t="shared" si="26"/>
        <v>0.12318840579710146</v>
      </c>
      <c r="AD199" s="6">
        <f t="shared" si="27"/>
        <v>0.20165289256198343</v>
      </c>
    </row>
    <row r="200" spans="1:30" x14ac:dyDescent="0.2">
      <c r="A200" s="2" t="s">
        <v>222</v>
      </c>
      <c r="B200" s="2">
        <v>2013</v>
      </c>
      <c r="C200" s="2">
        <v>1</v>
      </c>
      <c r="D200" s="2" t="s">
        <v>164</v>
      </c>
      <c r="E200" s="2" t="s">
        <v>3</v>
      </c>
      <c r="F200" s="2">
        <v>130</v>
      </c>
      <c r="G200" s="2">
        <v>489</v>
      </c>
      <c r="H200" s="2">
        <v>74</v>
      </c>
      <c r="I200" s="2">
        <v>162</v>
      </c>
      <c r="J200" s="2">
        <v>31</v>
      </c>
      <c r="K200" s="2">
        <v>3</v>
      </c>
      <c r="L200" s="2">
        <v>20</v>
      </c>
      <c r="M200" s="2">
        <v>84</v>
      </c>
      <c r="N200" s="2">
        <v>10</v>
      </c>
      <c r="O200" s="2">
        <v>3</v>
      </c>
      <c r="P200" s="2">
        <v>46</v>
      </c>
      <c r="Q200" s="2">
        <v>100</v>
      </c>
      <c r="R200" s="2" t="s">
        <v>32</v>
      </c>
      <c r="S200" s="2" t="s">
        <v>31</v>
      </c>
      <c r="T200" s="2" t="s">
        <v>28</v>
      </c>
      <c r="U200" s="2" t="s">
        <v>34</v>
      </c>
      <c r="V200" s="2" t="s">
        <v>35</v>
      </c>
      <c r="W200" s="2" t="s">
        <v>28</v>
      </c>
      <c r="X200" s="6">
        <f t="shared" si="21"/>
        <v>0.33128834355828218</v>
      </c>
      <c r="Y200" s="6">
        <f t="shared" si="22"/>
        <v>0.39449541284403672</v>
      </c>
      <c r="Z200" s="6">
        <f t="shared" si="23"/>
        <v>0.52965235173824132</v>
      </c>
      <c r="AA200" s="6">
        <f t="shared" si="24"/>
        <v>0.92414776458227799</v>
      </c>
      <c r="AB200" s="6">
        <f t="shared" si="25"/>
        <v>8.5981308411214957E-2</v>
      </c>
      <c r="AC200" s="6">
        <f t="shared" si="26"/>
        <v>0.1697792869269949</v>
      </c>
      <c r="AD200" s="6">
        <f t="shared" si="27"/>
        <v>0.19836400817995914</v>
      </c>
    </row>
    <row r="201" spans="1:30" x14ac:dyDescent="0.2">
      <c r="A201" s="3" t="s">
        <v>281</v>
      </c>
      <c r="B201" s="3">
        <v>2013</v>
      </c>
      <c r="C201" s="3">
        <v>1</v>
      </c>
      <c r="D201" s="3" t="s">
        <v>78</v>
      </c>
      <c r="E201" s="3" t="s">
        <v>6</v>
      </c>
      <c r="F201" s="3">
        <v>160</v>
      </c>
      <c r="G201" s="3">
        <v>584</v>
      </c>
      <c r="H201" s="3">
        <v>103</v>
      </c>
      <c r="I201" s="3">
        <v>167</v>
      </c>
      <c r="J201" s="3">
        <v>42</v>
      </c>
      <c r="K201" s="3">
        <v>1</v>
      </c>
      <c r="L201" s="3">
        <v>53</v>
      </c>
      <c r="M201" s="3">
        <v>138</v>
      </c>
      <c r="N201" s="3">
        <v>4</v>
      </c>
      <c r="O201" s="3">
        <v>1</v>
      </c>
      <c r="P201" s="3">
        <v>72</v>
      </c>
      <c r="Q201" s="3">
        <v>199</v>
      </c>
      <c r="R201" s="3" t="s">
        <v>38</v>
      </c>
      <c r="S201" s="3" t="s">
        <v>37</v>
      </c>
      <c r="T201" s="3" t="s">
        <v>28</v>
      </c>
      <c r="U201" s="3" t="s">
        <v>41</v>
      </c>
      <c r="V201" s="3" t="s">
        <v>33</v>
      </c>
      <c r="W201" s="3" t="s">
        <v>34</v>
      </c>
      <c r="X201" s="6">
        <f t="shared" si="21"/>
        <v>0.28595890410958902</v>
      </c>
      <c r="Y201" s="6">
        <f t="shared" si="22"/>
        <v>0.381021897810219</v>
      </c>
      <c r="Z201" s="6">
        <f t="shared" si="23"/>
        <v>0.63356164383561642</v>
      </c>
      <c r="AA201" s="6">
        <f t="shared" si="24"/>
        <v>1.0145835416458353</v>
      </c>
      <c r="AB201" s="6">
        <f t="shared" si="25"/>
        <v>0.10975609756097561</v>
      </c>
      <c r="AC201" s="6">
        <f t="shared" si="26"/>
        <v>0.25415070242656451</v>
      </c>
      <c r="AD201" s="6">
        <f t="shared" si="27"/>
        <v>0.3476027397260274</v>
      </c>
    </row>
    <row r="202" spans="1:30" x14ac:dyDescent="0.2">
      <c r="A202" s="2" t="s">
        <v>283</v>
      </c>
      <c r="B202" s="2">
        <v>2013</v>
      </c>
      <c r="C202" s="2">
        <v>1</v>
      </c>
      <c r="D202" s="2" t="s">
        <v>164</v>
      </c>
      <c r="E202" s="2" t="s">
        <v>3</v>
      </c>
      <c r="F202" s="2">
        <v>110</v>
      </c>
      <c r="G202" s="2">
        <v>391</v>
      </c>
      <c r="H202" s="2">
        <v>72</v>
      </c>
      <c r="I202" s="2">
        <v>118</v>
      </c>
      <c r="J202" s="2">
        <v>23</v>
      </c>
      <c r="K202" s="2">
        <v>6</v>
      </c>
      <c r="L202" s="2">
        <v>26</v>
      </c>
      <c r="M202" s="2">
        <v>70</v>
      </c>
      <c r="N202" s="2">
        <v>21</v>
      </c>
      <c r="O202" s="2">
        <v>3</v>
      </c>
      <c r="P202" s="2">
        <v>41</v>
      </c>
      <c r="Q202" s="2">
        <v>118</v>
      </c>
      <c r="R202" s="2" t="s">
        <v>31</v>
      </c>
      <c r="S202" s="2" t="s">
        <v>30</v>
      </c>
      <c r="T202" s="2" t="s">
        <v>28</v>
      </c>
      <c r="U202" s="2" t="s">
        <v>34</v>
      </c>
      <c r="V202" s="2" t="s">
        <v>41</v>
      </c>
      <c r="W202" s="2" t="s">
        <v>41</v>
      </c>
      <c r="X202" s="6">
        <f t="shared" si="21"/>
        <v>0.30179028132992325</v>
      </c>
      <c r="Y202" s="6">
        <f t="shared" si="22"/>
        <v>0.36986301369863012</v>
      </c>
      <c r="Z202" s="6">
        <f t="shared" si="23"/>
        <v>0.59079283887468026</v>
      </c>
      <c r="AA202" s="6">
        <f t="shared" si="24"/>
        <v>0.96065585257331043</v>
      </c>
      <c r="AB202" s="6">
        <f t="shared" si="25"/>
        <v>9.4907407407407413E-2</v>
      </c>
      <c r="AC202" s="6">
        <f t="shared" si="26"/>
        <v>0.23182711198428291</v>
      </c>
      <c r="AD202" s="6">
        <f t="shared" si="27"/>
        <v>0.28900255754475701</v>
      </c>
    </row>
    <row r="203" spans="1:30" x14ac:dyDescent="0.2">
      <c r="A203" s="3" t="s">
        <v>259</v>
      </c>
      <c r="B203" s="3">
        <v>2013</v>
      </c>
      <c r="C203" s="3">
        <v>1</v>
      </c>
      <c r="D203" s="3" t="s">
        <v>78</v>
      </c>
      <c r="E203" s="3" t="s">
        <v>6</v>
      </c>
      <c r="F203" s="3">
        <v>159</v>
      </c>
      <c r="G203" s="3">
        <v>601</v>
      </c>
      <c r="H203" s="3">
        <v>66</v>
      </c>
      <c r="I203" s="3">
        <v>158</v>
      </c>
      <c r="J203" s="3">
        <v>27</v>
      </c>
      <c r="K203" s="3">
        <v>0</v>
      </c>
      <c r="L203" s="3">
        <v>25</v>
      </c>
      <c r="M203" s="3">
        <v>76</v>
      </c>
      <c r="N203" s="3">
        <v>2</v>
      </c>
      <c r="O203" s="3">
        <v>1</v>
      </c>
      <c r="P203" s="3">
        <v>38</v>
      </c>
      <c r="Q203" s="3">
        <v>73</v>
      </c>
      <c r="R203" s="3" t="s">
        <v>34</v>
      </c>
      <c r="S203" s="3" t="s">
        <v>28</v>
      </c>
      <c r="T203" s="3" t="s">
        <v>34</v>
      </c>
      <c r="U203" s="3" t="s">
        <v>31</v>
      </c>
      <c r="V203" s="3" t="s">
        <v>43</v>
      </c>
      <c r="W203" s="3" t="s">
        <v>36</v>
      </c>
      <c r="X203" s="6">
        <f t="shared" si="21"/>
        <v>0.26289517470881862</v>
      </c>
      <c r="Y203" s="6">
        <f t="shared" si="22"/>
        <v>0.30900621118012422</v>
      </c>
      <c r="Z203" s="6">
        <f t="shared" si="23"/>
        <v>0.43261231281198004</v>
      </c>
      <c r="AA203" s="6">
        <f t="shared" si="24"/>
        <v>0.74161852399210426</v>
      </c>
      <c r="AB203" s="6">
        <f t="shared" si="25"/>
        <v>5.9467918622848198E-2</v>
      </c>
      <c r="AC203" s="6">
        <f t="shared" si="26"/>
        <v>0.1083086053412463</v>
      </c>
      <c r="AD203" s="6">
        <f t="shared" si="27"/>
        <v>0.16971713810316141</v>
      </c>
    </row>
    <row r="204" spans="1:30" x14ac:dyDescent="0.2">
      <c r="A204" s="2" t="s">
        <v>291</v>
      </c>
      <c r="B204" s="2">
        <v>2013</v>
      </c>
      <c r="C204" s="2">
        <v>1</v>
      </c>
      <c r="D204" s="2" t="s">
        <v>59</v>
      </c>
      <c r="E204" s="2" t="s">
        <v>3</v>
      </c>
      <c r="F204" s="2">
        <v>118</v>
      </c>
      <c r="G204" s="2">
        <v>424</v>
      </c>
      <c r="H204" s="2">
        <v>71</v>
      </c>
      <c r="I204" s="2">
        <v>116</v>
      </c>
      <c r="J204" s="2">
        <v>24</v>
      </c>
      <c r="K204" s="2">
        <v>3</v>
      </c>
      <c r="L204" s="2">
        <v>20</v>
      </c>
      <c r="M204" s="2">
        <v>58</v>
      </c>
      <c r="N204" s="2">
        <v>11</v>
      </c>
      <c r="O204" s="2">
        <v>4</v>
      </c>
      <c r="P204" s="2">
        <v>61</v>
      </c>
      <c r="Q204" s="2">
        <v>94</v>
      </c>
      <c r="R204" s="2" t="s">
        <v>33</v>
      </c>
      <c r="S204" s="2" t="s">
        <v>32</v>
      </c>
      <c r="T204" s="2" t="s">
        <v>34</v>
      </c>
      <c r="U204" s="2" t="s">
        <v>33</v>
      </c>
      <c r="V204" s="2" t="s">
        <v>33</v>
      </c>
      <c r="W204" s="2" t="s">
        <v>39</v>
      </c>
      <c r="X204" s="6">
        <f t="shared" si="21"/>
        <v>0.27358490566037735</v>
      </c>
      <c r="Y204" s="6">
        <f t="shared" si="22"/>
        <v>0.37349397590361444</v>
      </c>
      <c r="Z204" s="6">
        <f t="shared" si="23"/>
        <v>0.48584905660377359</v>
      </c>
      <c r="AA204" s="6">
        <f t="shared" si="24"/>
        <v>0.85934303250738808</v>
      </c>
      <c r="AB204" s="6">
        <f t="shared" si="25"/>
        <v>0.12577319587628866</v>
      </c>
      <c r="AC204" s="6">
        <f t="shared" si="26"/>
        <v>0.18146718146718147</v>
      </c>
      <c r="AD204" s="6">
        <f t="shared" si="27"/>
        <v>0.21226415094339623</v>
      </c>
    </row>
    <row r="205" spans="1:30" x14ac:dyDescent="0.2">
      <c r="A205" s="3" t="s">
        <v>292</v>
      </c>
      <c r="B205" s="3">
        <v>2013</v>
      </c>
      <c r="C205" s="3">
        <v>1</v>
      </c>
      <c r="D205" s="3" t="s">
        <v>83</v>
      </c>
      <c r="E205" s="3" t="s">
        <v>3</v>
      </c>
      <c r="F205" s="3">
        <v>27</v>
      </c>
      <c r="G205" s="3">
        <v>58</v>
      </c>
      <c r="H205" s="3">
        <v>2</v>
      </c>
      <c r="I205" s="3">
        <v>5</v>
      </c>
      <c r="J205" s="3">
        <v>2</v>
      </c>
      <c r="K205" s="3">
        <v>0</v>
      </c>
      <c r="L205" s="3">
        <v>0</v>
      </c>
      <c r="M205" s="3">
        <v>2</v>
      </c>
      <c r="N205" s="3">
        <v>0</v>
      </c>
      <c r="O205" s="3">
        <v>0</v>
      </c>
      <c r="P205" s="3">
        <v>1</v>
      </c>
      <c r="Q205" s="3">
        <v>27</v>
      </c>
      <c r="R205" s="3" t="s">
        <v>28</v>
      </c>
      <c r="S205" s="3" t="s">
        <v>28</v>
      </c>
      <c r="T205" s="3" t="s">
        <v>32</v>
      </c>
      <c r="U205" s="3" t="s">
        <v>28</v>
      </c>
      <c r="V205" s="3" t="s">
        <v>31</v>
      </c>
      <c r="W205" s="3" t="s">
        <v>30</v>
      </c>
      <c r="X205" s="6">
        <f t="shared" si="21"/>
        <v>8.6206896551724144E-2</v>
      </c>
      <c r="Y205" s="6">
        <f t="shared" si="22"/>
        <v>0.10169491525423729</v>
      </c>
      <c r="Z205" s="6">
        <f t="shared" si="23"/>
        <v>0.1206896551724138</v>
      </c>
      <c r="AA205" s="6">
        <f t="shared" si="24"/>
        <v>0.22238457042665111</v>
      </c>
      <c r="AB205" s="6">
        <f t="shared" si="25"/>
        <v>1.6949152542372881E-2</v>
      </c>
      <c r="AC205" s="6">
        <f t="shared" si="26"/>
        <v>0.31764705882352939</v>
      </c>
      <c r="AD205" s="6">
        <f t="shared" si="27"/>
        <v>3.4482758620689655E-2</v>
      </c>
    </row>
    <row r="206" spans="1:30" x14ac:dyDescent="0.2">
      <c r="A206" s="2" t="s">
        <v>267</v>
      </c>
      <c r="B206" s="2">
        <v>2013</v>
      </c>
      <c r="C206" s="2">
        <v>1</v>
      </c>
      <c r="D206" s="2" t="s">
        <v>78</v>
      </c>
      <c r="E206" s="2" t="s">
        <v>6</v>
      </c>
      <c r="F206" s="2">
        <v>160</v>
      </c>
      <c r="G206" s="2">
        <v>653</v>
      </c>
      <c r="H206" s="2">
        <v>100</v>
      </c>
      <c r="I206" s="2">
        <v>186</v>
      </c>
      <c r="J206" s="2">
        <v>35</v>
      </c>
      <c r="K206" s="2">
        <v>1</v>
      </c>
      <c r="L206" s="2">
        <v>33</v>
      </c>
      <c r="M206" s="2">
        <v>108</v>
      </c>
      <c r="N206" s="2">
        <v>14</v>
      </c>
      <c r="O206" s="2">
        <v>3</v>
      </c>
      <c r="P206" s="2">
        <v>25</v>
      </c>
      <c r="Q206" s="2">
        <v>136</v>
      </c>
      <c r="R206" s="2" t="s">
        <v>33</v>
      </c>
      <c r="S206" s="2" t="s">
        <v>39</v>
      </c>
      <c r="T206" s="2" t="s">
        <v>28</v>
      </c>
      <c r="U206" s="2" t="s">
        <v>34</v>
      </c>
      <c r="V206" s="2" t="s">
        <v>44</v>
      </c>
      <c r="W206" s="2" t="s">
        <v>39</v>
      </c>
      <c r="X206" s="6">
        <f t="shared" si="21"/>
        <v>0.28483920367534454</v>
      </c>
      <c r="Y206" s="6">
        <f t="shared" si="22"/>
        <v>0.32178932178932179</v>
      </c>
      <c r="Z206" s="6">
        <f t="shared" si="23"/>
        <v>0.49310872894333846</v>
      </c>
      <c r="AA206" s="6">
        <f t="shared" si="24"/>
        <v>0.8148980507326602</v>
      </c>
      <c r="AB206" s="6">
        <f t="shared" si="25"/>
        <v>3.687315634218289E-2</v>
      </c>
      <c r="AC206" s="6">
        <f t="shared" si="26"/>
        <v>0.17237008871989862</v>
      </c>
      <c r="AD206" s="6">
        <f t="shared" si="27"/>
        <v>0.20826952526799392</v>
      </c>
    </row>
    <row r="207" spans="1:30" x14ac:dyDescent="0.2">
      <c r="A207" s="3" t="s">
        <v>251</v>
      </c>
      <c r="B207" s="3">
        <v>2013</v>
      </c>
      <c r="C207" s="3">
        <v>1</v>
      </c>
      <c r="D207" s="3" t="s">
        <v>81</v>
      </c>
      <c r="E207" s="3" t="s">
        <v>6</v>
      </c>
      <c r="F207" s="3">
        <v>113</v>
      </c>
      <c r="G207" s="3">
        <v>445</v>
      </c>
      <c r="H207" s="3">
        <v>62</v>
      </c>
      <c r="I207" s="3">
        <v>144</v>
      </c>
      <c r="J207" s="3">
        <v>35</v>
      </c>
      <c r="K207" s="3">
        <v>0</v>
      </c>
      <c r="L207" s="3">
        <v>11</v>
      </c>
      <c r="M207" s="3">
        <v>47</v>
      </c>
      <c r="N207" s="3">
        <v>0</v>
      </c>
      <c r="O207" s="3">
        <v>1</v>
      </c>
      <c r="P207" s="3">
        <v>61</v>
      </c>
      <c r="Q207" s="3">
        <v>89</v>
      </c>
      <c r="R207" s="3" t="s">
        <v>41</v>
      </c>
      <c r="S207" s="3" t="s">
        <v>28</v>
      </c>
      <c r="T207" s="3" t="s">
        <v>28</v>
      </c>
      <c r="U207" s="3" t="s">
        <v>31</v>
      </c>
      <c r="V207" s="3" t="s">
        <v>41</v>
      </c>
      <c r="W207" s="3" t="s">
        <v>31</v>
      </c>
      <c r="X207" s="6">
        <f t="shared" si="21"/>
        <v>0.32359550561797751</v>
      </c>
      <c r="Y207" s="6">
        <f t="shared" si="22"/>
        <v>0.4116504854368932</v>
      </c>
      <c r="Z207" s="6">
        <f t="shared" si="23"/>
        <v>0.47640449438202248</v>
      </c>
      <c r="AA207" s="6">
        <f t="shared" si="24"/>
        <v>0.88805497981891568</v>
      </c>
      <c r="AB207" s="6">
        <f t="shared" si="25"/>
        <v>0.12055335968379446</v>
      </c>
      <c r="AC207" s="6">
        <f t="shared" si="26"/>
        <v>0.16666666666666666</v>
      </c>
      <c r="AD207" s="6">
        <f t="shared" si="27"/>
        <v>0.15280898876404497</v>
      </c>
    </row>
    <row r="208" spans="1:30" x14ac:dyDescent="0.2">
      <c r="A208" s="2" t="s">
        <v>252</v>
      </c>
      <c r="B208" s="2">
        <v>2013</v>
      </c>
      <c r="C208" s="2">
        <v>1</v>
      </c>
      <c r="D208" s="2" t="s">
        <v>60</v>
      </c>
      <c r="E208" s="2" t="s">
        <v>3</v>
      </c>
      <c r="F208" s="2">
        <v>136</v>
      </c>
      <c r="G208" s="2">
        <v>505</v>
      </c>
      <c r="H208" s="2">
        <v>68</v>
      </c>
      <c r="I208" s="2">
        <v>161</v>
      </c>
      <c r="J208" s="2">
        <v>44</v>
      </c>
      <c r="K208" s="2">
        <v>0</v>
      </c>
      <c r="L208" s="2">
        <v>12</v>
      </c>
      <c r="M208" s="2">
        <v>80</v>
      </c>
      <c r="N208" s="2">
        <v>3</v>
      </c>
      <c r="O208" s="2">
        <v>2</v>
      </c>
      <c r="P208" s="2">
        <v>30</v>
      </c>
      <c r="Q208" s="2">
        <v>55</v>
      </c>
      <c r="R208" s="2" t="s">
        <v>33</v>
      </c>
      <c r="S208" s="2" t="s">
        <v>34</v>
      </c>
      <c r="T208" s="2" t="s">
        <v>28</v>
      </c>
      <c r="U208" s="2" t="s">
        <v>34</v>
      </c>
      <c r="V208" s="2" t="s">
        <v>43</v>
      </c>
      <c r="W208" s="2" t="s">
        <v>31</v>
      </c>
      <c r="X208" s="6">
        <f t="shared" si="21"/>
        <v>0.31881188118811882</v>
      </c>
      <c r="Y208" s="6">
        <f t="shared" si="22"/>
        <v>0.363302752293578</v>
      </c>
      <c r="Z208" s="6">
        <f t="shared" si="23"/>
        <v>0.47722772277227721</v>
      </c>
      <c r="AA208" s="6">
        <f t="shared" si="24"/>
        <v>0.84053047506585521</v>
      </c>
      <c r="AB208" s="6">
        <f t="shared" si="25"/>
        <v>5.6074766355140186E-2</v>
      </c>
      <c r="AC208" s="6">
        <f t="shared" si="26"/>
        <v>9.8214285714285712E-2</v>
      </c>
      <c r="AD208" s="6">
        <f t="shared" si="27"/>
        <v>0.15841584158415839</v>
      </c>
    </row>
    <row r="209" spans="1:30" x14ac:dyDescent="0.2">
      <c r="A209" s="3" t="s">
        <v>198</v>
      </c>
      <c r="B209" s="3">
        <v>2013</v>
      </c>
      <c r="C209" s="3">
        <v>1</v>
      </c>
      <c r="D209" s="3" t="s">
        <v>68</v>
      </c>
      <c r="E209" s="3" t="s">
        <v>6</v>
      </c>
      <c r="F209" s="3">
        <v>137</v>
      </c>
      <c r="G209" s="3">
        <v>518</v>
      </c>
      <c r="H209" s="3">
        <v>84</v>
      </c>
      <c r="I209" s="3">
        <v>160</v>
      </c>
      <c r="J209" s="3">
        <v>38</v>
      </c>
      <c r="K209" s="3">
        <v>2</v>
      </c>
      <c r="L209" s="3">
        <v>30</v>
      </c>
      <c r="M209" s="3">
        <v>103</v>
      </c>
      <c r="N209" s="3">
        <v>4</v>
      </c>
      <c r="O209" s="3">
        <v>0</v>
      </c>
      <c r="P209" s="3">
        <v>76</v>
      </c>
      <c r="Q209" s="3">
        <v>88</v>
      </c>
      <c r="R209" s="3" t="s">
        <v>62</v>
      </c>
      <c r="S209" s="3" t="s">
        <v>30</v>
      </c>
      <c r="T209" s="3" t="s">
        <v>28</v>
      </c>
      <c r="U209" s="3" t="s">
        <v>32</v>
      </c>
      <c r="V209" s="3" t="s">
        <v>49</v>
      </c>
      <c r="W209" s="3" t="s">
        <v>28</v>
      </c>
      <c r="X209" s="6">
        <f t="shared" si="21"/>
        <v>0.30888030888030887</v>
      </c>
      <c r="Y209" s="6">
        <f t="shared" si="22"/>
        <v>0.42105263157894735</v>
      </c>
      <c r="Z209" s="6">
        <f t="shared" si="23"/>
        <v>0.56370656370656369</v>
      </c>
      <c r="AA209" s="6">
        <f t="shared" si="24"/>
        <v>0.98475919528551104</v>
      </c>
      <c r="AB209" s="6">
        <f t="shared" si="25"/>
        <v>0.12794612794612795</v>
      </c>
      <c r="AC209" s="6">
        <f t="shared" si="26"/>
        <v>0.14521452145214522</v>
      </c>
      <c r="AD209" s="6">
        <f t="shared" si="27"/>
        <v>0.25482625482625482</v>
      </c>
    </row>
    <row r="210" spans="1:30" x14ac:dyDescent="0.2">
      <c r="A210" s="2" t="s">
        <v>233</v>
      </c>
      <c r="B210" s="2">
        <v>2013</v>
      </c>
      <c r="C210" s="2">
        <v>1</v>
      </c>
      <c r="D210" s="2" t="s">
        <v>53</v>
      </c>
      <c r="E210" s="2" t="s">
        <v>3</v>
      </c>
      <c r="F210" s="2">
        <v>151</v>
      </c>
      <c r="G210" s="2">
        <v>606</v>
      </c>
      <c r="H210" s="2">
        <v>80</v>
      </c>
      <c r="I210" s="2">
        <v>158</v>
      </c>
      <c r="J210" s="2">
        <v>24</v>
      </c>
      <c r="K210" s="2">
        <v>2</v>
      </c>
      <c r="L210" s="2">
        <v>18</v>
      </c>
      <c r="M210" s="2">
        <v>103</v>
      </c>
      <c r="N210" s="2">
        <v>5</v>
      </c>
      <c r="O210" s="2">
        <v>3</v>
      </c>
      <c r="P210" s="2">
        <v>39</v>
      </c>
      <c r="Q210" s="2">
        <v>98</v>
      </c>
      <c r="R210" s="2" t="s">
        <v>36</v>
      </c>
      <c r="S210" s="2" t="s">
        <v>39</v>
      </c>
      <c r="T210" s="2" t="s">
        <v>33</v>
      </c>
      <c r="U210" s="2" t="s">
        <v>42</v>
      </c>
      <c r="V210" s="2" t="s">
        <v>52</v>
      </c>
      <c r="W210" s="2" t="s">
        <v>33</v>
      </c>
      <c r="X210" s="6">
        <f t="shared" si="21"/>
        <v>0.26072607260726072</v>
      </c>
      <c r="Y210" s="6">
        <f t="shared" si="22"/>
        <v>0.31586826347305391</v>
      </c>
      <c r="Z210" s="6">
        <f t="shared" si="23"/>
        <v>0.39603960396039606</v>
      </c>
      <c r="AA210" s="6">
        <f t="shared" si="24"/>
        <v>0.71190786743345003</v>
      </c>
      <c r="AB210" s="6">
        <f t="shared" si="25"/>
        <v>6.0465116279069767E-2</v>
      </c>
      <c r="AC210" s="6">
        <f t="shared" si="26"/>
        <v>0.13920454545454544</v>
      </c>
      <c r="AD210" s="6">
        <f t="shared" si="27"/>
        <v>0.13531353135313534</v>
      </c>
    </row>
    <row r="211" spans="1:30" x14ac:dyDescent="0.2">
      <c r="A211" s="3" t="s">
        <v>287</v>
      </c>
      <c r="B211" s="3">
        <v>2013</v>
      </c>
      <c r="C211" s="3">
        <v>1</v>
      </c>
      <c r="D211" s="3" t="s">
        <v>67</v>
      </c>
      <c r="E211" s="3" t="s">
        <v>6</v>
      </c>
      <c r="F211" s="3">
        <v>32</v>
      </c>
      <c r="G211" s="3">
        <v>3</v>
      </c>
      <c r="H211" s="3">
        <v>0</v>
      </c>
      <c r="I211" s="3">
        <v>1</v>
      </c>
      <c r="J211" s="3">
        <v>1</v>
      </c>
      <c r="K211" s="3">
        <v>0</v>
      </c>
      <c r="L211" s="3">
        <v>0</v>
      </c>
      <c r="M211" s="3">
        <v>1</v>
      </c>
      <c r="N211" s="3">
        <v>0</v>
      </c>
      <c r="O211" s="3">
        <v>0</v>
      </c>
      <c r="P211" s="3">
        <v>0</v>
      </c>
      <c r="Q211" s="3">
        <v>0</v>
      </c>
      <c r="R211" s="3" t="s">
        <v>28</v>
      </c>
      <c r="S211" s="3" t="s">
        <v>28</v>
      </c>
      <c r="T211" s="3" t="s">
        <v>28</v>
      </c>
      <c r="U211" s="3" t="s">
        <v>28</v>
      </c>
      <c r="V211" s="3" t="s">
        <v>28</v>
      </c>
      <c r="W211" s="3" t="s">
        <v>30</v>
      </c>
      <c r="X211" s="6">
        <f t="shared" si="21"/>
        <v>0.33333333333333331</v>
      </c>
      <c r="Y211" s="6">
        <f t="shared" si="22"/>
        <v>0.33333333333333331</v>
      </c>
      <c r="Z211" s="6">
        <f t="shared" si="23"/>
        <v>0.66666666666666663</v>
      </c>
      <c r="AA211" s="6">
        <f t="shared" si="24"/>
        <v>1</v>
      </c>
      <c r="AB211" s="6">
        <f t="shared" si="25"/>
        <v>0</v>
      </c>
      <c r="AC211" s="6">
        <f t="shared" si="26"/>
        <v>0</v>
      </c>
      <c r="AD211" s="6">
        <f t="shared" si="27"/>
        <v>0.33333333333333331</v>
      </c>
    </row>
    <row r="212" spans="1:30" x14ac:dyDescent="0.2">
      <c r="A212" s="2" t="s">
        <v>290</v>
      </c>
      <c r="B212" s="2">
        <v>2013</v>
      </c>
      <c r="C212" s="2">
        <v>1</v>
      </c>
      <c r="D212" s="2" t="s">
        <v>2</v>
      </c>
      <c r="E212" s="2" t="s">
        <v>6</v>
      </c>
      <c r="F212" s="2">
        <v>157</v>
      </c>
      <c r="G212" s="2">
        <v>589</v>
      </c>
      <c r="H212" s="2">
        <v>109</v>
      </c>
      <c r="I212" s="2">
        <v>190</v>
      </c>
      <c r="J212" s="2">
        <v>39</v>
      </c>
      <c r="K212" s="2">
        <v>9</v>
      </c>
      <c r="L212" s="2">
        <v>27</v>
      </c>
      <c r="M212" s="2">
        <v>97</v>
      </c>
      <c r="N212" s="2">
        <v>33</v>
      </c>
      <c r="O212" s="2">
        <v>7</v>
      </c>
      <c r="P212" s="2">
        <v>110</v>
      </c>
      <c r="Q212" s="2">
        <v>136</v>
      </c>
      <c r="R212" s="2" t="s">
        <v>37</v>
      </c>
      <c r="S212" s="2" t="s">
        <v>42</v>
      </c>
      <c r="T212" s="2" t="s">
        <v>28</v>
      </c>
      <c r="U212" s="2" t="s">
        <v>39</v>
      </c>
      <c r="V212" s="2" t="s">
        <v>39</v>
      </c>
      <c r="W212" s="2" t="s">
        <v>41</v>
      </c>
      <c r="X212" s="6">
        <f t="shared" si="21"/>
        <v>0.32258064516129031</v>
      </c>
      <c r="Y212" s="6">
        <f t="shared" si="22"/>
        <v>0.43939393939393939</v>
      </c>
      <c r="Z212" s="6">
        <f t="shared" si="23"/>
        <v>0.55687606112054333</v>
      </c>
      <c r="AA212" s="6">
        <f t="shared" si="24"/>
        <v>0.99627000051448267</v>
      </c>
      <c r="AB212" s="6">
        <f t="shared" si="25"/>
        <v>0.15736766809728184</v>
      </c>
      <c r="AC212" s="6">
        <f t="shared" si="26"/>
        <v>0.18758620689655173</v>
      </c>
      <c r="AD212" s="6">
        <f t="shared" si="27"/>
        <v>0.23429541595925302</v>
      </c>
    </row>
    <row r="213" spans="1:30" x14ac:dyDescent="0.2">
      <c r="A213" s="3" t="s">
        <v>273</v>
      </c>
      <c r="B213" s="3">
        <v>2013</v>
      </c>
      <c r="C213" s="3">
        <v>1</v>
      </c>
      <c r="D213" s="3" t="s">
        <v>164</v>
      </c>
      <c r="E213" s="3" t="s">
        <v>3</v>
      </c>
      <c r="F213" s="3">
        <v>126</v>
      </c>
      <c r="G213" s="3">
        <v>446</v>
      </c>
      <c r="H213" s="3">
        <v>72</v>
      </c>
      <c r="I213" s="3">
        <v>139</v>
      </c>
      <c r="J213" s="3">
        <v>27</v>
      </c>
      <c r="K213" s="3">
        <v>0</v>
      </c>
      <c r="L213" s="3">
        <v>25</v>
      </c>
      <c r="M213" s="3">
        <v>82</v>
      </c>
      <c r="N213" s="3">
        <v>1</v>
      </c>
      <c r="O213" s="3">
        <v>0</v>
      </c>
      <c r="P213" s="3">
        <v>57</v>
      </c>
      <c r="Q213" s="3">
        <v>85</v>
      </c>
      <c r="R213" s="3" t="s">
        <v>32</v>
      </c>
      <c r="S213" s="3" t="s">
        <v>33</v>
      </c>
      <c r="T213" s="3" t="s">
        <v>28</v>
      </c>
      <c r="U213" s="3" t="s">
        <v>32</v>
      </c>
      <c r="V213" s="3" t="s">
        <v>42</v>
      </c>
      <c r="W213" s="3" t="s">
        <v>36</v>
      </c>
      <c r="X213" s="6">
        <f t="shared" si="21"/>
        <v>0.31165919282511212</v>
      </c>
      <c r="Y213" s="6">
        <f t="shared" si="22"/>
        <v>0.39651837524177952</v>
      </c>
      <c r="Z213" s="6">
        <f t="shared" si="23"/>
        <v>0.54035874439461884</v>
      </c>
      <c r="AA213" s="6">
        <f t="shared" si="24"/>
        <v>0.9368771196363983</v>
      </c>
      <c r="AB213" s="6">
        <f t="shared" si="25"/>
        <v>0.11332007952286283</v>
      </c>
      <c r="AC213" s="6">
        <f t="shared" si="26"/>
        <v>0.160075329566855</v>
      </c>
      <c r="AD213" s="6">
        <f t="shared" si="27"/>
        <v>0.22869955156950672</v>
      </c>
    </row>
    <row r="214" spans="1:30" x14ac:dyDescent="0.2">
      <c r="A214" s="2" t="s">
        <v>280</v>
      </c>
      <c r="B214" s="2">
        <v>2013</v>
      </c>
      <c r="C214" s="2">
        <v>1</v>
      </c>
      <c r="D214" s="2" t="s">
        <v>53</v>
      </c>
      <c r="E214" s="2" t="s">
        <v>3</v>
      </c>
      <c r="F214" s="2">
        <v>162</v>
      </c>
      <c r="G214" s="2">
        <v>581</v>
      </c>
      <c r="H214" s="2">
        <v>101</v>
      </c>
      <c r="I214" s="2">
        <v>177</v>
      </c>
      <c r="J214" s="2">
        <v>30</v>
      </c>
      <c r="K214" s="2">
        <v>3</v>
      </c>
      <c r="L214" s="2">
        <v>24</v>
      </c>
      <c r="M214" s="2">
        <v>73</v>
      </c>
      <c r="N214" s="2">
        <v>6</v>
      </c>
      <c r="O214" s="2">
        <v>3</v>
      </c>
      <c r="P214" s="2">
        <v>135</v>
      </c>
      <c r="Q214" s="2">
        <v>138</v>
      </c>
      <c r="R214" s="2" t="s">
        <v>52</v>
      </c>
      <c r="S214" s="2" t="s">
        <v>33</v>
      </c>
      <c r="T214" s="2" t="s">
        <v>28</v>
      </c>
      <c r="U214" s="2" t="s">
        <v>36</v>
      </c>
      <c r="V214" s="2" t="s">
        <v>44</v>
      </c>
      <c r="W214" s="2" t="s">
        <v>34</v>
      </c>
      <c r="X214" s="6">
        <f t="shared" si="21"/>
        <v>0.30464716006884679</v>
      </c>
      <c r="Y214" s="6">
        <f t="shared" si="22"/>
        <v>0.44966442953020136</v>
      </c>
      <c r="Z214" s="6">
        <f t="shared" si="23"/>
        <v>0.49053356282271943</v>
      </c>
      <c r="AA214" s="6">
        <f t="shared" si="24"/>
        <v>0.94019799235292079</v>
      </c>
      <c r="AB214" s="6">
        <f t="shared" si="25"/>
        <v>0.18854748603351956</v>
      </c>
      <c r="AC214" s="6">
        <f t="shared" si="26"/>
        <v>0.19193324061196107</v>
      </c>
      <c r="AD214" s="6">
        <f t="shared" si="27"/>
        <v>0.18588640275387264</v>
      </c>
    </row>
    <row r="215" spans="1:30" x14ac:dyDescent="0.2">
      <c r="A215" s="3" t="s">
        <v>253</v>
      </c>
      <c r="B215" s="3">
        <v>2013</v>
      </c>
      <c r="C215" s="3">
        <v>1</v>
      </c>
      <c r="D215" s="3" t="s">
        <v>83</v>
      </c>
      <c r="E215" s="3" t="s">
        <v>3</v>
      </c>
      <c r="F215" s="3">
        <v>112</v>
      </c>
      <c r="G215" s="3">
        <v>430</v>
      </c>
      <c r="H215" s="3">
        <v>63</v>
      </c>
      <c r="I215" s="3">
        <v>132</v>
      </c>
      <c r="J215" s="3">
        <v>23</v>
      </c>
      <c r="K215" s="3">
        <v>6</v>
      </c>
      <c r="L215" s="3">
        <v>18</v>
      </c>
      <c r="M215" s="3">
        <v>58</v>
      </c>
      <c r="N215" s="3">
        <v>17</v>
      </c>
      <c r="O215" s="3">
        <v>3</v>
      </c>
      <c r="P215" s="3">
        <v>55</v>
      </c>
      <c r="Q215" s="3">
        <v>79</v>
      </c>
      <c r="R215" s="3" t="s">
        <v>32</v>
      </c>
      <c r="S215" s="3" t="s">
        <v>32</v>
      </c>
      <c r="T215" s="3" t="s">
        <v>28</v>
      </c>
      <c r="U215" s="3" t="s">
        <v>31</v>
      </c>
      <c r="V215" s="3" t="s">
        <v>40</v>
      </c>
      <c r="W215" s="3" t="s">
        <v>32</v>
      </c>
      <c r="X215" s="6">
        <f t="shared" si="21"/>
        <v>0.30697674418604654</v>
      </c>
      <c r="Y215" s="6">
        <f t="shared" si="22"/>
        <v>0.39637826961770622</v>
      </c>
      <c r="Z215" s="6">
        <f t="shared" si="23"/>
        <v>0.51395348837209298</v>
      </c>
      <c r="AA215" s="6">
        <f t="shared" si="24"/>
        <v>0.91033175798979915</v>
      </c>
      <c r="AB215" s="6">
        <f t="shared" si="25"/>
        <v>0.1134020618556701</v>
      </c>
      <c r="AC215" s="6">
        <f t="shared" si="26"/>
        <v>0.15520628683693516</v>
      </c>
      <c r="AD215" s="6">
        <f t="shared" si="27"/>
        <v>0.20697674418604645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F919-5CF6-0543-89AD-5D74D0B4BBCA}">
  <dimension ref="A1:AF382"/>
  <sheetViews>
    <sheetView tabSelected="1" zoomScale="50" zoomScaleNormal="97" workbookViewId="0">
      <selection activeCell="Z2" sqref="Z2"/>
    </sheetView>
  </sheetViews>
  <sheetFormatPr baseColWidth="10" defaultRowHeight="16" x14ac:dyDescent="0.2"/>
  <cols>
    <col min="1" max="1" width="12.83203125" bestFit="1" customWidth="1"/>
    <col min="2" max="2" width="9" bestFit="1" customWidth="1"/>
    <col min="3" max="3" width="11.1640625" bestFit="1" customWidth="1"/>
    <col min="4" max="4" width="9.6640625" bestFit="1" customWidth="1"/>
    <col min="5" max="5" width="10.1640625" bestFit="1" customWidth="1"/>
    <col min="6" max="6" width="10.1640625" customWidth="1"/>
    <col min="7" max="7" width="0" hidden="1" customWidth="1"/>
    <col min="8" max="8" width="6" bestFit="1" customWidth="1"/>
    <col min="9" max="9" width="7.33203125" bestFit="1" customWidth="1"/>
    <col min="10" max="11" width="5.83203125" bestFit="1" customWidth="1"/>
    <col min="12" max="12" width="6.1640625" bestFit="1" customWidth="1"/>
    <col min="13" max="13" width="7.83203125" bestFit="1" customWidth="1"/>
    <col min="14" max="14" width="6.5" bestFit="1" customWidth="1"/>
    <col min="15" max="15" width="12.1640625" bestFit="1" customWidth="1"/>
    <col min="18" max="20" width="10.83203125" customWidth="1"/>
    <col min="21" max="21" width="11" bestFit="1" customWidth="1"/>
    <col min="22" max="22" width="10.6640625" bestFit="1" customWidth="1"/>
    <col min="23" max="24" width="11" bestFit="1" customWidth="1"/>
    <col min="25" max="25" width="12.5" bestFit="1" customWidth="1"/>
    <col min="26" max="26" width="25.5" bestFit="1" customWidth="1"/>
    <col min="27" max="27" width="21.1640625" bestFit="1" customWidth="1"/>
    <col min="28" max="28" width="16.83203125" bestFit="1" customWidth="1"/>
    <col min="29" max="29" width="15.5" bestFit="1" customWidth="1"/>
    <col min="30" max="30" width="15.83203125" customWidth="1"/>
    <col min="31" max="31" width="23" bestFit="1" customWidth="1"/>
    <col min="32" max="32" width="9.6640625" bestFit="1" customWidth="1"/>
    <col min="36" max="36" width="5" bestFit="1" customWidth="1"/>
    <col min="37" max="37" width="16.6640625" bestFit="1" customWidth="1"/>
    <col min="39" max="39" width="20.1640625" bestFit="1" customWidth="1"/>
    <col min="40" max="40" width="6.5" bestFit="1" customWidth="1"/>
    <col min="41" max="41" width="5.83203125" bestFit="1" customWidth="1"/>
    <col min="44" max="44" width="13" bestFit="1" customWidth="1"/>
    <col min="45" max="45" width="17.5" bestFit="1" customWidth="1"/>
    <col min="46" max="46" width="7" bestFit="1" customWidth="1"/>
    <col min="47" max="47" width="12.1640625" bestFit="1" customWidth="1"/>
    <col min="48" max="48" width="6" bestFit="1" customWidth="1"/>
    <col min="49" max="49" width="22" bestFit="1" customWidth="1"/>
    <col min="50" max="50" width="6.5" bestFit="1" customWidth="1"/>
  </cols>
  <sheetData>
    <row r="1" spans="1:32" x14ac:dyDescent="0.2">
      <c r="A1" t="s">
        <v>308</v>
      </c>
      <c r="B1" t="s">
        <v>311</v>
      </c>
      <c r="C1" t="s">
        <v>312</v>
      </c>
      <c r="D1" t="s">
        <v>313</v>
      </c>
      <c r="E1" t="s">
        <v>314</v>
      </c>
      <c r="F1" t="s">
        <v>315</v>
      </c>
      <c r="G1" t="s">
        <v>341</v>
      </c>
      <c r="H1" t="s">
        <v>316</v>
      </c>
      <c r="I1" t="s">
        <v>317</v>
      </c>
      <c r="J1" t="s">
        <v>4</v>
      </c>
      <c r="K1" t="s">
        <v>5</v>
      </c>
      <c r="L1" t="s">
        <v>0</v>
      </c>
      <c r="M1" t="s">
        <v>318</v>
      </c>
      <c r="N1" t="s">
        <v>1</v>
      </c>
      <c r="O1" t="s">
        <v>319</v>
      </c>
      <c r="P1" t="s">
        <v>320</v>
      </c>
      <c r="Q1" t="s">
        <v>321</v>
      </c>
      <c r="R1" t="s">
        <v>322</v>
      </c>
      <c r="S1" t="s">
        <v>323</v>
      </c>
      <c r="T1" t="s">
        <v>324</v>
      </c>
      <c r="U1" t="s">
        <v>293</v>
      </c>
      <c r="V1" t="s">
        <v>297</v>
      </c>
      <c r="W1" t="s">
        <v>298</v>
      </c>
      <c r="X1" t="s">
        <v>325</v>
      </c>
      <c r="Y1" t="s">
        <v>328</v>
      </c>
      <c r="Z1" t="s">
        <v>326</v>
      </c>
      <c r="AA1" t="s">
        <v>327</v>
      </c>
      <c r="AB1" t="s">
        <v>336</v>
      </c>
      <c r="AC1" t="s">
        <v>337</v>
      </c>
      <c r="AD1" t="s">
        <v>338</v>
      </c>
      <c r="AE1" t="s">
        <v>339</v>
      </c>
      <c r="AF1" t="s">
        <v>340</v>
      </c>
    </row>
    <row r="2" spans="1:32" x14ac:dyDescent="0.2">
      <c r="A2" t="s">
        <v>310</v>
      </c>
      <c r="B2">
        <v>2012</v>
      </c>
      <c r="C2" t="s">
        <v>270</v>
      </c>
      <c r="D2" t="s">
        <v>6</v>
      </c>
      <c r="E2" t="s">
        <v>90</v>
      </c>
      <c r="F2" t="str">
        <f>_xlfn.XLOOKUP(Cleaned_MLB_Stats_Dataset__1[[#This Row],[Position'#]],$B$373:$B$382,$A$373:$A$382)</f>
        <v>C</v>
      </c>
      <c r="G2">
        <v>2</v>
      </c>
      <c r="H2">
        <v>352</v>
      </c>
      <c r="I2">
        <v>80</v>
      </c>
      <c r="J2">
        <v>9</v>
      </c>
      <c r="K2">
        <v>2</v>
      </c>
      <c r="L2">
        <v>24</v>
      </c>
      <c r="M2">
        <v>53</v>
      </c>
      <c r="N2">
        <v>56</v>
      </c>
      <c r="O2">
        <v>125</v>
      </c>
      <c r="P2">
        <v>56</v>
      </c>
      <c r="Q2">
        <v>5</v>
      </c>
      <c r="R2">
        <v>7</v>
      </c>
      <c r="S2">
        <v>2</v>
      </c>
      <c r="T2">
        <v>0</v>
      </c>
      <c r="U2" s="6">
        <f>Cleaned_MLB_Stats_Dataset__1[[#This Row],[Hits]]/Cleaned_MLB_Stats_Dataset__1[[#This Row],[At Bats]]</f>
        <v>0.22727272727272727</v>
      </c>
      <c r="V2" s="6">
        <f>Cleaned_MLB_Stats_Dataset__1[[#This Row],[Strikeouts]]/(Cleaned_MLB_Stats_Dataset__1[[#This Row],[At Bats]]+Cleaned_MLB_Stats_Dataset__1[[#This Row],[Walks]])</f>
        <v>0.30637254901960786</v>
      </c>
      <c r="W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0.15180722891566265</v>
      </c>
      <c r="X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0.34292565947242204</v>
      </c>
      <c r="Y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0.46875</v>
      </c>
      <c r="Z2" s="6">
        <f>Cleaned_MLB_Stats_Dataset__1[[#This Row],[On Base Percentage]]+Cleaned_MLB_Stats_Dataset__1[[#This Row],[Slugging %]]</f>
        <v>0.81167565947242204</v>
      </c>
      <c r="AA2" s="6">
        <f>Cleaned_MLB_Stats_Dataset__1[[#This Row],[Slugging %]]-Cleaned_MLB_Stats_Dataset__1[[#This Row],[Batting Average]]</f>
        <v>0.24147727272727273</v>
      </c>
      <c r="AB2" s="6">
        <f>Cleaned_MLB_Stats_Dataset__1[[#This Row],[Batting Average]]-_xlfn.XLOOKUP(Cleaned_MLB_Stats_Dataset__1[[#This Row],[Year]],'League Averages'!$A$3:$A$23,'League Averages'!$B$3:$B$23)</f>
        <v>-2.7727272727272739E-2</v>
      </c>
      <c r="AC2" s="6">
        <f>Cleaned_MLB_Stats_Dataset__1[[#This Row],[On Base Percentage]]-_xlfn.XLOOKUP(Cleaned_MLB_Stats_Dataset__1[[#This Row],[Year]],'League Averages'!$A$3:$A$23,'League Averages'!$C$3:$C$23)</f>
        <v>2.3925659472422034E-2</v>
      </c>
      <c r="AD2" s="6">
        <f>Cleaned_MLB_Stats_Dataset__1[[#This Row],[Slugging %]]-_xlfn.XLOOKUP(Cleaned_MLB_Stats_Dataset__1[[#This Row],[Year]],'League Averages'!$A$3:$A$23,'League Averages'!$D$3:$D$23)</f>
        <v>6.3749999999999973E-2</v>
      </c>
      <c r="AE2" s="6">
        <f>Cleaned_MLB_Stats_Dataset__1[[#This Row],[OPS (On Base + Slugging)]]-_xlfn.XLOOKUP(Cleaned_MLB_Stats_Dataset__1[[#This Row],[Year]],'League Averages'!$A$3:$A$23,'League Averages'!$E$3:$E$23)</f>
        <v>8.7675659472422063E-2</v>
      </c>
      <c r="AF2" s="6">
        <f>Cleaned_MLB_Stats_Dataset__1[[#This Row],[ISO (Isolated Power]]-_xlfn.XLOOKUP(Cleaned_MLB_Stats_Dataset__1[[#This Row],[Year]],'League Averages'!$A$3:$A$23,'League Averages'!$F$3:$F$23)</f>
        <v>9.147727272727274E-2</v>
      </c>
    </row>
    <row r="3" spans="1:32" x14ac:dyDescent="0.2">
      <c r="A3" t="s">
        <v>310</v>
      </c>
      <c r="B3">
        <v>2013</v>
      </c>
      <c r="C3" t="s">
        <v>281</v>
      </c>
      <c r="D3" t="s">
        <v>6</v>
      </c>
      <c r="E3" t="s">
        <v>78</v>
      </c>
      <c r="F3" t="str">
        <f>_xlfn.XLOOKUP(Cleaned_MLB_Stats_Dataset__1[[#This Row],[Position'#]],$B$373:$B$382,$A$373:$A$382)</f>
        <v>1B</v>
      </c>
      <c r="G3">
        <v>3</v>
      </c>
      <c r="H3">
        <v>584</v>
      </c>
      <c r="I3">
        <v>167</v>
      </c>
      <c r="J3">
        <v>42</v>
      </c>
      <c r="K3">
        <v>1</v>
      </c>
      <c r="L3">
        <v>53</v>
      </c>
      <c r="M3">
        <v>103</v>
      </c>
      <c r="N3">
        <v>138</v>
      </c>
      <c r="O3">
        <v>199</v>
      </c>
      <c r="P3">
        <v>72</v>
      </c>
      <c r="Q3">
        <v>12</v>
      </c>
      <c r="R3">
        <v>10</v>
      </c>
      <c r="S3">
        <v>7</v>
      </c>
      <c r="T3">
        <v>0</v>
      </c>
      <c r="U3" s="6">
        <f>Cleaned_MLB_Stats_Dataset__1[[#This Row],[Hits]]/Cleaned_MLB_Stats_Dataset__1[[#This Row],[At Bats]]</f>
        <v>0.28595890410958902</v>
      </c>
      <c r="V3" s="6">
        <f>Cleaned_MLB_Stats_Dataset__1[[#This Row],[Strikeouts]]/(Cleaned_MLB_Stats_Dataset__1[[#This Row],[At Bats]]+Cleaned_MLB_Stats_Dataset__1[[#This Row],[Walks]])</f>
        <v>0.30335365853658536</v>
      </c>
      <c r="W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0.12312312312312312</v>
      </c>
      <c r="X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0.36998514115898962</v>
      </c>
      <c r="Y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0.63356164383561642</v>
      </c>
      <c r="Z3" s="6">
        <f>Cleaned_MLB_Stats_Dataset__1[[#This Row],[On Base Percentage]]+Cleaned_MLB_Stats_Dataset__1[[#This Row],[Slugging %]]</f>
        <v>1.003546784994606</v>
      </c>
      <c r="AA3" s="6">
        <f>Cleaned_MLB_Stats_Dataset__1[[#This Row],[Slugging %]]-Cleaned_MLB_Stats_Dataset__1[[#This Row],[Batting Average]]</f>
        <v>0.3476027397260274</v>
      </c>
      <c r="AB3" s="6">
        <f>Cleaned_MLB_Stats_Dataset__1[[#This Row],[Batting Average]]-_xlfn.XLOOKUP(Cleaned_MLB_Stats_Dataset__1[[#This Row],[Year]],'League Averages'!$A$3:$A$23,'League Averages'!$B$3:$B$23)</f>
        <v>3.2958904109589016E-2</v>
      </c>
      <c r="AC3" s="6">
        <f>Cleaned_MLB_Stats_Dataset__1[[#This Row],[On Base Percentage]]-_xlfn.XLOOKUP(Cleaned_MLB_Stats_Dataset__1[[#This Row],[Year]],'League Averages'!$A$3:$A$23,'League Averages'!$C$3:$C$23)</f>
        <v>5.1985141158989612E-2</v>
      </c>
      <c r="AD3" s="6">
        <f>Cleaned_MLB_Stats_Dataset__1[[#This Row],[Slugging %]]-_xlfn.XLOOKUP(Cleaned_MLB_Stats_Dataset__1[[#This Row],[Year]],'League Averages'!$A$3:$A$23,'League Averages'!$D$3:$D$23)</f>
        <v>0.2375616438356164</v>
      </c>
      <c r="AE3" s="6">
        <f>Cleaned_MLB_Stats_Dataset__1[[#This Row],[OPS (On Base + Slugging)]]-_xlfn.XLOOKUP(Cleaned_MLB_Stats_Dataset__1[[#This Row],[Year]],'League Averages'!$A$3:$A$23,'League Averages'!$E$3:$E$23)</f>
        <v>0.28954678499460607</v>
      </c>
      <c r="AF3" s="6">
        <f>Cleaned_MLB_Stats_Dataset__1[[#This Row],[ISO (Isolated Power]]-_xlfn.XLOOKUP(Cleaned_MLB_Stats_Dataset__1[[#This Row],[Year]],'League Averages'!$A$3:$A$23,'League Averages'!$F$3:$F$23)</f>
        <v>0.20460273972602741</v>
      </c>
    </row>
    <row r="4" spans="1:32" x14ac:dyDescent="0.2">
      <c r="A4" t="s">
        <v>310</v>
      </c>
      <c r="B4">
        <v>2012</v>
      </c>
      <c r="C4" t="s">
        <v>247</v>
      </c>
      <c r="D4" t="s">
        <v>6</v>
      </c>
      <c r="E4" t="s">
        <v>71</v>
      </c>
      <c r="F4" t="str">
        <f>_xlfn.XLOOKUP(Cleaned_MLB_Stats_Dataset__1[[#This Row],[Position'#]],$B$373:$B$382,$A$373:$A$382)</f>
        <v>CF</v>
      </c>
      <c r="G4">
        <v>8</v>
      </c>
      <c r="H4">
        <v>596</v>
      </c>
      <c r="I4">
        <v>138</v>
      </c>
      <c r="J4">
        <v>18</v>
      </c>
      <c r="K4">
        <v>4</v>
      </c>
      <c r="L4">
        <v>43</v>
      </c>
      <c r="M4">
        <v>102</v>
      </c>
      <c r="N4">
        <v>106</v>
      </c>
      <c r="O4">
        <v>195</v>
      </c>
      <c r="P4">
        <v>75</v>
      </c>
      <c r="Q4">
        <v>4</v>
      </c>
      <c r="R4">
        <v>5</v>
      </c>
      <c r="S4">
        <v>7</v>
      </c>
      <c r="T4">
        <v>1</v>
      </c>
      <c r="U4" s="6">
        <f>Cleaned_MLB_Stats_Dataset__1[[#This Row],[Hits]]/Cleaned_MLB_Stats_Dataset__1[[#This Row],[At Bats]]</f>
        <v>0.23154362416107382</v>
      </c>
      <c r="V4" s="6">
        <f>Cleaned_MLB_Stats_Dataset__1[[#This Row],[Strikeouts]]/(Cleaned_MLB_Stats_Dataset__1[[#This Row],[At Bats]]+Cleaned_MLB_Stats_Dataset__1[[#This Row],[Walks]])</f>
        <v>0.29061102831594637</v>
      </c>
      <c r="W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0.11834319526627218</v>
      </c>
      <c r="X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0.31918008784773061</v>
      </c>
      <c r="Y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0.49161073825503354</v>
      </c>
      <c r="Z4" s="6">
        <f>Cleaned_MLB_Stats_Dataset__1[[#This Row],[On Base Percentage]]+Cleaned_MLB_Stats_Dataset__1[[#This Row],[Slugging %]]</f>
        <v>0.8107908261027641</v>
      </c>
      <c r="AA4" s="6">
        <f>Cleaned_MLB_Stats_Dataset__1[[#This Row],[Slugging %]]-Cleaned_MLB_Stats_Dataset__1[[#This Row],[Batting Average]]</f>
        <v>0.26006711409395972</v>
      </c>
      <c r="AB4" s="6">
        <f>Cleaned_MLB_Stats_Dataset__1[[#This Row],[Batting Average]]-_xlfn.XLOOKUP(Cleaned_MLB_Stats_Dataset__1[[#This Row],[Year]],'League Averages'!$A$3:$A$23,'League Averages'!$B$3:$B$23)</f>
        <v>-2.345637583892618E-2</v>
      </c>
      <c r="AC4" s="6">
        <f>Cleaned_MLB_Stats_Dataset__1[[#This Row],[On Base Percentage]]-_xlfn.XLOOKUP(Cleaned_MLB_Stats_Dataset__1[[#This Row],[Year]],'League Averages'!$A$3:$A$23,'League Averages'!$C$3:$C$23)</f>
        <v>1.8008784773060338E-4</v>
      </c>
      <c r="AD4" s="6">
        <f>Cleaned_MLB_Stats_Dataset__1[[#This Row],[Slugging %]]-_xlfn.XLOOKUP(Cleaned_MLB_Stats_Dataset__1[[#This Row],[Year]],'League Averages'!$A$3:$A$23,'League Averages'!$D$3:$D$23)</f>
        <v>8.6610738255033515E-2</v>
      </c>
      <c r="AE4" s="6">
        <f>Cleaned_MLB_Stats_Dataset__1[[#This Row],[OPS (On Base + Slugging)]]-_xlfn.XLOOKUP(Cleaned_MLB_Stats_Dataset__1[[#This Row],[Year]],'League Averages'!$A$3:$A$23,'League Averages'!$E$3:$E$23)</f>
        <v>8.6790826102764118E-2</v>
      </c>
      <c r="AF4" s="6">
        <f>Cleaned_MLB_Stats_Dataset__1[[#This Row],[ISO (Isolated Power]]-_xlfn.XLOOKUP(Cleaned_MLB_Stats_Dataset__1[[#This Row],[Year]],'League Averages'!$A$3:$A$23,'League Averages'!$F$3:$F$23)</f>
        <v>0.11006711409395972</v>
      </c>
    </row>
    <row r="5" spans="1:32" x14ac:dyDescent="0.2">
      <c r="A5" t="s">
        <v>310</v>
      </c>
      <c r="B5">
        <v>2013</v>
      </c>
      <c r="C5" t="s">
        <v>283</v>
      </c>
      <c r="D5" t="s">
        <v>3</v>
      </c>
      <c r="E5" t="s">
        <v>164</v>
      </c>
      <c r="F5" t="str">
        <f>_xlfn.XLOOKUP(Cleaned_MLB_Stats_Dataset__1[[#This Row],[Position'#]],$B$373:$B$382,$A$373:$A$382)</f>
        <v>LF</v>
      </c>
      <c r="G5">
        <v>7</v>
      </c>
      <c r="H5">
        <v>391</v>
      </c>
      <c r="I5">
        <v>118</v>
      </c>
      <c r="J5">
        <v>23</v>
      </c>
      <c r="K5">
        <v>6</v>
      </c>
      <c r="L5">
        <v>26</v>
      </c>
      <c r="M5">
        <v>72</v>
      </c>
      <c r="N5">
        <v>70</v>
      </c>
      <c r="O5">
        <v>118</v>
      </c>
      <c r="P5">
        <v>41</v>
      </c>
      <c r="Q5">
        <v>2</v>
      </c>
      <c r="R5">
        <v>1</v>
      </c>
      <c r="S5">
        <v>3</v>
      </c>
      <c r="T5">
        <v>0</v>
      </c>
      <c r="U5" s="6">
        <f>Cleaned_MLB_Stats_Dataset__1[[#This Row],[Hits]]/Cleaned_MLB_Stats_Dataset__1[[#This Row],[At Bats]]</f>
        <v>0.30179028132992325</v>
      </c>
      <c r="V5" s="6">
        <f>Cleaned_MLB_Stats_Dataset__1[[#This Row],[Strikeouts]]/(Cleaned_MLB_Stats_Dataset__1[[#This Row],[At Bats]]+Cleaned_MLB_Stats_Dataset__1[[#This Row],[Walks]])</f>
        <v>0.27314814814814814</v>
      </c>
      <c r="W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9.6997690531177835E-2</v>
      </c>
      <c r="X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0.3669724770642202</v>
      </c>
      <c r="Y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0.59079283887468026</v>
      </c>
      <c r="Z5" s="6">
        <f>Cleaned_MLB_Stats_Dataset__1[[#This Row],[On Base Percentage]]+Cleaned_MLB_Stats_Dataset__1[[#This Row],[Slugging %]]</f>
        <v>0.95776531593890046</v>
      </c>
      <c r="AA5" s="6">
        <f>Cleaned_MLB_Stats_Dataset__1[[#This Row],[Slugging %]]-Cleaned_MLB_Stats_Dataset__1[[#This Row],[Batting Average]]</f>
        <v>0.28900255754475701</v>
      </c>
      <c r="AB5" s="6">
        <f>Cleaned_MLB_Stats_Dataset__1[[#This Row],[Batting Average]]-_xlfn.XLOOKUP(Cleaned_MLB_Stats_Dataset__1[[#This Row],[Year]],'League Averages'!$A$3:$A$23,'League Averages'!$B$3:$B$23)</f>
        <v>4.8790281329923246E-2</v>
      </c>
      <c r="AC5" s="6">
        <f>Cleaned_MLB_Stats_Dataset__1[[#This Row],[On Base Percentage]]-_xlfn.XLOOKUP(Cleaned_MLB_Stats_Dataset__1[[#This Row],[Year]],'League Averages'!$A$3:$A$23,'League Averages'!$C$3:$C$23)</f>
        <v>4.8972477064220199E-2</v>
      </c>
      <c r="AD5" s="6">
        <f>Cleaned_MLB_Stats_Dataset__1[[#This Row],[Slugging %]]-_xlfn.XLOOKUP(Cleaned_MLB_Stats_Dataset__1[[#This Row],[Year]],'League Averages'!$A$3:$A$23,'League Averages'!$D$3:$D$23)</f>
        <v>0.19479283887468024</v>
      </c>
      <c r="AE5" s="6">
        <f>Cleaned_MLB_Stats_Dataset__1[[#This Row],[OPS (On Base + Slugging)]]-_xlfn.XLOOKUP(Cleaned_MLB_Stats_Dataset__1[[#This Row],[Year]],'League Averages'!$A$3:$A$23,'League Averages'!$E$3:$E$23)</f>
        <v>0.2437653159389005</v>
      </c>
      <c r="AF5" s="6">
        <f>Cleaned_MLB_Stats_Dataset__1[[#This Row],[ISO (Isolated Power]]-_xlfn.XLOOKUP(Cleaned_MLB_Stats_Dataset__1[[#This Row],[Year]],'League Averages'!$A$3:$A$23,'League Averages'!$F$3:$F$23)</f>
        <v>0.14600255754475702</v>
      </c>
    </row>
    <row r="6" spans="1:32" x14ac:dyDescent="0.2">
      <c r="A6" t="s">
        <v>310</v>
      </c>
      <c r="B6">
        <v>2012</v>
      </c>
      <c r="C6" t="s">
        <v>274</v>
      </c>
      <c r="D6" t="s">
        <v>3</v>
      </c>
      <c r="E6" t="s">
        <v>85</v>
      </c>
      <c r="F6" t="str">
        <f>_xlfn.XLOOKUP(Cleaned_MLB_Stats_Dataset__1[[#This Row],[Position'#]],$B$373:$B$382,$A$373:$A$382)</f>
        <v>2B</v>
      </c>
      <c r="G6">
        <v>4</v>
      </c>
      <c r="H6">
        <v>523</v>
      </c>
      <c r="I6">
        <v>115</v>
      </c>
      <c r="J6">
        <v>29</v>
      </c>
      <c r="K6">
        <v>0</v>
      </c>
      <c r="L6">
        <v>19</v>
      </c>
      <c r="M6">
        <v>86</v>
      </c>
      <c r="N6">
        <v>78</v>
      </c>
      <c r="O6">
        <v>168</v>
      </c>
      <c r="P6">
        <v>94</v>
      </c>
      <c r="Q6">
        <v>5</v>
      </c>
      <c r="R6">
        <v>10</v>
      </c>
      <c r="S6">
        <v>3</v>
      </c>
      <c r="T6">
        <v>0</v>
      </c>
      <c r="U6" s="6">
        <f>Cleaned_MLB_Stats_Dataset__1[[#This Row],[Hits]]/Cleaned_MLB_Stats_Dataset__1[[#This Row],[At Bats]]</f>
        <v>0.21988527724665391</v>
      </c>
      <c r="V6" s="6">
        <f>Cleaned_MLB_Stats_Dataset__1[[#This Row],[Strikeouts]]/(Cleaned_MLB_Stats_Dataset__1[[#This Row],[At Bats]]+Cleaned_MLB_Stats_Dataset__1[[#This Row],[Walks]])</f>
        <v>0.27228525121555913</v>
      </c>
      <c r="W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0.16586921850079744</v>
      </c>
      <c r="X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0.34761904761904761</v>
      </c>
      <c r="Y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0.384321223709369</v>
      </c>
      <c r="Z6" s="6">
        <f>Cleaned_MLB_Stats_Dataset__1[[#This Row],[On Base Percentage]]+Cleaned_MLB_Stats_Dataset__1[[#This Row],[Slugging %]]</f>
        <v>0.73194027132841666</v>
      </c>
      <c r="AA6" s="6">
        <f>Cleaned_MLB_Stats_Dataset__1[[#This Row],[Slugging %]]-Cleaned_MLB_Stats_Dataset__1[[#This Row],[Batting Average]]</f>
        <v>0.16443594646271509</v>
      </c>
      <c r="AB6" s="6">
        <f>Cleaned_MLB_Stats_Dataset__1[[#This Row],[Batting Average]]-_xlfn.XLOOKUP(Cleaned_MLB_Stats_Dataset__1[[#This Row],[Year]],'League Averages'!$A$3:$A$23,'League Averages'!$B$3:$B$23)</f>
        <v>-3.5114722753346095E-2</v>
      </c>
      <c r="AC6" s="6">
        <f>Cleaned_MLB_Stats_Dataset__1[[#This Row],[On Base Percentage]]-_xlfn.XLOOKUP(Cleaned_MLB_Stats_Dataset__1[[#This Row],[Year]],'League Averages'!$A$3:$A$23,'League Averages'!$C$3:$C$23)</f>
        <v>2.86190476190476E-2</v>
      </c>
      <c r="AD6" s="6">
        <f>Cleaned_MLB_Stats_Dataset__1[[#This Row],[Slugging %]]-_xlfn.XLOOKUP(Cleaned_MLB_Stats_Dataset__1[[#This Row],[Year]],'League Averages'!$A$3:$A$23,'League Averages'!$D$3:$D$23)</f>
        <v>-2.0678776290631029E-2</v>
      </c>
      <c r="AE6" s="6">
        <f>Cleaned_MLB_Stats_Dataset__1[[#This Row],[OPS (On Base + Slugging)]]-_xlfn.XLOOKUP(Cleaned_MLB_Stats_Dataset__1[[#This Row],[Year]],'League Averages'!$A$3:$A$23,'League Averages'!$E$3:$E$23)</f>
        <v>7.9402713284166815E-3</v>
      </c>
      <c r="AF6" s="6">
        <f>Cleaned_MLB_Stats_Dataset__1[[#This Row],[ISO (Isolated Power]]-_xlfn.XLOOKUP(Cleaned_MLB_Stats_Dataset__1[[#This Row],[Year]],'League Averages'!$A$3:$A$23,'League Averages'!$F$3:$F$23)</f>
        <v>1.4435946462715094E-2</v>
      </c>
    </row>
    <row r="7" spans="1:32" x14ac:dyDescent="0.2">
      <c r="A7" t="s">
        <v>310</v>
      </c>
      <c r="B7">
        <v>2012</v>
      </c>
      <c r="C7" t="s">
        <v>278</v>
      </c>
      <c r="D7" t="s">
        <v>6</v>
      </c>
      <c r="E7" t="s">
        <v>90</v>
      </c>
      <c r="F7" t="str">
        <f>_xlfn.XLOOKUP(Cleaned_MLB_Stats_Dataset__1[[#This Row],[Position'#]],$B$373:$B$382,$A$373:$A$382)</f>
        <v>LF</v>
      </c>
      <c r="G7">
        <v>7</v>
      </c>
      <c r="H7">
        <v>562</v>
      </c>
      <c r="I7">
        <v>160</v>
      </c>
      <c r="J7">
        <v>31</v>
      </c>
      <c r="K7">
        <v>2</v>
      </c>
      <c r="L7">
        <v>43</v>
      </c>
      <c r="M7">
        <v>103</v>
      </c>
      <c r="N7">
        <v>128</v>
      </c>
      <c r="O7">
        <v>162</v>
      </c>
      <c r="P7">
        <v>60</v>
      </c>
      <c r="Q7">
        <v>13</v>
      </c>
      <c r="R7">
        <v>5</v>
      </c>
      <c r="S7">
        <v>9</v>
      </c>
      <c r="T7">
        <v>0</v>
      </c>
      <c r="U7" s="6">
        <f>Cleaned_MLB_Stats_Dataset__1[[#This Row],[Hits]]/Cleaned_MLB_Stats_Dataset__1[[#This Row],[At Bats]]</f>
        <v>0.28469750889679718</v>
      </c>
      <c r="V7" s="6">
        <f>Cleaned_MLB_Stats_Dataset__1[[#This Row],[Strikeouts]]/(Cleaned_MLB_Stats_Dataset__1[[#This Row],[At Bats]]+Cleaned_MLB_Stats_Dataset__1[[#This Row],[Walks]])</f>
        <v>0.26045016077170419</v>
      </c>
      <c r="W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0.10366826156299841</v>
      </c>
      <c r="X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0.35377358490566035</v>
      </c>
      <c r="Y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0.57651245551601427</v>
      </c>
      <c r="Z7" s="6">
        <f>Cleaned_MLB_Stats_Dataset__1[[#This Row],[On Base Percentage]]+Cleaned_MLB_Stats_Dataset__1[[#This Row],[Slugging %]]</f>
        <v>0.93028604042167462</v>
      </c>
      <c r="AA7" s="6">
        <f>Cleaned_MLB_Stats_Dataset__1[[#This Row],[Slugging %]]-Cleaned_MLB_Stats_Dataset__1[[#This Row],[Batting Average]]</f>
        <v>0.29181494661921709</v>
      </c>
      <c r="AB7" s="6">
        <f>Cleaned_MLB_Stats_Dataset__1[[#This Row],[Batting Average]]-_xlfn.XLOOKUP(Cleaned_MLB_Stats_Dataset__1[[#This Row],[Year]],'League Averages'!$A$3:$A$23,'League Averages'!$B$3:$B$23)</f>
        <v>2.9697508896797176E-2</v>
      </c>
      <c r="AC7" s="6">
        <f>Cleaned_MLB_Stats_Dataset__1[[#This Row],[On Base Percentage]]-_xlfn.XLOOKUP(Cleaned_MLB_Stats_Dataset__1[[#This Row],[Year]],'League Averages'!$A$3:$A$23,'League Averages'!$C$3:$C$23)</f>
        <v>3.4773584905660349E-2</v>
      </c>
      <c r="AD7" s="6">
        <f>Cleaned_MLB_Stats_Dataset__1[[#This Row],[Slugging %]]-_xlfn.XLOOKUP(Cleaned_MLB_Stats_Dataset__1[[#This Row],[Year]],'League Averages'!$A$3:$A$23,'League Averages'!$D$3:$D$23)</f>
        <v>0.17151245551601424</v>
      </c>
      <c r="AE7" s="6">
        <f>Cleaned_MLB_Stats_Dataset__1[[#This Row],[OPS (On Base + Slugging)]]-_xlfn.XLOOKUP(Cleaned_MLB_Stats_Dataset__1[[#This Row],[Year]],'League Averages'!$A$3:$A$23,'League Averages'!$E$3:$E$23)</f>
        <v>0.20628604042167464</v>
      </c>
      <c r="AF7" s="6">
        <f>Cleaned_MLB_Stats_Dataset__1[[#This Row],[ISO (Isolated Power]]-_xlfn.XLOOKUP(Cleaned_MLB_Stats_Dataset__1[[#This Row],[Year]],'League Averages'!$A$3:$A$23,'League Averages'!$F$3:$F$23)</f>
        <v>0.14181494661921709</v>
      </c>
    </row>
    <row r="8" spans="1:32" x14ac:dyDescent="0.2">
      <c r="A8" t="s">
        <v>310</v>
      </c>
      <c r="B8">
        <v>2009</v>
      </c>
      <c r="C8" t="s">
        <v>234</v>
      </c>
      <c r="D8" t="s">
        <v>6</v>
      </c>
      <c r="E8" t="s">
        <v>68</v>
      </c>
      <c r="F8" t="str">
        <f>_xlfn.XLOOKUP(Cleaned_MLB_Stats_Dataset__1[[#This Row],[Position'#]],$B$373:$B$382,$A$373:$A$382)</f>
        <v>LF</v>
      </c>
      <c r="G8">
        <v>7</v>
      </c>
      <c r="H8">
        <v>531</v>
      </c>
      <c r="I8">
        <v>142</v>
      </c>
      <c r="J8">
        <v>29</v>
      </c>
      <c r="K8">
        <v>3</v>
      </c>
      <c r="L8">
        <v>36</v>
      </c>
      <c r="M8">
        <v>103</v>
      </c>
      <c r="N8">
        <v>119</v>
      </c>
      <c r="O8">
        <v>162</v>
      </c>
      <c r="P8">
        <v>94</v>
      </c>
      <c r="Q8">
        <v>4</v>
      </c>
      <c r="R8">
        <v>9</v>
      </c>
      <c r="S8">
        <v>4</v>
      </c>
      <c r="T8">
        <v>0</v>
      </c>
      <c r="U8" s="6">
        <f>Cleaned_MLB_Stats_Dataset__1[[#This Row],[Hits]]/Cleaned_MLB_Stats_Dataset__1[[#This Row],[At Bats]]</f>
        <v>0.26741996233521659</v>
      </c>
      <c r="V8" s="6">
        <f>Cleaned_MLB_Stats_Dataset__1[[#This Row],[Strikeouts]]/(Cleaned_MLB_Stats_Dataset__1[[#This Row],[At Bats]]+Cleaned_MLB_Stats_Dataset__1[[#This Row],[Walks]])</f>
        <v>0.25919999999999999</v>
      </c>
      <c r="W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0.16246056782334384</v>
      </c>
      <c r="X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0.38401253918495298</v>
      </c>
      <c r="Y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0.53672316384180796</v>
      </c>
      <c r="Z8" s="6">
        <f>Cleaned_MLB_Stats_Dataset__1[[#This Row],[On Base Percentage]]+Cleaned_MLB_Stats_Dataset__1[[#This Row],[Slugging %]]</f>
        <v>0.92073570302676089</v>
      </c>
      <c r="AA8" s="6">
        <f>Cleaned_MLB_Stats_Dataset__1[[#This Row],[Slugging %]]-Cleaned_MLB_Stats_Dataset__1[[#This Row],[Batting Average]]</f>
        <v>0.26930320150659137</v>
      </c>
      <c r="AB8" s="6">
        <f>Cleaned_MLB_Stats_Dataset__1[[#This Row],[Batting Average]]-_xlfn.XLOOKUP(Cleaned_MLB_Stats_Dataset__1[[#This Row],[Year]],'League Averages'!$A$3:$A$23,'League Averages'!$B$3:$B$23)</f>
        <v>5.4199623352165771E-3</v>
      </c>
      <c r="AC8" s="6">
        <f>Cleaned_MLB_Stats_Dataset__1[[#This Row],[On Base Percentage]]-_xlfn.XLOOKUP(Cleaned_MLB_Stats_Dataset__1[[#This Row],[Year]],'League Averages'!$A$3:$A$23,'League Averages'!$C$3:$C$23)</f>
        <v>5.1012539184952965E-2</v>
      </c>
      <c r="AD8" s="6">
        <f>Cleaned_MLB_Stats_Dataset__1[[#This Row],[Slugging %]]-_xlfn.XLOOKUP(Cleaned_MLB_Stats_Dataset__1[[#This Row],[Year]],'League Averages'!$A$3:$A$23,'League Averages'!$D$3:$D$23)</f>
        <v>0.11872316384180798</v>
      </c>
      <c r="AE8" s="6">
        <f>Cleaned_MLB_Stats_Dataset__1[[#This Row],[OPS (On Base + Slugging)]]-_xlfn.XLOOKUP(Cleaned_MLB_Stats_Dataset__1[[#This Row],[Year]],'League Averages'!$A$3:$A$23,'League Averages'!$E$3:$E$23)</f>
        <v>0.16973570302676089</v>
      </c>
      <c r="AF8" s="6">
        <f>Cleaned_MLB_Stats_Dataset__1[[#This Row],[ISO (Isolated Power]]-_xlfn.XLOOKUP(Cleaned_MLB_Stats_Dataset__1[[#This Row],[Year]],'League Averages'!$A$3:$A$23,'League Averages'!$F$3:$F$23)</f>
        <v>0.11330320150659137</v>
      </c>
    </row>
    <row r="9" spans="1:32" x14ac:dyDescent="0.2">
      <c r="A9" t="s">
        <v>310</v>
      </c>
      <c r="B9">
        <v>2010</v>
      </c>
      <c r="C9" t="s">
        <v>250</v>
      </c>
      <c r="D9" t="s">
        <v>3</v>
      </c>
      <c r="E9" t="s">
        <v>29</v>
      </c>
      <c r="F9" t="str">
        <f>_xlfn.XLOOKUP(Cleaned_MLB_Stats_Dataset__1[[#This Row],[Position'#]],$B$373:$B$382,$A$373:$A$382)</f>
        <v>DH</v>
      </c>
      <c r="G9">
        <v>10</v>
      </c>
      <c r="H9">
        <v>550</v>
      </c>
      <c r="I9">
        <v>152</v>
      </c>
      <c r="J9">
        <v>23</v>
      </c>
      <c r="K9">
        <v>5</v>
      </c>
      <c r="L9">
        <v>31</v>
      </c>
      <c r="M9">
        <v>87</v>
      </c>
      <c r="N9">
        <v>108</v>
      </c>
      <c r="O9">
        <v>157</v>
      </c>
      <c r="P9">
        <v>59</v>
      </c>
      <c r="Q9">
        <v>11</v>
      </c>
      <c r="R9">
        <v>8</v>
      </c>
      <c r="S9">
        <v>3</v>
      </c>
      <c r="T9">
        <v>0</v>
      </c>
      <c r="U9" s="6">
        <f>Cleaned_MLB_Stats_Dataset__1[[#This Row],[Hits]]/Cleaned_MLB_Stats_Dataset__1[[#This Row],[At Bats]]</f>
        <v>0.27636363636363637</v>
      </c>
      <c r="V9" s="6">
        <f>Cleaned_MLB_Stats_Dataset__1[[#This Row],[Strikeouts]]/(Cleaned_MLB_Stats_Dataset__1[[#This Row],[At Bats]]+Cleaned_MLB_Stats_Dataset__1[[#This Row],[Walks]])</f>
        <v>0.25779967159277506</v>
      </c>
      <c r="W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0.10858995137763371</v>
      </c>
      <c r="X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0.35322580645161289</v>
      </c>
      <c r="Y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0.50545454545454549</v>
      </c>
      <c r="Z9" s="6">
        <f>Cleaned_MLB_Stats_Dataset__1[[#This Row],[On Base Percentage]]+Cleaned_MLB_Stats_Dataset__1[[#This Row],[Slugging %]]</f>
        <v>0.85868035190615832</v>
      </c>
      <c r="AA9" s="6">
        <f>Cleaned_MLB_Stats_Dataset__1[[#This Row],[Slugging %]]-Cleaned_MLB_Stats_Dataset__1[[#This Row],[Batting Average]]</f>
        <v>0.22909090909090912</v>
      </c>
      <c r="AB9" s="6">
        <f>Cleaned_MLB_Stats_Dataset__1[[#This Row],[Batting Average]]-_xlfn.XLOOKUP(Cleaned_MLB_Stats_Dataset__1[[#This Row],[Year]],'League Averages'!$A$3:$A$23,'League Averages'!$B$3:$B$23)</f>
        <v>1.9363636363636361E-2</v>
      </c>
      <c r="AC9" s="6">
        <f>Cleaned_MLB_Stats_Dataset__1[[#This Row],[On Base Percentage]]-_xlfn.XLOOKUP(Cleaned_MLB_Stats_Dataset__1[[#This Row],[Year]],'League Averages'!$A$3:$A$23,'League Averages'!$C$3:$C$23)</f>
        <v>2.8225806451612878E-2</v>
      </c>
      <c r="AD9" s="6">
        <f>Cleaned_MLB_Stats_Dataset__1[[#This Row],[Slugging %]]-_xlfn.XLOOKUP(Cleaned_MLB_Stats_Dataset__1[[#This Row],[Year]],'League Averages'!$A$3:$A$23,'League Averages'!$D$3:$D$23)</f>
        <v>0.10245454545454546</v>
      </c>
      <c r="AE9" s="6">
        <f>Cleaned_MLB_Stats_Dataset__1[[#This Row],[OPS (On Base + Slugging)]]-_xlfn.XLOOKUP(Cleaned_MLB_Stats_Dataset__1[[#This Row],[Year]],'League Averages'!$A$3:$A$23,'League Averages'!$E$3:$E$23)</f>
        <v>0.13068035190615834</v>
      </c>
      <c r="AF9" s="6">
        <f>Cleaned_MLB_Stats_Dataset__1[[#This Row],[ISO (Isolated Power]]-_xlfn.XLOOKUP(Cleaned_MLB_Stats_Dataset__1[[#This Row],[Year]],'League Averages'!$A$3:$A$23,'League Averages'!$F$3:$F$23)</f>
        <v>8.3090909090909132E-2</v>
      </c>
    </row>
    <row r="10" spans="1:32" x14ac:dyDescent="0.2">
      <c r="A10" t="s">
        <v>310</v>
      </c>
      <c r="B10">
        <v>2011</v>
      </c>
      <c r="C10" t="s">
        <v>247</v>
      </c>
      <c r="D10" t="s">
        <v>6</v>
      </c>
      <c r="E10" t="s">
        <v>71</v>
      </c>
      <c r="F10" t="str">
        <f>_xlfn.XLOOKUP(Cleaned_MLB_Stats_Dataset__1[[#This Row],[Position'#]],$B$373:$B$382,$A$373:$A$382)</f>
        <v>CF</v>
      </c>
      <c r="G10">
        <v>8</v>
      </c>
      <c r="H10">
        <v>583</v>
      </c>
      <c r="I10">
        <v>153</v>
      </c>
      <c r="J10">
        <v>26</v>
      </c>
      <c r="K10">
        <v>10</v>
      </c>
      <c r="L10">
        <v>41</v>
      </c>
      <c r="M10">
        <v>136</v>
      </c>
      <c r="N10">
        <v>119</v>
      </c>
      <c r="O10">
        <v>169</v>
      </c>
      <c r="P10">
        <v>85</v>
      </c>
      <c r="Q10">
        <v>0</v>
      </c>
      <c r="R10">
        <v>12</v>
      </c>
      <c r="S10">
        <v>7</v>
      </c>
      <c r="T10">
        <v>4</v>
      </c>
      <c r="U10" s="6">
        <f>Cleaned_MLB_Stats_Dataset__1[[#This Row],[Hits]]/Cleaned_MLB_Stats_Dataset__1[[#This Row],[At Bats]]</f>
        <v>0.26243567753001718</v>
      </c>
      <c r="V10" s="6">
        <f>Cleaned_MLB_Stats_Dataset__1[[#This Row],[Strikeouts]]/(Cleaned_MLB_Stats_Dataset__1[[#This Row],[At Bats]]+Cleaned_MLB_Stats_Dataset__1[[#This Row],[Walks]])</f>
        <v>0.25299401197604793</v>
      </c>
      <c r="W1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0.1426470588235294</v>
      </c>
      <c r="X1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0.36390101892285298</v>
      </c>
      <c r="Y1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0.55231560891938247</v>
      </c>
      <c r="Z10" s="6">
        <f>Cleaned_MLB_Stats_Dataset__1[[#This Row],[On Base Percentage]]+Cleaned_MLB_Stats_Dataset__1[[#This Row],[Slugging %]]</f>
        <v>0.91621662784223545</v>
      </c>
      <c r="AA10" s="6">
        <f>Cleaned_MLB_Stats_Dataset__1[[#This Row],[Slugging %]]-Cleaned_MLB_Stats_Dataset__1[[#This Row],[Batting Average]]</f>
        <v>0.2898799313893653</v>
      </c>
      <c r="AB10" s="6">
        <f>Cleaned_MLB_Stats_Dataset__1[[#This Row],[Batting Average]]-_xlfn.XLOOKUP(Cleaned_MLB_Stats_Dataset__1[[#This Row],[Year]],'League Averages'!$A$3:$A$23,'League Averages'!$B$3:$B$23)</f>
        <v>7.4356775300171707E-3</v>
      </c>
      <c r="AC10" s="6">
        <f>Cleaned_MLB_Stats_Dataset__1[[#This Row],[On Base Percentage]]-_xlfn.XLOOKUP(Cleaned_MLB_Stats_Dataset__1[[#This Row],[Year]],'League Averages'!$A$3:$A$23,'League Averages'!$C$3:$C$23)</f>
        <v>4.2901018922852974E-2</v>
      </c>
      <c r="AD10" s="6">
        <f>Cleaned_MLB_Stats_Dataset__1[[#This Row],[Slugging %]]-_xlfn.XLOOKUP(Cleaned_MLB_Stats_Dataset__1[[#This Row],[Year]],'League Averages'!$A$3:$A$23,'League Averages'!$D$3:$D$23)</f>
        <v>0.15331560891938245</v>
      </c>
      <c r="AE10" s="6">
        <f>Cleaned_MLB_Stats_Dataset__1[[#This Row],[OPS (On Base + Slugging)]]-_xlfn.XLOOKUP(Cleaned_MLB_Stats_Dataset__1[[#This Row],[Year]],'League Averages'!$A$3:$A$23,'League Averages'!$E$3:$E$23)</f>
        <v>0.19621662784223548</v>
      </c>
      <c r="AF10" s="6">
        <f>Cleaned_MLB_Stats_Dataset__1[[#This Row],[ISO (Isolated Power]]-_xlfn.XLOOKUP(Cleaned_MLB_Stats_Dataset__1[[#This Row],[Year]],'League Averages'!$A$3:$A$23,'League Averages'!$F$3:$F$23)</f>
        <v>0.14587993138936531</v>
      </c>
    </row>
    <row r="11" spans="1:32" x14ac:dyDescent="0.2">
      <c r="A11" t="s">
        <v>310</v>
      </c>
      <c r="B11">
        <v>2005</v>
      </c>
      <c r="C11" t="s">
        <v>168</v>
      </c>
      <c r="D11" t="s">
        <v>3</v>
      </c>
      <c r="E11" t="s">
        <v>60</v>
      </c>
      <c r="F11" t="str">
        <f>_xlfn.XLOOKUP(Cleaned_MLB_Stats_Dataset__1[[#This Row],[Position'#]],$B$373:$B$382,$A$373:$A$382)</f>
        <v>CF</v>
      </c>
      <c r="G11">
        <v>8</v>
      </c>
      <c r="H11">
        <v>467</v>
      </c>
      <c r="I11">
        <v>123</v>
      </c>
      <c r="J11">
        <v>37</v>
      </c>
      <c r="K11">
        <v>1</v>
      </c>
      <c r="L11">
        <v>29</v>
      </c>
      <c r="M11">
        <v>88</v>
      </c>
      <c r="N11">
        <v>89</v>
      </c>
      <c r="O11">
        <v>139</v>
      </c>
      <c r="P11">
        <v>91</v>
      </c>
      <c r="Q11">
        <v>10</v>
      </c>
      <c r="R11">
        <v>4</v>
      </c>
      <c r="S11">
        <v>4</v>
      </c>
      <c r="T11">
        <v>1</v>
      </c>
      <c r="U11" s="6">
        <f>Cleaned_MLB_Stats_Dataset__1[[#This Row],[Hits]]/Cleaned_MLB_Stats_Dataset__1[[#This Row],[At Bats]]</f>
        <v>0.2633832976445396</v>
      </c>
      <c r="V11" s="6">
        <f>Cleaned_MLB_Stats_Dataset__1[[#This Row],[Strikeouts]]/(Cleaned_MLB_Stats_Dataset__1[[#This Row],[At Bats]]+Cleaned_MLB_Stats_Dataset__1[[#This Row],[Walks]])</f>
        <v>0.24910394265232974</v>
      </c>
      <c r="W1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0.16903914590747332</v>
      </c>
      <c r="X1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0.38515901060070673</v>
      </c>
      <c r="Y1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0.53319057815845827</v>
      </c>
      <c r="Z11" s="6">
        <f>Cleaned_MLB_Stats_Dataset__1[[#This Row],[On Base Percentage]]+Cleaned_MLB_Stats_Dataset__1[[#This Row],[Slugging %]]</f>
        <v>0.91834958875916506</v>
      </c>
      <c r="AA11" s="6">
        <f>Cleaned_MLB_Stats_Dataset__1[[#This Row],[Slugging %]]-Cleaned_MLB_Stats_Dataset__1[[#This Row],[Batting Average]]</f>
        <v>0.26980728051391867</v>
      </c>
      <c r="AB11" s="6">
        <f>Cleaned_MLB_Stats_Dataset__1[[#This Row],[Batting Average]]-_xlfn.XLOOKUP(Cleaned_MLB_Stats_Dataset__1[[#This Row],[Year]],'League Averages'!$A$3:$A$23,'League Averages'!$B$3:$B$23)</f>
        <v>-6.1670235546040786E-4</v>
      </c>
      <c r="AC11" s="6">
        <f>Cleaned_MLB_Stats_Dataset__1[[#This Row],[On Base Percentage]]-_xlfn.XLOOKUP(Cleaned_MLB_Stats_Dataset__1[[#This Row],[Year]],'League Averages'!$A$3:$A$23,'League Averages'!$C$3:$C$23)</f>
        <v>5.5159010600706715E-2</v>
      </c>
      <c r="AD11" s="6">
        <f>Cleaned_MLB_Stats_Dataset__1[[#This Row],[Slugging %]]-_xlfn.XLOOKUP(Cleaned_MLB_Stats_Dataset__1[[#This Row],[Year]],'League Averages'!$A$3:$A$23,'League Averages'!$D$3:$D$23)</f>
        <v>0.11419057815845829</v>
      </c>
      <c r="AE11" s="6">
        <f>Cleaned_MLB_Stats_Dataset__1[[#This Row],[OPS (On Base + Slugging)]]-_xlfn.XLOOKUP(Cleaned_MLB_Stats_Dataset__1[[#This Row],[Year]],'League Averages'!$A$3:$A$23,'League Averages'!$E$3:$E$23)</f>
        <v>0.16934958875916506</v>
      </c>
      <c r="AF11" s="6">
        <f>Cleaned_MLB_Stats_Dataset__1[[#This Row],[ISO (Isolated Power]]-_xlfn.XLOOKUP(Cleaned_MLB_Stats_Dataset__1[[#This Row],[Year]],'League Averages'!$A$3:$A$23,'League Averages'!$F$3:$F$23)</f>
        <v>0.11480728051391867</v>
      </c>
    </row>
    <row r="12" spans="1:32" x14ac:dyDescent="0.2">
      <c r="A12" t="s">
        <v>310</v>
      </c>
      <c r="B12">
        <v>2004</v>
      </c>
      <c r="C12" t="s">
        <v>143</v>
      </c>
      <c r="D12" t="s">
        <v>3</v>
      </c>
      <c r="E12" t="s">
        <v>27</v>
      </c>
      <c r="F12" t="str">
        <f>_xlfn.XLOOKUP(Cleaned_MLB_Stats_Dataset__1[[#This Row],[Position'#]],$B$373:$B$382,$A$373:$A$382)</f>
        <v>RF</v>
      </c>
      <c r="G12">
        <v>9</v>
      </c>
      <c r="H12">
        <v>478</v>
      </c>
      <c r="I12">
        <v>121</v>
      </c>
      <c r="J12">
        <v>21</v>
      </c>
      <c r="K12">
        <v>0</v>
      </c>
      <c r="L12">
        <v>35</v>
      </c>
      <c r="M12">
        <v>69</v>
      </c>
      <c r="N12">
        <v>80</v>
      </c>
      <c r="O12">
        <v>133</v>
      </c>
      <c r="P12">
        <v>56</v>
      </c>
      <c r="Q12">
        <v>4</v>
      </c>
      <c r="R12">
        <v>2</v>
      </c>
      <c r="S12">
        <v>3</v>
      </c>
      <c r="T12">
        <v>0</v>
      </c>
      <c r="U12" s="6">
        <f>Cleaned_MLB_Stats_Dataset__1[[#This Row],[Hits]]/Cleaned_MLB_Stats_Dataset__1[[#This Row],[At Bats]]</f>
        <v>0.25313807531380755</v>
      </c>
      <c r="V12" s="6">
        <f>Cleaned_MLB_Stats_Dataset__1[[#This Row],[Strikeouts]]/(Cleaned_MLB_Stats_Dataset__1[[#This Row],[At Bats]]+Cleaned_MLB_Stats_Dataset__1[[#This Row],[Walks]])</f>
        <v>0.24906367041198502</v>
      </c>
      <c r="W1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0.10820895522388059</v>
      </c>
      <c r="X1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0.33209647495361783</v>
      </c>
      <c r="Y1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0.51673640167364021</v>
      </c>
      <c r="Z12" s="6">
        <f>Cleaned_MLB_Stats_Dataset__1[[#This Row],[On Base Percentage]]+Cleaned_MLB_Stats_Dataset__1[[#This Row],[Slugging %]]</f>
        <v>0.84883287662725804</v>
      </c>
      <c r="AA12" s="6">
        <f>Cleaned_MLB_Stats_Dataset__1[[#This Row],[Slugging %]]-Cleaned_MLB_Stats_Dataset__1[[#This Row],[Batting Average]]</f>
        <v>0.26359832635983266</v>
      </c>
      <c r="AB12" s="6">
        <f>Cleaned_MLB_Stats_Dataset__1[[#This Row],[Batting Average]]-_xlfn.XLOOKUP(Cleaned_MLB_Stats_Dataset__1[[#This Row],[Year]],'League Averages'!$A$3:$A$23,'League Averages'!$B$3:$B$23)</f>
        <v>-1.2861924686192461E-2</v>
      </c>
      <c r="AC12" s="6">
        <f>Cleaned_MLB_Stats_Dataset__1[[#This Row],[On Base Percentage]]-_xlfn.XLOOKUP(Cleaned_MLB_Stats_Dataset__1[[#This Row],[Year]],'League Averages'!$A$3:$A$23,'League Averages'!$C$3:$C$23)</f>
        <v>-2.9035250463821938E-3</v>
      </c>
      <c r="AD12" s="6">
        <f>Cleaned_MLB_Stats_Dataset__1[[#This Row],[Slugging %]]-_xlfn.XLOOKUP(Cleaned_MLB_Stats_Dataset__1[[#This Row],[Year]],'League Averages'!$A$3:$A$23,'League Averages'!$D$3:$D$23)</f>
        <v>8.8736401673640219E-2</v>
      </c>
      <c r="AE12" s="6">
        <f>Cleaned_MLB_Stats_Dataset__1[[#This Row],[OPS (On Base + Slugging)]]-_xlfn.XLOOKUP(Cleaned_MLB_Stats_Dataset__1[[#This Row],[Year]],'League Averages'!$A$3:$A$23,'League Averages'!$E$3:$E$23)</f>
        <v>8.5832876627258026E-2</v>
      </c>
      <c r="AF12" s="6">
        <f>Cleaned_MLB_Stats_Dataset__1[[#This Row],[ISO (Isolated Power]]-_xlfn.XLOOKUP(Cleaned_MLB_Stats_Dataset__1[[#This Row],[Year]],'League Averages'!$A$3:$A$23,'League Averages'!$F$3:$F$23)</f>
        <v>0.10159832635983265</v>
      </c>
    </row>
    <row r="13" spans="1:32" x14ac:dyDescent="0.2">
      <c r="A13" t="s">
        <v>310</v>
      </c>
      <c r="B13">
        <v>2010</v>
      </c>
      <c r="C13" t="s">
        <v>253</v>
      </c>
      <c r="D13" t="s">
        <v>3</v>
      </c>
      <c r="E13" t="s">
        <v>83</v>
      </c>
      <c r="F13" t="str">
        <f>_xlfn.XLOOKUP(Cleaned_MLB_Stats_Dataset__1[[#This Row],[Position'#]],$B$373:$B$382,$A$373:$A$382)</f>
        <v>3B</v>
      </c>
      <c r="G13">
        <v>5</v>
      </c>
      <c r="H13">
        <v>587</v>
      </c>
      <c r="I13">
        <v>166</v>
      </c>
      <c r="J13">
        <v>36</v>
      </c>
      <c r="K13">
        <v>3</v>
      </c>
      <c r="L13">
        <v>29</v>
      </c>
      <c r="M13">
        <v>87</v>
      </c>
      <c r="N13">
        <v>103</v>
      </c>
      <c r="O13">
        <v>161</v>
      </c>
      <c r="P13">
        <v>69</v>
      </c>
      <c r="Q13">
        <v>9</v>
      </c>
      <c r="R13">
        <v>2</v>
      </c>
      <c r="S13">
        <v>12</v>
      </c>
      <c r="T13">
        <v>0</v>
      </c>
      <c r="U13" s="6">
        <f>Cleaned_MLB_Stats_Dataset__1[[#This Row],[Hits]]/Cleaned_MLB_Stats_Dataset__1[[#This Row],[At Bats]]</f>
        <v>0.282793867120954</v>
      </c>
      <c r="V13" s="6">
        <f>Cleaned_MLB_Stats_Dataset__1[[#This Row],[Strikeouts]]/(Cleaned_MLB_Stats_Dataset__1[[#This Row],[At Bats]]+Cleaned_MLB_Stats_Dataset__1[[#This Row],[Walks]])</f>
        <v>0.24542682926829268</v>
      </c>
      <c r="W1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0.10790273556231003</v>
      </c>
      <c r="X1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0.35373134328358208</v>
      </c>
      <c r="Y1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0.50255536626916519</v>
      </c>
      <c r="Z13" s="6">
        <f>Cleaned_MLB_Stats_Dataset__1[[#This Row],[On Base Percentage]]+Cleaned_MLB_Stats_Dataset__1[[#This Row],[Slugging %]]</f>
        <v>0.85628670955274733</v>
      </c>
      <c r="AA13" s="6">
        <f>Cleaned_MLB_Stats_Dataset__1[[#This Row],[Slugging %]]-Cleaned_MLB_Stats_Dataset__1[[#This Row],[Batting Average]]</f>
        <v>0.21976149914821119</v>
      </c>
      <c r="AB13" s="6">
        <f>Cleaned_MLB_Stats_Dataset__1[[#This Row],[Batting Average]]-_xlfn.XLOOKUP(Cleaned_MLB_Stats_Dataset__1[[#This Row],[Year]],'League Averages'!$A$3:$A$23,'League Averages'!$B$3:$B$23)</f>
        <v>2.5793867120953995E-2</v>
      </c>
      <c r="AC13" s="6">
        <f>Cleaned_MLB_Stats_Dataset__1[[#This Row],[On Base Percentage]]-_xlfn.XLOOKUP(Cleaned_MLB_Stats_Dataset__1[[#This Row],[Year]],'League Averages'!$A$3:$A$23,'League Averages'!$C$3:$C$23)</f>
        <v>2.8731343283582067E-2</v>
      </c>
      <c r="AD13" s="6">
        <f>Cleaned_MLB_Stats_Dataset__1[[#This Row],[Slugging %]]-_xlfn.XLOOKUP(Cleaned_MLB_Stats_Dataset__1[[#This Row],[Year]],'League Averages'!$A$3:$A$23,'League Averages'!$D$3:$D$23)</f>
        <v>9.9555366269165169E-2</v>
      </c>
      <c r="AE13" s="6">
        <f>Cleaned_MLB_Stats_Dataset__1[[#This Row],[OPS (On Base + Slugging)]]-_xlfn.XLOOKUP(Cleaned_MLB_Stats_Dataset__1[[#This Row],[Year]],'League Averages'!$A$3:$A$23,'League Averages'!$E$3:$E$23)</f>
        <v>0.12828670955274735</v>
      </c>
      <c r="AF13" s="6">
        <f>Cleaned_MLB_Stats_Dataset__1[[#This Row],[ISO (Isolated Power]]-_xlfn.XLOOKUP(Cleaned_MLB_Stats_Dataset__1[[#This Row],[Year]],'League Averages'!$A$3:$A$23,'League Averages'!$F$3:$F$23)</f>
        <v>7.3761499148211201E-2</v>
      </c>
    </row>
    <row r="14" spans="1:32" x14ac:dyDescent="0.2">
      <c r="A14" t="s">
        <v>310</v>
      </c>
      <c r="B14">
        <v>2011</v>
      </c>
      <c r="C14" t="s">
        <v>288</v>
      </c>
      <c r="D14" t="s">
        <v>6</v>
      </c>
      <c r="E14" t="s">
        <v>67</v>
      </c>
      <c r="F14" t="str">
        <f>_xlfn.XLOOKUP(Cleaned_MLB_Stats_Dataset__1[[#This Row],[Position'#]],$B$373:$B$382,$A$373:$A$382)</f>
        <v>C</v>
      </c>
      <c r="G14">
        <v>2</v>
      </c>
      <c r="H14">
        <v>464</v>
      </c>
      <c r="I14">
        <v>137</v>
      </c>
      <c r="J14">
        <v>33</v>
      </c>
      <c r="K14">
        <v>4</v>
      </c>
      <c r="L14">
        <v>19</v>
      </c>
      <c r="M14">
        <v>63</v>
      </c>
      <c r="N14">
        <v>82</v>
      </c>
      <c r="O14">
        <v>131</v>
      </c>
      <c r="P14">
        <v>73</v>
      </c>
      <c r="Q14">
        <v>9</v>
      </c>
      <c r="R14">
        <v>3</v>
      </c>
      <c r="S14">
        <v>8</v>
      </c>
      <c r="T14">
        <v>3</v>
      </c>
      <c r="U14" s="6">
        <f>Cleaned_MLB_Stats_Dataset__1[[#This Row],[Hits]]/Cleaned_MLB_Stats_Dataset__1[[#This Row],[At Bats]]</f>
        <v>0.29525862068965519</v>
      </c>
      <c r="V14" s="6">
        <f>Cleaned_MLB_Stats_Dataset__1[[#This Row],[Strikeouts]]/(Cleaned_MLB_Stats_Dataset__1[[#This Row],[At Bats]]+Cleaned_MLB_Stats_Dataset__1[[#This Row],[Walks]])</f>
        <v>0.24394785847299813</v>
      </c>
      <c r="W1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0.14074074074074075</v>
      </c>
      <c r="X1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0.38868613138686131</v>
      </c>
      <c r="Y1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0.50646551724137934</v>
      </c>
      <c r="Z14" s="6">
        <f>Cleaned_MLB_Stats_Dataset__1[[#This Row],[On Base Percentage]]+Cleaned_MLB_Stats_Dataset__1[[#This Row],[Slugging %]]</f>
        <v>0.8951516486282407</v>
      </c>
      <c r="AA14" s="6">
        <f>Cleaned_MLB_Stats_Dataset__1[[#This Row],[Slugging %]]-Cleaned_MLB_Stats_Dataset__1[[#This Row],[Batting Average]]</f>
        <v>0.21120689655172414</v>
      </c>
      <c r="AB14" s="6">
        <f>Cleaned_MLB_Stats_Dataset__1[[#This Row],[Batting Average]]-_xlfn.XLOOKUP(Cleaned_MLB_Stats_Dataset__1[[#This Row],[Year]],'League Averages'!$A$3:$A$23,'League Averages'!$B$3:$B$23)</f>
        <v>4.0258620689655189E-2</v>
      </c>
      <c r="AC14" s="6">
        <f>Cleaned_MLB_Stats_Dataset__1[[#This Row],[On Base Percentage]]-_xlfn.XLOOKUP(Cleaned_MLB_Stats_Dataset__1[[#This Row],[Year]],'League Averages'!$A$3:$A$23,'League Averages'!$C$3:$C$23)</f>
        <v>6.7686131386861303E-2</v>
      </c>
      <c r="AD14" s="6">
        <f>Cleaned_MLB_Stats_Dataset__1[[#This Row],[Slugging %]]-_xlfn.XLOOKUP(Cleaned_MLB_Stats_Dataset__1[[#This Row],[Year]],'League Averages'!$A$3:$A$23,'League Averages'!$D$3:$D$23)</f>
        <v>0.10746551724137932</v>
      </c>
      <c r="AE14" s="6">
        <f>Cleaned_MLB_Stats_Dataset__1[[#This Row],[OPS (On Base + Slugging)]]-_xlfn.XLOOKUP(Cleaned_MLB_Stats_Dataset__1[[#This Row],[Year]],'League Averages'!$A$3:$A$23,'League Averages'!$E$3:$E$23)</f>
        <v>0.17515164862824073</v>
      </c>
      <c r="AF14" s="6">
        <f>Cleaned_MLB_Stats_Dataset__1[[#This Row],[ISO (Isolated Power]]-_xlfn.XLOOKUP(Cleaned_MLB_Stats_Dataset__1[[#This Row],[Year]],'League Averages'!$A$3:$A$23,'League Averages'!$F$3:$F$23)</f>
        <v>6.7206896551724155E-2</v>
      </c>
    </row>
    <row r="15" spans="1:32" x14ac:dyDescent="0.2">
      <c r="A15" t="s">
        <v>310</v>
      </c>
      <c r="B15">
        <v>2003</v>
      </c>
      <c r="C15" t="s">
        <v>168</v>
      </c>
      <c r="D15" t="s">
        <v>3</v>
      </c>
      <c r="E15" t="s">
        <v>60</v>
      </c>
      <c r="F15" t="str">
        <f>_xlfn.XLOOKUP(Cleaned_MLB_Stats_Dataset__1[[#This Row],[Position'#]],$B$373:$B$382,$A$373:$A$382)</f>
        <v>CF</v>
      </c>
      <c r="G15">
        <v>8</v>
      </c>
      <c r="H15">
        <v>447</v>
      </c>
      <c r="I15">
        <v>123</v>
      </c>
      <c r="J15">
        <v>32</v>
      </c>
      <c r="K15">
        <v>2</v>
      </c>
      <c r="L15">
        <v>39</v>
      </c>
      <c r="M15">
        <v>89</v>
      </c>
      <c r="N15">
        <v>89</v>
      </c>
      <c r="O15">
        <v>127</v>
      </c>
      <c r="P15">
        <v>77</v>
      </c>
      <c r="Q15">
        <v>6</v>
      </c>
      <c r="R15">
        <v>4</v>
      </c>
      <c r="S15">
        <v>2</v>
      </c>
      <c r="T15">
        <v>1</v>
      </c>
      <c r="U15" s="6">
        <f>Cleaned_MLB_Stats_Dataset__1[[#This Row],[Hits]]/Cleaned_MLB_Stats_Dataset__1[[#This Row],[At Bats]]</f>
        <v>0.27516778523489932</v>
      </c>
      <c r="V15" s="6">
        <f>Cleaned_MLB_Stats_Dataset__1[[#This Row],[Strikeouts]]/(Cleaned_MLB_Stats_Dataset__1[[#This Row],[At Bats]]+Cleaned_MLB_Stats_Dataset__1[[#This Row],[Walks]])</f>
        <v>0.24236641221374045</v>
      </c>
      <c r="W1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0.15340909090909091</v>
      </c>
      <c r="X1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0.38490566037735852</v>
      </c>
      <c r="Y1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0.6174496644295302</v>
      </c>
      <c r="Z15" s="6">
        <f>Cleaned_MLB_Stats_Dataset__1[[#This Row],[On Base Percentage]]+Cleaned_MLB_Stats_Dataset__1[[#This Row],[Slugging %]]</f>
        <v>1.0023553248068886</v>
      </c>
      <c r="AA15" s="6">
        <f>Cleaned_MLB_Stats_Dataset__1[[#This Row],[Slugging %]]-Cleaned_MLB_Stats_Dataset__1[[#This Row],[Batting Average]]</f>
        <v>0.34228187919463088</v>
      </c>
      <c r="AB15" s="6">
        <f>Cleaned_MLB_Stats_Dataset__1[[#This Row],[Batting Average]]-_xlfn.XLOOKUP(Cleaned_MLB_Stats_Dataset__1[[#This Row],[Year]],'League Averages'!$A$3:$A$23,'League Averages'!$B$3:$B$23)</f>
        <v>1.1167785234899308E-2</v>
      </c>
      <c r="AC15" s="6">
        <f>Cleaned_MLB_Stats_Dataset__1[[#This Row],[On Base Percentage]]-_xlfn.XLOOKUP(Cleaned_MLB_Stats_Dataset__1[[#This Row],[Year]],'League Averages'!$A$3:$A$23,'League Averages'!$C$3:$C$23)</f>
        <v>5.1905660377358498E-2</v>
      </c>
      <c r="AD15" s="6">
        <f>Cleaned_MLB_Stats_Dataset__1[[#This Row],[Slugging %]]-_xlfn.XLOOKUP(Cleaned_MLB_Stats_Dataset__1[[#This Row],[Year]],'League Averages'!$A$3:$A$23,'League Averages'!$D$3:$D$23)</f>
        <v>0.19544966442953021</v>
      </c>
      <c r="AE15" s="6">
        <f>Cleaned_MLB_Stats_Dataset__1[[#This Row],[OPS (On Base + Slugging)]]-_xlfn.XLOOKUP(Cleaned_MLB_Stats_Dataset__1[[#This Row],[Year]],'League Averages'!$A$3:$A$23,'League Averages'!$E$3:$E$23)</f>
        <v>0.2473553248068886</v>
      </c>
      <c r="AF15" s="6">
        <f>Cleaned_MLB_Stats_Dataset__1[[#This Row],[ISO (Isolated Power]]-_xlfn.XLOOKUP(Cleaned_MLB_Stats_Dataset__1[[#This Row],[Year]],'League Averages'!$A$3:$A$23,'League Averages'!$F$3:$F$23)</f>
        <v>0.18428187919463088</v>
      </c>
    </row>
    <row r="16" spans="1:32" x14ac:dyDescent="0.2">
      <c r="A16" t="s">
        <v>310</v>
      </c>
      <c r="B16">
        <v>2011</v>
      </c>
      <c r="C16" t="s">
        <v>268</v>
      </c>
      <c r="D16" t="s">
        <v>3</v>
      </c>
      <c r="E16" t="s">
        <v>80</v>
      </c>
      <c r="F16" t="str">
        <f>_xlfn.XLOOKUP(Cleaned_MLB_Stats_Dataset__1[[#This Row],[Position'#]],$B$373:$B$382,$A$373:$A$382)</f>
        <v>CF</v>
      </c>
      <c r="G16">
        <v>8</v>
      </c>
      <c r="H16">
        <v>602</v>
      </c>
      <c r="I16">
        <v>195</v>
      </c>
      <c r="J16">
        <v>33</v>
      </c>
      <c r="K16">
        <v>4</v>
      </c>
      <c r="L16">
        <v>39</v>
      </c>
      <c r="M16">
        <v>115</v>
      </c>
      <c r="N16">
        <v>126</v>
      </c>
      <c r="O16">
        <v>159</v>
      </c>
      <c r="P16">
        <v>74</v>
      </c>
      <c r="Q16">
        <v>24</v>
      </c>
      <c r="R16">
        <v>6</v>
      </c>
      <c r="S16">
        <v>7</v>
      </c>
      <c r="T16">
        <v>0</v>
      </c>
      <c r="U16" s="6">
        <f>Cleaned_MLB_Stats_Dataset__1[[#This Row],[Hits]]/Cleaned_MLB_Stats_Dataset__1[[#This Row],[At Bats]]</f>
        <v>0.32392026578073091</v>
      </c>
      <c r="V16" s="6">
        <f>Cleaned_MLB_Stats_Dataset__1[[#This Row],[Strikeouts]]/(Cleaned_MLB_Stats_Dataset__1[[#This Row],[At Bats]]+Cleaned_MLB_Stats_Dataset__1[[#This Row],[Walks]])</f>
        <v>0.23520710059171598</v>
      </c>
      <c r="W1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0.11730205278592376</v>
      </c>
      <c r="X1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0.39912917271407838</v>
      </c>
      <c r="Y1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0.58637873754152825</v>
      </c>
      <c r="Z16" s="6">
        <f>Cleaned_MLB_Stats_Dataset__1[[#This Row],[On Base Percentage]]+Cleaned_MLB_Stats_Dataset__1[[#This Row],[Slugging %]]</f>
        <v>0.98550791025560658</v>
      </c>
      <c r="AA16" s="6">
        <f>Cleaned_MLB_Stats_Dataset__1[[#This Row],[Slugging %]]-Cleaned_MLB_Stats_Dataset__1[[#This Row],[Batting Average]]</f>
        <v>0.26245847176079734</v>
      </c>
      <c r="AB16" s="6">
        <f>Cleaned_MLB_Stats_Dataset__1[[#This Row],[Batting Average]]-_xlfn.XLOOKUP(Cleaned_MLB_Stats_Dataset__1[[#This Row],[Year]],'League Averages'!$A$3:$A$23,'League Averages'!$B$3:$B$23)</f>
        <v>6.8920265780730905E-2</v>
      </c>
      <c r="AC16" s="6">
        <f>Cleaned_MLB_Stats_Dataset__1[[#This Row],[On Base Percentage]]-_xlfn.XLOOKUP(Cleaned_MLB_Stats_Dataset__1[[#This Row],[Year]],'League Averages'!$A$3:$A$23,'League Averages'!$C$3:$C$23)</f>
        <v>7.8129172714078376E-2</v>
      </c>
      <c r="AD16" s="6">
        <f>Cleaned_MLB_Stats_Dataset__1[[#This Row],[Slugging %]]-_xlfn.XLOOKUP(Cleaned_MLB_Stats_Dataset__1[[#This Row],[Year]],'League Averages'!$A$3:$A$23,'League Averages'!$D$3:$D$23)</f>
        <v>0.18737873754152823</v>
      </c>
      <c r="AE16" s="6">
        <f>Cleaned_MLB_Stats_Dataset__1[[#This Row],[OPS (On Base + Slugging)]]-_xlfn.XLOOKUP(Cleaned_MLB_Stats_Dataset__1[[#This Row],[Year]],'League Averages'!$A$3:$A$23,'League Averages'!$E$3:$E$23)</f>
        <v>0.26550791025560661</v>
      </c>
      <c r="AF16" s="6">
        <f>Cleaned_MLB_Stats_Dataset__1[[#This Row],[ISO (Isolated Power]]-_xlfn.XLOOKUP(Cleaned_MLB_Stats_Dataset__1[[#This Row],[Year]],'League Averages'!$A$3:$A$23,'League Averages'!$F$3:$F$23)</f>
        <v>0.11845847176079735</v>
      </c>
    </row>
    <row r="17" spans="1:32" x14ac:dyDescent="0.2">
      <c r="A17" t="s">
        <v>310</v>
      </c>
      <c r="B17">
        <v>2010</v>
      </c>
      <c r="C17" t="s">
        <v>248</v>
      </c>
      <c r="D17" t="s">
        <v>3</v>
      </c>
      <c r="E17" t="s">
        <v>204</v>
      </c>
      <c r="F17" t="str">
        <f>_xlfn.XLOOKUP(Cleaned_MLB_Stats_Dataset__1[[#This Row],[Position'#]],$B$373:$B$382,$A$373:$A$382)</f>
        <v>RF</v>
      </c>
      <c r="G17">
        <v>9</v>
      </c>
      <c r="H17">
        <v>558</v>
      </c>
      <c r="I17">
        <v>158</v>
      </c>
      <c r="J17">
        <v>34</v>
      </c>
      <c r="K17">
        <v>4</v>
      </c>
      <c r="L17">
        <v>31</v>
      </c>
      <c r="M17">
        <v>91</v>
      </c>
      <c r="N17">
        <v>102</v>
      </c>
      <c r="O17">
        <v>140</v>
      </c>
      <c r="P17">
        <v>45</v>
      </c>
      <c r="Q17">
        <v>2</v>
      </c>
      <c r="R17">
        <v>6</v>
      </c>
      <c r="S17">
        <v>5</v>
      </c>
      <c r="T17">
        <v>0</v>
      </c>
      <c r="U17" s="6">
        <f>Cleaned_MLB_Stats_Dataset__1[[#This Row],[Hits]]/Cleaned_MLB_Stats_Dataset__1[[#This Row],[At Bats]]</f>
        <v>0.28315412186379929</v>
      </c>
      <c r="V17" s="6">
        <f>Cleaned_MLB_Stats_Dataset__1[[#This Row],[Strikeouts]]/(Cleaned_MLB_Stats_Dataset__1[[#This Row],[At Bats]]+Cleaned_MLB_Stats_Dataset__1[[#This Row],[Walks]])</f>
        <v>0.23217247097844113</v>
      </c>
      <c r="W1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8.3743842364532015E-2</v>
      </c>
      <c r="X1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0.34039087947882735</v>
      </c>
      <c r="Y1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0.52508960573476704</v>
      </c>
      <c r="Z17" s="6">
        <f>Cleaned_MLB_Stats_Dataset__1[[#This Row],[On Base Percentage]]+Cleaned_MLB_Stats_Dataset__1[[#This Row],[Slugging %]]</f>
        <v>0.86548048521359444</v>
      </c>
      <c r="AA17" s="6">
        <f>Cleaned_MLB_Stats_Dataset__1[[#This Row],[Slugging %]]-Cleaned_MLB_Stats_Dataset__1[[#This Row],[Batting Average]]</f>
        <v>0.24193548387096775</v>
      </c>
      <c r="AB17" s="6">
        <f>Cleaned_MLB_Stats_Dataset__1[[#This Row],[Batting Average]]-_xlfn.XLOOKUP(Cleaned_MLB_Stats_Dataset__1[[#This Row],[Year]],'League Averages'!$A$3:$A$23,'League Averages'!$B$3:$B$23)</f>
        <v>2.6154121863799284E-2</v>
      </c>
      <c r="AC17" s="6">
        <f>Cleaned_MLB_Stats_Dataset__1[[#This Row],[On Base Percentage]]-_xlfn.XLOOKUP(Cleaned_MLB_Stats_Dataset__1[[#This Row],[Year]],'League Averages'!$A$3:$A$23,'League Averages'!$C$3:$C$23)</f>
        <v>1.5390879478827335E-2</v>
      </c>
      <c r="AD17" s="6">
        <f>Cleaned_MLB_Stats_Dataset__1[[#This Row],[Slugging %]]-_xlfn.XLOOKUP(Cleaned_MLB_Stats_Dataset__1[[#This Row],[Year]],'League Averages'!$A$3:$A$23,'League Averages'!$D$3:$D$23)</f>
        <v>0.12208960573476701</v>
      </c>
      <c r="AE17" s="6">
        <f>Cleaned_MLB_Stats_Dataset__1[[#This Row],[OPS (On Base + Slugging)]]-_xlfn.XLOOKUP(Cleaned_MLB_Stats_Dataset__1[[#This Row],[Year]],'League Averages'!$A$3:$A$23,'League Averages'!$E$3:$E$23)</f>
        <v>0.13748048521359446</v>
      </c>
      <c r="AF17" s="6">
        <f>Cleaned_MLB_Stats_Dataset__1[[#This Row],[ISO (Isolated Power]]-_xlfn.XLOOKUP(Cleaned_MLB_Stats_Dataset__1[[#This Row],[Year]],'League Averages'!$A$3:$A$23,'League Averages'!$F$3:$F$23)</f>
        <v>9.5935483870967758E-2</v>
      </c>
    </row>
    <row r="18" spans="1:32" x14ac:dyDescent="0.2">
      <c r="A18" t="s">
        <v>310</v>
      </c>
      <c r="B18">
        <v>2006</v>
      </c>
      <c r="C18" t="s">
        <v>234</v>
      </c>
      <c r="D18" t="s">
        <v>3</v>
      </c>
      <c r="E18" t="s">
        <v>46</v>
      </c>
      <c r="F18" t="str">
        <f>_xlfn.XLOOKUP(Cleaned_MLB_Stats_Dataset__1[[#This Row],[Position'#]],$B$373:$B$382,$A$373:$A$382)</f>
        <v>RF</v>
      </c>
      <c r="G18">
        <v>9</v>
      </c>
      <c r="H18">
        <v>570</v>
      </c>
      <c r="I18">
        <v>163</v>
      </c>
      <c r="J18">
        <v>29</v>
      </c>
      <c r="K18">
        <v>3</v>
      </c>
      <c r="L18">
        <v>35</v>
      </c>
      <c r="M18">
        <v>101</v>
      </c>
      <c r="N18">
        <v>109</v>
      </c>
      <c r="O18">
        <v>156</v>
      </c>
      <c r="P18">
        <v>102</v>
      </c>
      <c r="Q18">
        <v>9</v>
      </c>
      <c r="R18">
        <v>8</v>
      </c>
      <c r="S18">
        <v>9</v>
      </c>
      <c r="T18">
        <v>0</v>
      </c>
      <c r="U18" s="6">
        <f>Cleaned_MLB_Stats_Dataset__1[[#This Row],[Hits]]/Cleaned_MLB_Stats_Dataset__1[[#This Row],[At Bats]]</f>
        <v>0.28596491228070176</v>
      </c>
      <c r="V18" s="6">
        <f>Cleaned_MLB_Stats_Dataset__1[[#This Row],[Strikeouts]]/(Cleaned_MLB_Stats_Dataset__1[[#This Row],[At Bats]]+Cleaned_MLB_Stats_Dataset__1[[#This Row],[Walks]])</f>
        <v>0.23214285714285715</v>
      </c>
      <c r="W1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0.16176470588235295</v>
      </c>
      <c r="X1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0.39622641509433965</v>
      </c>
      <c r="Y1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0.53157894736842104</v>
      </c>
      <c r="Z18" s="6">
        <f>Cleaned_MLB_Stats_Dataset__1[[#This Row],[On Base Percentage]]+Cleaned_MLB_Stats_Dataset__1[[#This Row],[Slugging %]]</f>
        <v>0.92780536246276069</v>
      </c>
      <c r="AA18" s="6">
        <f>Cleaned_MLB_Stats_Dataset__1[[#This Row],[Slugging %]]-Cleaned_MLB_Stats_Dataset__1[[#This Row],[Batting Average]]</f>
        <v>0.24561403508771928</v>
      </c>
      <c r="AB18" s="6">
        <f>Cleaned_MLB_Stats_Dataset__1[[#This Row],[Batting Average]]-_xlfn.XLOOKUP(Cleaned_MLB_Stats_Dataset__1[[#This Row],[Year]],'League Averages'!$A$3:$A$23,'League Averages'!$B$3:$B$23)</f>
        <v>1.6964912280701738E-2</v>
      </c>
      <c r="AC18" s="6">
        <f>Cleaned_MLB_Stats_Dataset__1[[#This Row],[On Base Percentage]]-_xlfn.XLOOKUP(Cleaned_MLB_Stats_Dataset__1[[#This Row],[Year]],'League Averages'!$A$3:$A$23,'League Averages'!$C$3:$C$23)</f>
        <v>6.0226415094339625E-2</v>
      </c>
      <c r="AD18" s="6">
        <f>Cleaned_MLB_Stats_Dataset__1[[#This Row],[Slugging %]]-_xlfn.XLOOKUP(Cleaned_MLB_Stats_Dataset__1[[#This Row],[Year]],'League Averages'!$A$3:$A$23,'League Averages'!$D$3:$D$23)</f>
        <v>9.9578947368421045E-2</v>
      </c>
      <c r="AE18" s="6">
        <f>Cleaned_MLB_Stats_Dataset__1[[#This Row],[OPS (On Base + Slugging)]]-_xlfn.XLOOKUP(Cleaned_MLB_Stats_Dataset__1[[#This Row],[Year]],'League Averages'!$A$3:$A$23,'League Averages'!$E$3:$E$23)</f>
        <v>0.15980536246276067</v>
      </c>
      <c r="AF18" s="6">
        <f>Cleaned_MLB_Stats_Dataset__1[[#This Row],[ISO (Isolated Power]]-_xlfn.XLOOKUP(Cleaned_MLB_Stats_Dataset__1[[#This Row],[Year]],'League Averages'!$A$3:$A$23,'League Averages'!$F$3:$F$23)</f>
        <v>8.2614035087719279E-2</v>
      </c>
    </row>
    <row r="19" spans="1:32" x14ac:dyDescent="0.2">
      <c r="A19" t="s">
        <v>310</v>
      </c>
      <c r="B19">
        <v>2009</v>
      </c>
      <c r="C19" t="s">
        <v>253</v>
      </c>
      <c r="D19" t="s">
        <v>3</v>
      </c>
      <c r="E19" t="s">
        <v>83</v>
      </c>
      <c r="F19" t="str">
        <f>_xlfn.XLOOKUP(Cleaned_MLB_Stats_Dataset__1[[#This Row],[Position'#]],$B$373:$B$382,$A$373:$A$382)</f>
        <v>3B</v>
      </c>
      <c r="G19">
        <v>5</v>
      </c>
      <c r="H19">
        <v>535</v>
      </c>
      <c r="I19">
        <v>164</v>
      </c>
      <c r="J19">
        <v>39</v>
      </c>
      <c r="K19">
        <v>3</v>
      </c>
      <c r="L19">
        <v>10</v>
      </c>
      <c r="M19">
        <v>88</v>
      </c>
      <c r="N19">
        <v>72</v>
      </c>
      <c r="O19">
        <v>140</v>
      </c>
      <c r="P19">
        <v>74</v>
      </c>
      <c r="Q19">
        <v>8</v>
      </c>
      <c r="R19">
        <v>3</v>
      </c>
      <c r="S19">
        <v>6</v>
      </c>
      <c r="T19">
        <v>0</v>
      </c>
      <c r="U19" s="6">
        <f>Cleaned_MLB_Stats_Dataset__1[[#This Row],[Hits]]/Cleaned_MLB_Stats_Dataset__1[[#This Row],[At Bats]]</f>
        <v>0.30654205607476637</v>
      </c>
      <c r="V19" s="6">
        <f>Cleaned_MLB_Stats_Dataset__1[[#This Row],[Strikeouts]]/(Cleaned_MLB_Stats_Dataset__1[[#This Row],[At Bats]]+Cleaned_MLB_Stats_Dataset__1[[#This Row],[Walks]])</f>
        <v>0.22988505747126436</v>
      </c>
      <c r="W1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0.12581699346405228</v>
      </c>
      <c r="X1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0.38996763754045305</v>
      </c>
      <c r="Y1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0.44672897196261685</v>
      </c>
      <c r="Z19" s="6">
        <f>Cleaned_MLB_Stats_Dataset__1[[#This Row],[On Base Percentage]]+Cleaned_MLB_Stats_Dataset__1[[#This Row],[Slugging %]]</f>
        <v>0.8366966095030699</v>
      </c>
      <c r="AA19" s="6">
        <f>Cleaned_MLB_Stats_Dataset__1[[#This Row],[Slugging %]]-Cleaned_MLB_Stats_Dataset__1[[#This Row],[Batting Average]]</f>
        <v>0.14018691588785048</v>
      </c>
      <c r="AB19" s="6">
        <f>Cleaned_MLB_Stats_Dataset__1[[#This Row],[Batting Average]]-_xlfn.XLOOKUP(Cleaned_MLB_Stats_Dataset__1[[#This Row],[Year]],'League Averages'!$A$3:$A$23,'League Averages'!$B$3:$B$23)</f>
        <v>4.4542056074766356E-2</v>
      </c>
      <c r="AC19" s="6">
        <f>Cleaned_MLB_Stats_Dataset__1[[#This Row],[On Base Percentage]]-_xlfn.XLOOKUP(Cleaned_MLB_Stats_Dataset__1[[#This Row],[Year]],'League Averages'!$A$3:$A$23,'League Averages'!$C$3:$C$23)</f>
        <v>5.6967637540453031E-2</v>
      </c>
      <c r="AD19" s="6">
        <f>Cleaned_MLB_Stats_Dataset__1[[#This Row],[Slugging %]]-_xlfn.XLOOKUP(Cleaned_MLB_Stats_Dataset__1[[#This Row],[Year]],'League Averages'!$A$3:$A$23,'League Averages'!$D$3:$D$23)</f>
        <v>2.8728971962616867E-2</v>
      </c>
      <c r="AE19" s="6">
        <f>Cleaned_MLB_Stats_Dataset__1[[#This Row],[OPS (On Base + Slugging)]]-_xlfn.XLOOKUP(Cleaned_MLB_Stats_Dataset__1[[#This Row],[Year]],'League Averages'!$A$3:$A$23,'League Averages'!$E$3:$E$23)</f>
        <v>8.5696609503069898E-2</v>
      </c>
      <c r="AF19" s="6">
        <f>Cleaned_MLB_Stats_Dataset__1[[#This Row],[ISO (Isolated Power]]-_xlfn.XLOOKUP(Cleaned_MLB_Stats_Dataset__1[[#This Row],[Year]],'League Averages'!$A$3:$A$23,'League Averages'!$F$3:$F$23)</f>
        <v>-1.5813084112149517E-2</v>
      </c>
    </row>
    <row r="20" spans="1:32" x14ac:dyDescent="0.2">
      <c r="A20" t="s">
        <v>310</v>
      </c>
      <c r="B20">
        <v>2008</v>
      </c>
      <c r="C20" t="s">
        <v>215</v>
      </c>
      <c r="D20" t="s">
        <v>6</v>
      </c>
      <c r="E20" t="s">
        <v>90</v>
      </c>
      <c r="F20" t="str">
        <f>_xlfn.XLOOKUP(Cleaned_MLB_Stats_Dataset__1[[#This Row],[Position'#]],$B$373:$B$382,$A$373:$A$382)</f>
        <v>DH</v>
      </c>
      <c r="G20">
        <v>10</v>
      </c>
      <c r="H20">
        <v>414</v>
      </c>
      <c r="I20">
        <v>133</v>
      </c>
      <c r="J20">
        <v>32</v>
      </c>
      <c r="K20">
        <v>1</v>
      </c>
      <c r="L20">
        <v>22</v>
      </c>
      <c r="M20">
        <v>78</v>
      </c>
      <c r="N20">
        <v>77</v>
      </c>
      <c r="O20">
        <v>112</v>
      </c>
      <c r="P20">
        <v>80</v>
      </c>
      <c r="Q20">
        <v>13</v>
      </c>
      <c r="R20">
        <v>9</v>
      </c>
      <c r="S20">
        <v>6</v>
      </c>
      <c r="T20">
        <v>0</v>
      </c>
      <c r="U20" s="6">
        <f>Cleaned_MLB_Stats_Dataset__1[[#This Row],[Hits]]/Cleaned_MLB_Stats_Dataset__1[[#This Row],[At Bats]]</f>
        <v>0.32125603864734298</v>
      </c>
      <c r="V20" s="6">
        <f>Cleaned_MLB_Stats_Dataset__1[[#This Row],[Strikeouts]]/(Cleaned_MLB_Stats_Dataset__1[[#This Row],[At Bats]]+Cleaned_MLB_Stats_Dataset__1[[#This Row],[Walks]])</f>
        <v>0.22672064777327935</v>
      </c>
      <c r="W2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0.17693836978131214</v>
      </c>
      <c r="X2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0.43614931237721022</v>
      </c>
      <c r="Y2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0.5628019323671497</v>
      </c>
      <c r="Z20" s="6">
        <f>Cleaned_MLB_Stats_Dataset__1[[#This Row],[On Base Percentage]]+Cleaned_MLB_Stats_Dataset__1[[#This Row],[Slugging %]]</f>
        <v>0.99895124474435992</v>
      </c>
      <c r="AA20" s="6">
        <f>Cleaned_MLB_Stats_Dataset__1[[#This Row],[Slugging %]]-Cleaned_MLB_Stats_Dataset__1[[#This Row],[Batting Average]]</f>
        <v>0.24154589371980673</v>
      </c>
      <c r="AB20" s="6">
        <f>Cleaned_MLB_Stats_Dataset__1[[#This Row],[Batting Average]]-_xlfn.XLOOKUP(Cleaned_MLB_Stats_Dataset__1[[#This Row],[Year]],'League Averages'!$A$3:$A$23,'League Averages'!$B$3:$B$23)</f>
        <v>5.7256038647342966E-2</v>
      </c>
      <c r="AC20" s="6">
        <f>Cleaned_MLB_Stats_Dataset__1[[#This Row],[On Base Percentage]]-_xlfn.XLOOKUP(Cleaned_MLB_Stats_Dataset__1[[#This Row],[Year]],'League Averages'!$A$3:$A$23,'League Averages'!$C$3:$C$23)</f>
        <v>0.1031493123772102</v>
      </c>
      <c r="AD20" s="6">
        <f>Cleaned_MLB_Stats_Dataset__1[[#This Row],[Slugging %]]-_xlfn.XLOOKUP(Cleaned_MLB_Stats_Dataset__1[[#This Row],[Year]],'League Averages'!$A$3:$A$23,'League Averages'!$D$3:$D$23)</f>
        <v>0.14680193236714972</v>
      </c>
      <c r="AE20" s="6">
        <f>Cleaned_MLB_Stats_Dataset__1[[#This Row],[OPS (On Base + Slugging)]]-_xlfn.XLOOKUP(Cleaned_MLB_Stats_Dataset__1[[#This Row],[Year]],'League Averages'!$A$3:$A$23,'League Averages'!$E$3:$E$23)</f>
        <v>0.24995124474435992</v>
      </c>
      <c r="AF20" s="6">
        <f>Cleaned_MLB_Stats_Dataset__1[[#This Row],[ISO (Isolated Power]]-_xlfn.XLOOKUP(Cleaned_MLB_Stats_Dataset__1[[#This Row],[Year]],'League Averages'!$A$3:$A$23,'League Averages'!$F$3:$F$23)</f>
        <v>8.954589371980673E-2</v>
      </c>
    </row>
    <row r="21" spans="1:32" x14ac:dyDescent="0.2">
      <c r="A21" t="s">
        <v>310</v>
      </c>
      <c r="B21">
        <v>2006</v>
      </c>
      <c r="C21" t="s">
        <v>213</v>
      </c>
      <c r="D21" t="s">
        <v>3</v>
      </c>
      <c r="E21" t="s">
        <v>59</v>
      </c>
      <c r="F21" t="str">
        <f>_xlfn.XLOOKUP(Cleaned_MLB_Stats_Dataset__1[[#This Row],[Position'#]],$B$373:$B$382,$A$373:$A$382)</f>
        <v>LF</v>
      </c>
      <c r="G21">
        <v>7</v>
      </c>
      <c r="H21">
        <v>647</v>
      </c>
      <c r="I21">
        <v>179</v>
      </c>
      <c r="J21">
        <v>41</v>
      </c>
      <c r="K21">
        <v>2</v>
      </c>
      <c r="L21">
        <v>46</v>
      </c>
      <c r="M21">
        <v>119</v>
      </c>
      <c r="N21">
        <v>95</v>
      </c>
      <c r="O21">
        <v>160</v>
      </c>
      <c r="P21">
        <v>67</v>
      </c>
      <c r="Q21">
        <v>16</v>
      </c>
      <c r="R21">
        <v>9</v>
      </c>
      <c r="S21">
        <v>3</v>
      </c>
      <c r="T21">
        <v>2</v>
      </c>
      <c r="U21" s="6">
        <f>Cleaned_MLB_Stats_Dataset__1[[#This Row],[Hits]]/Cleaned_MLB_Stats_Dataset__1[[#This Row],[At Bats]]</f>
        <v>0.27666151468315303</v>
      </c>
      <c r="V21" s="6">
        <f>Cleaned_MLB_Stats_Dataset__1[[#This Row],[Strikeouts]]/(Cleaned_MLB_Stats_Dataset__1[[#This Row],[At Bats]]+Cleaned_MLB_Stats_Dataset__1[[#This Row],[Walks]])</f>
        <v>0.22408963585434175</v>
      </c>
      <c r="W2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0.10511756569847856</v>
      </c>
      <c r="X2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0.3512396694214876</v>
      </c>
      <c r="Y2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0.55950540958268935</v>
      </c>
      <c r="Z21" s="6">
        <f>Cleaned_MLB_Stats_Dataset__1[[#This Row],[On Base Percentage]]+Cleaned_MLB_Stats_Dataset__1[[#This Row],[Slugging %]]</f>
        <v>0.91074507900417689</v>
      </c>
      <c r="AA21" s="6">
        <f>Cleaned_MLB_Stats_Dataset__1[[#This Row],[Slugging %]]-Cleaned_MLB_Stats_Dataset__1[[#This Row],[Batting Average]]</f>
        <v>0.28284389489953632</v>
      </c>
      <c r="AB21" s="6">
        <f>Cleaned_MLB_Stats_Dataset__1[[#This Row],[Batting Average]]-_xlfn.XLOOKUP(Cleaned_MLB_Stats_Dataset__1[[#This Row],[Year]],'League Averages'!$A$3:$A$23,'League Averages'!$B$3:$B$23)</f>
        <v>7.6615146831530145E-3</v>
      </c>
      <c r="AC21" s="6">
        <f>Cleaned_MLB_Stats_Dataset__1[[#This Row],[On Base Percentage]]-_xlfn.XLOOKUP(Cleaned_MLB_Stats_Dataset__1[[#This Row],[Year]],'League Averages'!$A$3:$A$23,'League Averages'!$C$3:$C$23)</f>
        <v>1.5239669421487578E-2</v>
      </c>
      <c r="AD21" s="6">
        <f>Cleaned_MLB_Stats_Dataset__1[[#This Row],[Slugging %]]-_xlfn.XLOOKUP(Cleaned_MLB_Stats_Dataset__1[[#This Row],[Year]],'League Averages'!$A$3:$A$23,'League Averages'!$D$3:$D$23)</f>
        <v>0.12750540958268936</v>
      </c>
      <c r="AE21" s="6">
        <f>Cleaned_MLB_Stats_Dataset__1[[#This Row],[OPS (On Base + Slugging)]]-_xlfn.XLOOKUP(Cleaned_MLB_Stats_Dataset__1[[#This Row],[Year]],'League Averages'!$A$3:$A$23,'League Averages'!$E$3:$E$23)</f>
        <v>0.14274507900417688</v>
      </c>
      <c r="AF21" s="6">
        <f>Cleaned_MLB_Stats_Dataset__1[[#This Row],[ISO (Isolated Power]]-_xlfn.XLOOKUP(Cleaned_MLB_Stats_Dataset__1[[#This Row],[Year]],'League Averages'!$A$3:$A$23,'League Averages'!$F$3:$F$23)</f>
        <v>0.11984389489953631</v>
      </c>
    </row>
    <row r="22" spans="1:32" x14ac:dyDescent="0.2">
      <c r="A22" t="s">
        <v>310</v>
      </c>
      <c r="B22">
        <v>2005</v>
      </c>
      <c r="C22" t="s">
        <v>200</v>
      </c>
      <c r="D22" t="s">
        <v>6</v>
      </c>
      <c r="E22" t="s">
        <v>68</v>
      </c>
      <c r="F22" t="str">
        <f>_xlfn.XLOOKUP(Cleaned_MLB_Stats_Dataset__1[[#This Row],[Position'#]],$B$373:$B$382,$A$373:$A$382)</f>
        <v>C</v>
      </c>
      <c r="G22">
        <v>2</v>
      </c>
      <c r="H22">
        <v>470</v>
      </c>
      <c r="I22">
        <v>132</v>
      </c>
      <c r="J22">
        <v>30</v>
      </c>
      <c r="K22">
        <v>1</v>
      </c>
      <c r="L22">
        <v>22</v>
      </c>
      <c r="M22">
        <v>70</v>
      </c>
      <c r="N22">
        <v>70</v>
      </c>
      <c r="O22">
        <v>117</v>
      </c>
      <c r="P22">
        <v>62</v>
      </c>
      <c r="Q22">
        <v>3</v>
      </c>
      <c r="R22">
        <v>3</v>
      </c>
      <c r="S22">
        <v>3</v>
      </c>
      <c r="T22">
        <v>1</v>
      </c>
      <c r="U22" s="6">
        <f>Cleaned_MLB_Stats_Dataset__1[[#This Row],[Hits]]/Cleaned_MLB_Stats_Dataset__1[[#This Row],[At Bats]]</f>
        <v>0.28085106382978725</v>
      </c>
      <c r="V22" s="6">
        <f>Cleaned_MLB_Stats_Dataset__1[[#This Row],[Strikeouts]]/(Cleaned_MLB_Stats_Dataset__1[[#This Row],[At Bats]]+Cleaned_MLB_Stats_Dataset__1[[#This Row],[Walks]])</f>
        <v>0.21992481203007519</v>
      </c>
      <c r="W2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0.12149532710280374</v>
      </c>
      <c r="X2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0.36617100371747213</v>
      </c>
      <c r="Y2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0.48936170212765956</v>
      </c>
      <c r="Z22" s="6">
        <f>Cleaned_MLB_Stats_Dataset__1[[#This Row],[On Base Percentage]]+Cleaned_MLB_Stats_Dataset__1[[#This Row],[Slugging %]]</f>
        <v>0.85553270584513164</v>
      </c>
      <c r="AA22" s="6">
        <f>Cleaned_MLB_Stats_Dataset__1[[#This Row],[Slugging %]]-Cleaned_MLB_Stats_Dataset__1[[#This Row],[Batting Average]]</f>
        <v>0.20851063829787231</v>
      </c>
      <c r="AB22" s="6">
        <f>Cleaned_MLB_Stats_Dataset__1[[#This Row],[Batting Average]]-_xlfn.XLOOKUP(Cleaned_MLB_Stats_Dataset__1[[#This Row],[Year]],'League Averages'!$A$3:$A$23,'League Averages'!$B$3:$B$23)</f>
        <v>1.6851063829787238E-2</v>
      </c>
      <c r="AC22" s="6">
        <f>Cleaned_MLB_Stats_Dataset__1[[#This Row],[On Base Percentage]]-_xlfn.XLOOKUP(Cleaned_MLB_Stats_Dataset__1[[#This Row],[Year]],'League Averages'!$A$3:$A$23,'League Averages'!$C$3:$C$23)</f>
        <v>3.6171003717472117E-2</v>
      </c>
      <c r="AD22" s="6">
        <f>Cleaned_MLB_Stats_Dataset__1[[#This Row],[Slugging %]]-_xlfn.XLOOKUP(Cleaned_MLB_Stats_Dataset__1[[#This Row],[Year]],'League Averages'!$A$3:$A$23,'League Averages'!$D$3:$D$23)</f>
        <v>7.0361702127659576E-2</v>
      </c>
      <c r="AE22" s="6">
        <f>Cleaned_MLB_Stats_Dataset__1[[#This Row],[OPS (On Base + Slugging)]]-_xlfn.XLOOKUP(Cleaned_MLB_Stats_Dataset__1[[#This Row],[Year]],'League Averages'!$A$3:$A$23,'League Averages'!$E$3:$E$23)</f>
        <v>0.10653270584513164</v>
      </c>
      <c r="AF22" s="6">
        <f>Cleaned_MLB_Stats_Dataset__1[[#This Row],[ISO (Isolated Power]]-_xlfn.XLOOKUP(Cleaned_MLB_Stats_Dataset__1[[#This Row],[Year]],'League Averages'!$A$3:$A$23,'League Averages'!$F$3:$F$23)</f>
        <v>5.3510638297872309E-2</v>
      </c>
    </row>
    <row r="23" spans="1:32" x14ac:dyDescent="0.2">
      <c r="A23" t="s">
        <v>310</v>
      </c>
      <c r="B23">
        <v>2009</v>
      </c>
      <c r="C23" t="s">
        <v>278</v>
      </c>
      <c r="D23" t="s">
        <v>6</v>
      </c>
      <c r="E23" t="s">
        <v>90</v>
      </c>
      <c r="F23" t="str">
        <f>_xlfn.XLOOKUP(Cleaned_MLB_Stats_Dataset__1[[#This Row],[Position'#]],$B$373:$B$382,$A$373:$A$382)</f>
        <v>CF</v>
      </c>
      <c r="G23">
        <v>8</v>
      </c>
      <c r="H23">
        <v>336</v>
      </c>
      <c r="I23">
        <v>90</v>
      </c>
      <c r="J23">
        <v>19</v>
      </c>
      <c r="K23">
        <v>2</v>
      </c>
      <c r="L23">
        <v>10</v>
      </c>
      <c r="M23">
        <v>43</v>
      </c>
      <c r="N23">
        <v>54</v>
      </c>
      <c r="O23">
        <v>79</v>
      </c>
      <c r="P23">
        <v>24</v>
      </c>
      <c r="Q23">
        <v>2</v>
      </c>
      <c r="R23">
        <v>1</v>
      </c>
      <c r="S23">
        <v>4</v>
      </c>
      <c r="T23">
        <v>0</v>
      </c>
      <c r="U23" s="6">
        <f>Cleaned_MLB_Stats_Dataset__1[[#This Row],[Hits]]/Cleaned_MLB_Stats_Dataset__1[[#This Row],[At Bats]]</f>
        <v>0.26785714285714285</v>
      </c>
      <c r="V23" s="6">
        <f>Cleaned_MLB_Stats_Dataset__1[[#This Row],[Strikeouts]]/(Cleaned_MLB_Stats_Dataset__1[[#This Row],[At Bats]]+Cleaned_MLB_Stats_Dataset__1[[#This Row],[Walks]])</f>
        <v>0.21944444444444444</v>
      </c>
      <c r="W2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6.9252077562326875E-2</v>
      </c>
      <c r="X2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0.31506849315068491</v>
      </c>
      <c r="Y2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0.42559523809523808</v>
      </c>
      <c r="Z23" s="6">
        <f>Cleaned_MLB_Stats_Dataset__1[[#This Row],[On Base Percentage]]+Cleaned_MLB_Stats_Dataset__1[[#This Row],[Slugging %]]</f>
        <v>0.740663731245923</v>
      </c>
      <c r="AA23" s="6">
        <f>Cleaned_MLB_Stats_Dataset__1[[#This Row],[Slugging %]]-Cleaned_MLB_Stats_Dataset__1[[#This Row],[Batting Average]]</f>
        <v>0.15773809523809523</v>
      </c>
      <c r="AB23" s="6">
        <f>Cleaned_MLB_Stats_Dataset__1[[#This Row],[Batting Average]]-_xlfn.XLOOKUP(Cleaned_MLB_Stats_Dataset__1[[#This Row],[Year]],'League Averages'!$A$3:$A$23,'League Averages'!$B$3:$B$23)</f>
        <v>5.8571428571428386E-3</v>
      </c>
      <c r="AC23" s="6">
        <f>Cleaned_MLB_Stats_Dataset__1[[#This Row],[On Base Percentage]]-_xlfn.XLOOKUP(Cleaned_MLB_Stats_Dataset__1[[#This Row],[Year]],'League Averages'!$A$3:$A$23,'League Averages'!$C$3:$C$23)</f>
        <v>-1.7931506849315104E-2</v>
      </c>
      <c r="AD23" s="6">
        <f>Cleaned_MLB_Stats_Dataset__1[[#This Row],[Slugging %]]-_xlfn.XLOOKUP(Cleaned_MLB_Stats_Dataset__1[[#This Row],[Year]],'League Averages'!$A$3:$A$23,'League Averages'!$D$3:$D$23)</f>
        <v>7.5952380952380993E-3</v>
      </c>
      <c r="AE23" s="6">
        <f>Cleaned_MLB_Stats_Dataset__1[[#This Row],[OPS (On Base + Slugging)]]-_xlfn.XLOOKUP(Cleaned_MLB_Stats_Dataset__1[[#This Row],[Year]],'League Averages'!$A$3:$A$23,'League Averages'!$E$3:$E$23)</f>
        <v>-1.0336268754077005E-2</v>
      </c>
      <c r="AF23" s="6">
        <f>Cleaned_MLB_Stats_Dataset__1[[#This Row],[ISO (Isolated Power]]-_xlfn.XLOOKUP(Cleaned_MLB_Stats_Dataset__1[[#This Row],[Year]],'League Averages'!$A$3:$A$23,'League Averages'!$F$3:$F$23)</f>
        <v>1.738095238095233E-3</v>
      </c>
    </row>
    <row r="24" spans="1:32" x14ac:dyDescent="0.2">
      <c r="A24" t="s">
        <v>310</v>
      </c>
      <c r="B24">
        <v>2008</v>
      </c>
      <c r="C24" t="s">
        <v>263</v>
      </c>
      <c r="D24" t="s">
        <v>3</v>
      </c>
      <c r="E24" t="s">
        <v>27</v>
      </c>
      <c r="F24" t="str">
        <f>_xlfn.XLOOKUP(Cleaned_MLB_Stats_Dataset__1[[#This Row],[Position'#]],$B$373:$B$382,$A$373:$A$382)</f>
        <v>C</v>
      </c>
      <c r="G24">
        <v>2</v>
      </c>
      <c r="H24">
        <v>494</v>
      </c>
      <c r="I24">
        <v>141</v>
      </c>
      <c r="J24">
        <v>35</v>
      </c>
      <c r="K24">
        <v>2</v>
      </c>
      <c r="L24">
        <v>23</v>
      </c>
      <c r="M24">
        <v>66</v>
      </c>
      <c r="N24">
        <v>86</v>
      </c>
      <c r="O24">
        <v>121</v>
      </c>
      <c r="P24">
        <v>62</v>
      </c>
      <c r="Q24">
        <v>6</v>
      </c>
      <c r="R24">
        <v>2</v>
      </c>
      <c r="S24">
        <v>5</v>
      </c>
      <c r="T24">
        <v>0</v>
      </c>
      <c r="U24" s="6">
        <f>Cleaned_MLB_Stats_Dataset__1[[#This Row],[Hits]]/Cleaned_MLB_Stats_Dataset__1[[#This Row],[At Bats]]</f>
        <v>0.28542510121457487</v>
      </c>
      <c r="V24" s="6">
        <f>Cleaned_MLB_Stats_Dataset__1[[#This Row],[Strikeouts]]/(Cleaned_MLB_Stats_Dataset__1[[#This Row],[At Bats]]+Cleaned_MLB_Stats_Dataset__1[[#This Row],[Walks]])</f>
        <v>0.21762589928057555</v>
      </c>
      <c r="W2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0.11469534050179211</v>
      </c>
      <c r="X2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0.36412078152753108</v>
      </c>
      <c r="Y2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0.50404858299595146</v>
      </c>
      <c r="Z24" s="6">
        <f>Cleaned_MLB_Stats_Dataset__1[[#This Row],[On Base Percentage]]+Cleaned_MLB_Stats_Dataset__1[[#This Row],[Slugging %]]</f>
        <v>0.86816936452348248</v>
      </c>
      <c r="AA24" s="6">
        <f>Cleaned_MLB_Stats_Dataset__1[[#This Row],[Slugging %]]-Cleaned_MLB_Stats_Dataset__1[[#This Row],[Batting Average]]</f>
        <v>0.21862348178137658</v>
      </c>
      <c r="AB24" s="6">
        <f>Cleaned_MLB_Stats_Dataset__1[[#This Row],[Batting Average]]-_xlfn.XLOOKUP(Cleaned_MLB_Stats_Dataset__1[[#This Row],[Year]],'League Averages'!$A$3:$A$23,'League Averages'!$B$3:$B$23)</f>
        <v>2.142510121457486E-2</v>
      </c>
      <c r="AC24" s="6">
        <f>Cleaned_MLB_Stats_Dataset__1[[#This Row],[On Base Percentage]]-_xlfn.XLOOKUP(Cleaned_MLB_Stats_Dataset__1[[#This Row],[Year]],'League Averages'!$A$3:$A$23,'League Averages'!$C$3:$C$23)</f>
        <v>3.1120781527531061E-2</v>
      </c>
      <c r="AD24" s="6">
        <f>Cleaned_MLB_Stats_Dataset__1[[#This Row],[Slugging %]]-_xlfn.XLOOKUP(Cleaned_MLB_Stats_Dataset__1[[#This Row],[Year]],'League Averages'!$A$3:$A$23,'League Averages'!$D$3:$D$23)</f>
        <v>8.8048582995951474E-2</v>
      </c>
      <c r="AE24" s="6">
        <f>Cleaned_MLB_Stats_Dataset__1[[#This Row],[OPS (On Base + Slugging)]]-_xlfn.XLOOKUP(Cleaned_MLB_Stats_Dataset__1[[#This Row],[Year]],'League Averages'!$A$3:$A$23,'League Averages'!$E$3:$E$23)</f>
        <v>0.11916936452348248</v>
      </c>
      <c r="AF24" s="6">
        <f>Cleaned_MLB_Stats_Dataset__1[[#This Row],[ISO (Isolated Power]]-_xlfn.XLOOKUP(Cleaned_MLB_Stats_Dataset__1[[#This Row],[Year]],'League Averages'!$A$3:$A$23,'League Averages'!$F$3:$F$23)</f>
        <v>6.6623481781376587E-2</v>
      </c>
    </row>
    <row r="25" spans="1:32" x14ac:dyDescent="0.2">
      <c r="A25" t="s">
        <v>310</v>
      </c>
      <c r="B25">
        <v>2009</v>
      </c>
      <c r="C25" t="s">
        <v>187</v>
      </c>
      <c r="D25" t="s">
        <v>3</v>
      </c>
      <c r="E25" t="s">
        <v>29</v>
      </c>
      <c r="F25" t="str">
        <f>_xlfn.XLOOKUP(Cleaned_MLB_Stats_Dataset__1[[#This Row],[Position'#]],$B$373:$B$382,$A$373:$A$382)</f>
        <v>LF</v>
      </c>
      <c r="G25">
        <v>7</v>
      </c>
      <c r="H25">
        <v>500</v>
      </c>
      <c r="I25">
        <v>136</v>
      </c>
      <c r="J25">
        <v>32</v>
      </c>
      <c r="K25">
        <v>3</v>
      </c>
      <c r="L25">
        <v>34</v>
      </c>
      <c r="M25">
        <v>93</v>
      </c>
      <c r="N25">
        <v>93</v>
      </c>
      <c r="O25">
        <v>119</v>
      </c>
      <c r="P25">
        <v>56</v>
      </c>
      <c r="Q25">
        <v>8</v>
      </c>
      <c r="R25">
        <v>4</v>
      </c>
      <c r="S25">
        <v>5</v>
      </c>
      <c r="T25">
        <v>0</v>
      </c>
      <c r="U25" s="6">
        <f>Cleaned_MLB_Stats_Dataset__1[[#This Row],[Hits]]/Cleaned_MLB_Stats_Dataset__1[[#This Row],[At Bats]]</f>
        <v>0.27200000000000002</v>
      </c>
      <c r="V25" s="6">
        <f>Cleaned_MLB_Stats_Dataset__1[[#This Row],[Strikeouts]]/(Cleaned_MLB_Stats_Dataset__1[[#This Row],[At Bats]]+Cleaned_MLB_Stats_Dataset__1[[#This Row],[Walks]])</f>
        <v>0.21402877697841727</v>
      </c>
      <c r="W2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0.10714285714285714</v>
      </c>
      <c r="X2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0.34690265486725663</v>
      </c>
      <c r="Y2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0.55200000000000005</v>
      </c>
      <c r="Z25" s="6">
        <f>Cleaned_MLB_Stats_Dataset__1[[#This Row],[On Base Percentage]]+Cleaned_MLB_Stats_Dataset__1[[#This Row],[Slugging %]]</f>
        <v>0.89890265486725673</v>
      </c>
      <c r="AA25" s="6">
        <f>Cleaned_MLB_Stats_Dataset__1[[#This Row],[Slugging %]]-Cleaned_MLB_Stats_Dataset__1[[#This Row],[Batting Average]]</f>
        <v>0.28000000000000003</v>
      </c>
      <c r="AB25" s="6">
        <f>Cleaned_MLB_Stats_Dataset__1[[#This Row],[Batting Average]]-_xlfn.XLOOKUP(Cleaned_MLB_Stats_Dataset__1[[#This Row],[Year]],'League Averages'!$A$3:$A$23,'League Averages'!$B$3:$B$23)</f>
        <v>1.0000000000000009E-2</v>
      </c>
      <c r="AC25" s="6">
        <f>Cleaned_MLB_Stats_Dataset__1[[#This Row],[On Base Percentage]]-_xlfn.XLOOKUP(Cleaned_MLB_Stats_Dataset__1[[#This Row],[Year]],'League Averages'!$A$3:$A$23,'League Averages'!$C$3:$C$23)</f>
        <v>1.3902654867256614E-2</v>
      </c>
      <c r="AD25" s="6">
        <f>Cleaned_MLB_Stats_Dataset__1[[#This Row],[Slugging %]]-_xlfn.XLOOKUP(Cleaned_MLB_Stats_Dataset__1[[#This Row],[Year]],'League Averages'!$A$3:$A$23,'League Averages'!$D$3:$D$23)</f>
        <v>0.13400000000000006</v>
      </c>
      <c r="AE25" s="6">
        <f>Cleaned_MLB_Stats_Dataset__1[[#This Row],[OPS (On Base + Slugging)]]-_xlfn.XLOOKUP(Cleaned_MLB_Stats_Dataset__1[[#This Row],[Year]],'League Averages'!$A$3:$A$23,'League Averages'!$E$3:$E$23)</f>
        <v>0.14790265486725673</v>
      </c>
      <c r="AF25" s="6">
        <f>Cleaned_MLB_Stats_Dataset__1[[#This Row],[ISO (Isolated Power]]-_xlfn.XLOOKUP(Cleaned_MLB_Stats_Dataset__1[[#This Row],[Year]],'League Averages'!$A$3:$A$23,'League Averages'!$F$3:$F$23)</f>
        <v>0.12400000000000003</v>
      </c>
    </row>
    <row r="26" spans="1:32" x14ac:dyDescent="0.2">
      <c r="A26" t="s">
        <v>310</v>
      </c>
      <c r="B26">
        <v>2011</v>
      </c>
      <c r="C26" t="s">
        <v>243</v>
      </c>
      <c r="D26" t="s">
        <v>3</v>
      </c>
      <c r="E26" t="s">
        <v>204</v>
      </c>
      <c r="F26" t="str">
        <f>_xlfn.XLOOKUP(Cleaned_MLB_Stats_Dataset__1[[#This Row],[Position'#]],$B$373:$B$382,$A$373:$A$382)</f>
        <v>2B</v>
      </c>
      <c r="G26">
        <v>4</v>
      </c>
      <c r="H26">
        <v>453</v>
      </c>
      <c r="I26">
        <v>122</v>
      </c>
      <c r="J26">
        <v>26</v>
      </c>
      <c r="K26">
        <v>2</v>
      </c>
      <c r="L26">
        <v>20</v>
      </c>
      <c r="M26">
        <v>77</v>
      </c>
      <c r="N26">
        <v>49</v>
      </c>
      <c r="O26">
        <v>107</v>
      </c>
      <c r="P26">
        <v>50</v>
      </c>
      <c r="Q26">
        <v>3</v>
      </c>
      <c r="R26">
        <v>8</v>
      </c>
      <c r="S26">
        <v>3</v>
      </c>
      <c r="T26">
        <v>1</v>
      </c>
      <c r="U26" s="6">
        <f>Cleaned_MLB_Stats_Dataset__1[[#This Row],[Hits]]/Cleaned_MLB_Stats_Dataset__1[[#This Row],[At Bats]]</f>
        <v>0.26931567328918321</v>
      </c>
      <c r="V26" s="6">
        <f>Cleaned_MLB_Stats_Dataset__1[[#This Row],[Strikeouts]]/(Cleaned_MLB_Stats_Dataset__1[[#This Row],[At Bats]]+Cleaned_MLB_Stats_Dataset__1[[#This Row],[Walks]])</f>
        <v>0.21272365805168986</v>
      </c>
      <c r="W2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0.11350293542074363</v>
      </c>
      <c r="X2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0.35019455252918286</v>
      </c>
      <c r="Y2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0.46799116997792495</v>
      </c>
      <c r="Z26" s="6">
        <f>Cleaned_MLB_Stats_Dataset__1[[#This Row],[On Base Percentage]]+Cleaned_MLB_Stats_Dataset__1[[#This Row],[Slugging %]]</f>
        <v>0.81818572250710786</v>
      </c>
      <c r="AA26" s="6">
        <f>Cleaned_MLB_Stats_Dataset__1[[#This Row],[Slugging %]]-Cleaned_MLB_Stats_Dataset__1[[#This Row],[Batting Average]]</f>
        <v>0.19867549668874174</v>
      </c>
      <c r="AB26" s="6">
        <f>Cleaned_MLB_Stats_Dataset__1[[#This Row],[Batting Average]]-_xlfn.XLOOKUP(Cleaned_MLB_Stats_Dataset__1[[#This Row],[Year]],'League Averages'!$A$3:$A$23,'League Averages'!$B$3:$B$23)</f>
        <v>1.4315673289183206E-2</v>
      </c>
      <c r="AC26" s="6">
        <f>Cleaned_MLB_Stats_Dataset__1[[#This Row],[On Base Percentage]]-_xlfn.XLOOKUP(Cleaned_MLB_Stats_Dataset__1[[#This Row],[Year]],'League Averages'!$A$3:$A$23,'League Averages'!$C$3:$C$23)</f>
        <v>2.9194552529182849E-2</v>
      </c>
      <c r="AD26" s="6">
        <f>Cleaned_MLB_Stats_Dataset__1[[#This Row],[Slugging %]]-_xlfn.XLOOKUP(Cleaned_MLB_Stats_Dataset__1[[#This Row],[Year]],'League Averages'!$A$3:$A$23,'League Averages'!$D$3:$D$23)</f>
        <v>6.8991169977924927E-2</v>
      </c>
      <c r="AE26" s="6">
        <f>Cleaned_MLB_Stats_Dataset__1[[#This Row],[OPS (On Base + Slugging)]]-_xlfn.XLOOKUP(Cleaned_MLB_Stats_Dataset__1[[#This Row],[Year]],'League Averages'!$A$3:$A$23,'League Averages'!$E$3:$E$23)</f>
        <v>9.8185722507107887E-2</v>
      </c>
      <c r="AF26" s="6">
        <f>Cleaned_MLB_Stats_Dataset__1[[#This Row],[ISO (Isolated Power]]-_xlfn.XLOOKUP(Cleaned_MLB_Stats_Dataset__1[[#This Row],[Year]],'League Averages'!$A$3:$A$23,'League Averages'!$F$3:$F$23)</f>
        <v>5.4675496688741748E-2</v>
      </c>
    </row>
    <row r="27" spans="1:32" x14ac:dyDescent="0.2">
      <c r="A27" t="s">
        <v>310</v>
      </c>
      <c r="B27">
        <v>2006</v>
      </c>
      <c r="C27" t="s">
        <v>173</v>
      </c>
      <c r="D27" t="s">
        <v>6</v>
      </c>
      <c r="E27" t="s">
        <v>71</v>
      </c>
      <c r="F27" t="str">
        <f>_xlfn.XLOOKUP(Cleaned_MLB_Stats_Dataset__1[[#This Row],[Position'#]],$B$373:$B$382,$A$373:$A$382)</f>
        <v>3B</v>
      </c>
      <c r="G27">
        <v>5</v>
      </c>
      <c r="H27">
        <v>572</v>
      </c>
      <c r="I27">
        <v>166</v>
      </c>
      <c r="J27">
        <v>26</v>
      </c>
      <c r="K27">
        <v>1</v>
      </c>
      <c r="L27">
        <v>35</v>
      </c>
      <c r="M27">
        <v>113</v>
      </c>
      <c r="N27">
        <v>121</v>
      </c>
      <c r="O27">
        <v>139</v>
      </c>
      <c r="P27">
        <v>90</v>
      </c>
      <c r="Q27">
        <v>8</v>
      </c>
      <c r="R27">
        <v>8</v>
      </c>
      <c r="S27">
        <v>4</v>
      </c>
      <c r="T27">
        <v>0</v>
      </c>
      <c r="U27" s="6">
        <f>Cleaned_MLB_Stats_Dataset__1[[#This Row],[Hits]]/Cleaned_MLB_Stats_Dataset__1[[#This Row],[At Bats]]</f>
        <v>0.29020979020979021</v>
      </c>
      <c r="V27" s="6">
        <f>Cleaned_MLB_Stats_Dataset__1[[#This Row],[Strikeouts]]/(Cleaned_MLB_Stats_Dataset__1[[#This Row],[At Bats]]+Cleaned_MLB_Stats_Dataset__1[[#This Row],[Walks]])</f>
        <v>0.20996978851963746</v>
      </c>
      <c r="W2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0.14626865671641792</v>
      </c>
      <c r="X2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0.39169139465875369</v>
      </c>
      <c r="Y2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0.52272727272727271</v>
      </c>
      <c r="Z27" s="6">
        <f>Cleaned_MLB_Stats_Dataset__1[[#This Row],[On Base Percentage]]+Cleaned_MLB_Stats_Dataset__1[[#This Row],[Slugging %]]</f>
        <v>0.9144186673860264</v>
      </c>
      <c r="AA27" s="6">
        <f>Cleaned_MLB_Stats_Dataset__1[[#This Row],[Slugging %]]-Cleaned_MLB_Stats_Dataset__1[[#This Row],[Batting Average]]</f>
        <v>0.2325174825174825</v>
      </c>
      <c r="AB27" s="6">
        <f>Cleaned_MLB_Stats_Dataset__1[[#This Row],[Batting Average]]-_xlfn.XLOOKUP(Cleaned_MLB_Stats_Dataset__1[[#This Row],[Year]],'League Averages'!$A$3:$A$23,'League Averages'!$B$3:$B$23)</f>
        <v>2.1209790209790191E-2</v>
      </c>
      <c r="AC27" s="6">
        <f>Cleaned_MLB_Stats_Dataset__1[[#This Row],[On Base Percentage]]-_xlfn.XLOOKUP(Cleaned_MLB_Stats_Dataset__1[[#This Row],[Year]],'League Averages'!$A$3:$A$23,'League Averages'!$C$3:$C$23)</f>
        <v>5.5691394658753668E-2</v>
      </c>
      <c r="AD27" s="6">
        <f>Cleaned_MLB_Stats_Dataset__1[[#This Row],[Slugging %]]-_xlfn.XLOOKUP(Cleaned_MLB_Stats_Dataset__1[[#This Row],[Year]],'League Averages'!$A$3:$A$23,'League Averages'!$D$3:$D$23)</f>
        <v>9.0727272727272712E-2</v>
      </c>
      <c r="AE27" s="6">
        <f>Cleaned_MLB_Stats_Dataset__1[[#This Row],[OPS (On Base + Slugging)]]-_xlfn.XLOOKUP(Cleaned_MLB_Stats_Dataset__1[[#This Row],[Year]],'League Averages'!$A$3:$A$23,'League Averages'!$E$3:$E$23)</f>
        <v>0.14641866738602638</v>
      </c>
      <c r="AF27" s="6">
        <f>Cleaned_MLB_Stats_Dataset__1[[#This Row],[ISO (Isolated Power]]-_xlfn.XLOOKUP(Cleaned_MLB_Stats_Dataset__1[[#This Row],[Year]],'League Averages'!$A$3:$A$23,'League Averages'!$F$3:$F$23)</f>
        <v>6.9517482517482493E-2</v>
      </c>
    </row>
    <row r="28" spans="1:32" x14ac:dyDescent="0.2">
      <c r="A28" t="s">
        <v>310</v>
      </c>
      <c r="B28">
        <v>2008</v>
      </c>
      <c r="C28" t="s">
        <v>171</v>
      </c>
      <c r="D28" t="s">
        <v>6</v>
      </c>
      <c r="E28" t="s">
        <v>68</v>
      </c>
      <c r="F28" t="str">
        <f>_xlfn.XLOOKUP(Cleaned_MLB_Stats_Dataset__1[[#This Row],[Position'#]],$B$373:$B$382,$A$373:$A$382)</f>
        <v>LF</v>
      </c>
      <c r="G28">
        <v>7</v>
      </c>
      <c r="H28">
        <v>365</v>
      </c>
      <c r="I28">
        <v>109</v>
      </c>
      <c r="J28">
        <v>22</v>
      </c>
      <c r="K28">
        <v>1</v>
      </c>
      <c r="L28">
        <v>20</v>
      </c>
      <c r="M28">
        <v>66</v>
      </c>
      <c r="N28">
        <v>68</v>
      </c>
      <c r="O28">
        <v>86</v>
      </c>
      <c r="P28">
        <v>52</v>
      </c>
      <c r="Q28">
        <v>8</v>
      </c>
      <c r="R28">
        <v>8</v>
      </c>
      <c r="S28">
        <v>0</v>
      </c>
      <c r="T28">
        <v>0</v>
      </c>
      <c r="U28" s="6">
        <f>Cleaned_MLB_Stats_Dataset__1[[#This Row],[Hits]]/Cleaned_MLB_Stats_Dataset__1[[#This Row],[At Bats]]</f>
        <v>0.29863013698630136</v>
      </c>
      <c r="V28" s="6">
        <f>Cleaned_MLB_Stats_Dataset__1[[#This Row],[Strikeouts]]/(Cleaned_MLB_Stats_Dataset__1[[#This Row],[At Bats]]+Cleaned_MLB_Stats_Dataset__1[[#This Row],[Walks]])</f>
        <v>0.20623501199040767</v>
      </c>
      <c r="W2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0.14117647058823529</v>
      </c>
      <c r="X2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0.39764705882352941</v>
      </c>
      <c r="Y2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0.52876712328767128</v>
      </c>
      <c r="Z28" s="6">
        <f>Cleaned_MLB_Stats_Dataset__1[[#This Row],[On Base Percentage]]+Cleaned_MLB_Stats_Dataset__1[[#This Row],[Slugging %]]</f>
        <v>0.92641418211120063</v>
      </c>
      <c r="AA28" s="6">
        <f>Cleaned_MLB_Stats_Dataset__1[[#This Row],[Slugging %]]-Cleaned_MLB_Stats_Dataset__1[[#This Row],[Batting Average]]</f>
        <v>0.23013698630136992</v>
      </c>
      <c r="AB28" s="6">
        <f>Cleaned_MLB_Stats_Dataset__1[[#This Row],[Batting Average]]-_xlfn.XLOOKUP(Cleaned_MLB_Stats_Dataset__1[[#This Row],[Year]],'League Averages'!$A$3:$A$23,'League Averages'!$B$3:$B$23)</f>
        <v>3.4630136986301352E-2</v>
      </c>
      <c r="AC28" s="6">
        <f>Cleaned_MLB_Stats_Dataset__1[[#This Row],[On Base Percentage]]-_xlfn.XLOOKUP(Cleaned_MLB_Stats_Dataset__1[[#This Row],[Year]],'League Averages'!$A$3:$A$23,'League Averages'!$C$3:$C$23)</f>
        <v>6.4647058823529391E-2</v>
      </c>
      <c r="AD28" s="6">
        <f>Cleaned_MLB_Stats_Dataset__1[[#This Row],[Slugging %]]-_xlfn.XLOOKUP(Cleaned_MLB_Stats_Dataset__1[[#This Row],[Year]],'League Averages'!$A$3:$A$23,'League Averages'!$D$3:$D$23)</f>
        <v>0.1127671232876713</v>
      </c>
      <c r="AE28" s="6">
        <f>Cleaned_MLB_Stats_Dataset__1[[#This Row],[OPS (On Base + Slugging)]]-_xlfn.XLOOKUP(Cleaned_MLB_Stats_Dataset__1[[#This Row],[Year]],'League Averages'!$A$3:$A$23,'League Averages'!$E$3:$E$23)</f>
        <v>0.17741418211120064</v>
      </c>
      <c r="AF28" s="6">
        <f>Cleaned_MLB_Stats_Dataset__1[[#This Row],[ISO (Isolated Power]]-_xlfn.XLOOKUP(Cleaned_MLB_Stats_Dataset__1[[#This Row],[Year]],'League Averages'!$A$3:$A$23,'League Averages'!$F$3:$F$23)</f>
        <v>7.8136986301369921E-2</v>
      </c>
    </row>
    <row r="29" spans="1:32" x14ac:dyDescent="0.2">
      <c r="A29" t="s">
        <v>310</v>
      </c>
      <c r="B29">
        <v>2008</v>
      </c>
      <c r="C29" t="s">
        <v>173</v>
      </c>
      <c r="D29" t="s">
        <v>6</v>
      </c>
      <c r="E29" t="s">
        <v>71</v>
      </c>
      <c r="F29" t="str">
        <f>_xlfn.XLOOKUP(Cleaned_MLB_Stats_Dataset__1[[#This Row],[Position'#]],$B$373:$B$382,$A$373:$A$382)</f>
        <v>3B</v>
      </c>
      <c r="G29">
        <v>5</v>
      </c>
      <c r="H29">
        <v>510</v>
      </c>
      <c r="I29">
        <v>154</v>
      </c>
      <c r="J29">
        <v>33</v>
      </c>
      <c r="K29">
        <v>0</v>
      </c>
      <c r="L29">
        <v>35</v>
      </c>
      <c r="M29">
        <v>104</v>
      </c>
      <c r="N29">
        <v>103</v>
      </c>
      <c r="O29">
        <v>117</v>
      </c>
      <c r="P29">
        <v>65</v>
      </c>
      <c r="Q29">
        <v>9</v>
      </c>
      <c r="R29">
        <v>14</v>
      </c>
      <c r="S29">
        <v>5</v>
      </c>
      <c r="T29">
        <v>0</v>
      </c>
      <c r="U29" s="6">
        <f>Cleaned_MLB_Stats_Dataset__1[[#This Row],[Hits]]/Cleaned_MLB_Stats_Dataset__1[[#This Row],[At Bats]]</f>
        <v>0.30196078431372547</v>
      </c>
      <c r="V29" s="6">
        <f>Cleaned_MLB_Stats_Dataset__1[[#This Row],[Strikeouts]]/(Cleaned_MLB_Stats_Dataset__1[[#This Row],[At Bats]]+Cleaned_MLB_Stats_Dataset__1[[#This Row],[Walks]])</f>
        <v>0.20347826086956522</v>
      </c>
      <c r="W2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0.13412563667232597</v>
      </c>
      <c r="X2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0.39225589225589225</v>
      </c>
      <c r="Y2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0.5725490196078431</v>
      </c>
      <c r="Z29" s="6">
        <f>Cleaned_MLB_Stats_Dataset__1[[#This Row],[On Base Percentage]]+Cleaned_MLB_Stats_Dataset__1[[#This Row],[Slugging %]]</f>
        <v>0.9648049118637354</v>
      </c>
      <c r="AA29" s="6">
        <f>Cleaned_MLB_Stats_Dataset__1[[#This Row],[Slugging %]]-Cleaned_MLB_Stats_Dataset__1[[#This Row],[Batting Average]]</f>
        <v>0.27058823529411763</v>
      </c>
      <c r="AB29" s="6">
        <f>Cleaned_MLB_Stats_Dataset__1[[#This Row],[Batting Average]]-_xlfn.XLOOKUP(Cleaned_MLB_Stats_Dataset__1[[#This Row],[Year]],'League Averages'!$A$3:$A$23,'League Averages'!$B$3:$B$23)</f>
        <v>3.796078431372546E-2</v>
      </c>
      <c r="AC29" s="6">
        <f>Cleaned_MLB_Stats_Dataset__1[[#This Row],[On Base Percentage]]-_xlfn.XLOOKUP(Cleaned_MLB_Stats_Dataset__1[[#This Row],[Year]],'League Averages'!$A$3:$A$23,'League Averages'!$C$3:$C$23)</f>
        <v>5.9255892255892229E-2</v>
      </c>
      <c r="AD29" s="6">
        <f>Cleaned_MLB_Stats_Dataset__1[[#This Row],[Slugging %]]-_xlfn.XLOOKUP(Cleaned_MLB_Stats_Dataset__1[[#This Row],[Year]],'League Averages'!$A$3:$A$23,'League Averages'!$D$3:$D$23)</f>
        <v>0.15654901960784312</v>
      </c>
      <c r="AE29" s="6">
        <f>Cleaned_MLB_Stats_Dataset__1[[#This Row],[OPS (On Base + Slugging)]]-_xlfn.XLOOKUP(Cleaned_MLB_Stats_Dataset__1[[#This Row],[Year]],'League Averages'!$A$3:$A$23,'League Averages'!$E$3:$E$23)</f>
        <v>0.2158049118637354</v>
      </c>
      <c r="AF29" s="6">
        <f>Cleaned_MLB_Stats_Dataset__1[[#This Row],[ISO (Isolated Power]]-_xlfn.XLOOKUP(Cleaned_MLB_Stats_Dataset__1[[#This Row],[Year]],'League Averages'!$A$3:$A$23,'League Averages'!$F$3:$F$23)</f>
        <v>0.11858823529411763</v>
      </c>
    </row>
    <row r="30" spans="1:32" x14ac:dyDescent="0.2">
      <c r="A30" t="s">
        <v>310</v>
      </c>
      <c r="B30">
        <v>2012</v>
      </c>
      <c r="C30" t="s">
        <v>206</v>
      </c>
      <c r="D30" t="s">
        <v>3</v>
      </c>
      <c r="E30" t="s">
        <v>60</v>
      </c>
      <c r="F30" t="str">
        <f>_xlfn.XLOOKUP(Cleaned_MLB_Stats_Dataset__1[[#This Row],[Position'#]],$B$373:$B$382,$A$373:$A$382)</f>
        <v>RF</v>
      </c>
      <c r="G30">
        <v>9</v>
      </c>
      <c r="H30">
        <v>547</v>
      </c>
      <c r="I30">
        <v>147</v>
      </c>
      <c r="J30">
        <v>26</v>
      </c>
      <c r="K30">
        <v>1</v>
      </c>
      <c r="L30">
        <v>32</v>
      </c>
      <c r="M30">
        <v>83</v>
      </c>
      <c r="N30">
        <v>97</v>
      </c>
      <c r="O30">
        <v>124</v>
      </c>
      <c r="P30">
        <v>65</v>
      </c>
      <c r="Q30">
        <v>15</v>
      </c>
      <c r="R30">
        <v>2</v>
      </c>
      <c r="S30">
        <v>4</v>
      </c>
      <c r="T30">
        <v>1</v>
      </c>
      <c r="U30" s="6">
        <f>Cleaned_MLB_Stats_Dataset__1[[#This Row],[Hits]]/Cleaned_MLB_Stats_Dataset__1[[#This Row],[At Bats]]</f>
        <v>0.26873857404021939</v>
      </c>
      <c r="V30" s="6">
        <f>Cleaned_MLB_Stats_Dataset__1[[#This Row],[Strikeouts]]/(Cleaned_MLB_Stats_Dataset__1[[#This Row],[At Bats]]+Cleaned_MLB_Stats_Dataset__1[[#This Row],[Walks]])</f>
        <v>0.20261437908496732</v>
      </c>
      <c r="W3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0.10912052117263844</v>
      </c>
      <c r="X3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0.34627831715210355</v>
      </c>
      <c r="Y3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0.49542961608775138</v>
      </c>
      <c r="Z30" s="6">
        <f>Cleaned_MLB_Stats_Dataset__1[[#This Row],[On Base Percentage]]+Cleaned_MLB_Stats_Dataset__1[[#This Row],[Slugging %]]</f>
        <v>0.84170793323985493</v>
      </c>
      <c r="AA30" s="6">
        <f>Cleaned_MLB_Stats_Dataset__1[[#This Row],[Slugging %]]-Cleaned_MLB_Stats_Dataset__1[[#This Row],[Batting Average]]</f>
        <v>0.22669104204753199</v>
      </c>
      <c r="AB30" s="6">
        <f>Cleaned_MLB_Stats_Dataset__1[[#This Row],[Batting Average]]-_xlfn.XLOOKUP(Cleaned_MLB_Stats_Dataset__1[[#This Row],[Year]],'League Averages'!$A$3:$A$23,'League Averages'!$B$3:$B$23)</f>
        <v>1.3738574040219387E-2</v>
      </c>
      <c r="AC30" s="6">
        <f>Cleaned_MLB_Stats_Dataset__1[[#This Row],[On Base Percentage]]-_xlfn.XLOOKUP(Cleaned_MLB_Stats_Dataset__1[[#This Row],[Year]],'League Averages'!$A$3:$A$23,'League Averages'!$C$3:$C$23)</f>
        <v>2.7278317152103548E-2</v>
      </c>
      <c r="AD30" s="6">
        <f>Cleaned_MLB_Stats_Dataset__1[[#This Row],[Slugging %]]-_xlfn.XLOOKUP(Cleaned_MLB_Stats_Dataset__1[[#This Row],[Year]],'League Averages'!$A$3:$A$23,'League Averages'!$D$3:$D$23)</f>
        <v>9.0429616087751352E-2</v>
      </c>
      <c r="AE30" s="6">
        <f>Cleaned_MLB_Stats_Dataset__1[[#This Row],[OPS (On Base + Slugging)]]-_xlfn.XLOOKUP(Cleaned_MLB_Stats_Dataset__1[[#This Row],[Year]],'League Averages'!$A$3:$A$23,'League Averages'!$E$3:$E$23)</f>
        <v>0.11770793323985496</v>
      </c>
      <c r="AF30" s="6">
        <f>Cleaned_MLB_Stats_Dataset__1[[#This Row],[ISO (Isolated Power]]-_xlfn.XLOOKUP(Cleaned_MLB_Stats_Dataset__1[[#This Row],[Year]],'League Averages'!$A$3:$A$23,'League Averages'!$F$3:$F$23)</f>
        <v>7.6691042047531993E-2</v>
      </c>
    </row>
    <row r="31" spans="1:32" x14ac:dyDescent="0.2">
      <c r="A31" t="s">
        <v>310</v>
      </c>
      <c r="B31">
        <v>2003</v>
      </c>
      <c r="C31" t="s">
        <v>167</v>
      </c>
      <c r="D31" t="s">
        <v>6</v>
      </c>
      <c r="E31" t="s">
        <v>92</v>
      </c>
      <c r="F31" t="str">
        <f>_xlfn.XLOOKUP(Cleaned_MLB_Stats_Dataset__1[[#This Row],[Position'#]],$B$373:$B$382,$A$373:$A$382)</f>
        <v>1B</v>
      </c>
      <c r="G31">
        <v>3</v>
      </c>
      <c r="H31">
        <v>570</v>
      </c>
      <c r="I31">
        <v>172</v>
      </c>
      <c r="J31">
        <v>38</v>
      </c>
      <c r="K31">
        <v>1</v>
      </c>
      <c r="L31">
        <v>42</v>
      </c>
      <c r="M31">
        <v>117</v>
      </c>
      <c r="N31">
        <v>145</v>
      </c>
      <c r="O31">
        <v>137</v>
      </c>
      <c r="P31">
        <v>109</v>
      </c>
      <c r="Q31">
        <v>23</v>
      </c>
      <c r="R31">
        <v>19</v>
      </c>
      <c r="S31">
        <v>7</v>
      </c>
      <c r="T31">
        <v>0</v>
      </c>
      <c r="U31" s="6">
        <f>Cleaned_MLB_Stats_Dataset__1[[#This Row],[Hits]]/Cleaned_MLB_Stats_Dataset__1[[#This Row],[At Bats]]</f>
        <v>0.30175438596491228</v>
      </c>
      <c r="V31" s="6">
        <f>Cleaned_MLB_Stats_Dataset__1[[#This Row],[Strikeouts]]/(Cleaned_MLB_Stats_Dataset__1[[#This Row],[At Bats]]+Cleaned_MLB_Stats_Dataset__1[[#This Row],[Walks]])</f>
        <v>0.20176730486008837</v>
      </c>
      <c r="W3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0.18338108882521489</v>
      </c>
      <c r="X3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0.42553191489361702</v>
      </c>
      <c r="Y3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0.59298245614035083</v>
      </c>
      <c r="Z31" s="6">
        <f>Cleaned_MLB_Stats_Dataset__1[[#This Row],[On Base Percentage]]+Cleaned_MLB_Stats_Dataset__1[[#This Row],[Slugging %]]</f>
        <v>1.0185143710339679</v>
      </c>
      <c r="AA31" s="6">
        <f>Cleaned_MLB_Stats_Dataset__1[[#This Row],[Slugging %]]-Cleaned_MLB_Stats_Dataset__1[[#This Row],[Batting Average]]</f>
        <v>0.29122807017543856</v>
      </c>
      <c r="AB31" s="6">
        <f>Cleaned_MLB_Stats_Dataset__1[[#This Row],[Batting Average]]-_xlfn.XLOOKUP(Cleaned_MLB_Stats_Dataset__1[[#This Row],[Year]],'League Averages'!$A$3:$A$23,'League Averages'!$B$3:$B$23)</f>
        <v>3.7754385964912263E-2</v>
      </c>
      <c r="AC31" s="6">
        <f>Cleaned_MLB_Stats_Dataset__1[[#This Row],[On Base Percentage]]-_xlfn.XLOOKUP(Cleaned_MLB_Stats_Dataset__1[[#This Row],[Year]],'League Averages'!$A$3:$A$23,'League Averages'!$C$3:$C$23)</f>
        <v>9.2531914893617007E-2</v>
      </c>
      <c r="AD31" s="6">
        <f>Cleaned_MLB_Stats_Dataset__1[[#This Row],[Slugging %]]-_xlfn.XLOOKUP(Cleaned_MLB_Stats_Dataset__1[[#This Row],[Year]],'League Averages'!$A$3:$A$23,'League Averages'!$D$3:$D$23)</f>
        <v>0.17098245614035085</v>
      </c>
      <c r="AE31" s="6">
        <f>Cleaned_MLB_Stats_Dataset__1[[#This Row],[OPS (On Base + Slugging)]]-_xlfn.XLOOKUP(Cleaned_MLB_Stats_Dataset__1[[#This Row],[Year]],'League Averages'!$A$3:$A$23,'League Averages'!$E$3:$E$23)</f>
        <v>0.26351437103396791</v>
      </c>
      <c r="AF31" s="6">
        <f>Cleaned_MLB_Stats_Dataset__1[[#This Row],[ISO (Isolated Power]]-_xlfn.XLOOKUP(Cleaned_MLB_Stats_Dataset__1[[#This Row],[Year]],'League Averages'!$A$3:$A$23,'League Averages'!$F$3:$F$23)</f>
        <v>0.13322807017543856</v>
      </c>
    </row>
    <row r="32" spans="1:32" x14ac:dyDescent="0.2">
      <c r="A32" t="s">
        <v>310</v>
      </c>
      <c r="B32">
        <v>2013</v>
      </c>
      <c r="C32" t="s">
        <v>267</v>
      </c>
      <c r="D32" t="s">
        <v>6</v>
      </c>
      <c r="E32" t="s">
        <v>78</v>
      </c>
      <c r="F32" t="str">
        <f>_xlfn.XLOOKUP(Cleaned_MLB_Stats_Dataset__1[[#This Row],[Position'#]],$B$373:$B$382,$A$373:$A$382)</f>
        <v>CF</v>
      </c>
      <c r="G32">
        <v>8</v>
      </c>
      <c r="H32">
        <v>653</v>
      </c>
      <c r="I32">
        <v>186</v>
      </c>
      <c r="J32">
        <v>35</v>
      </c>
      <c r="K32">
        <v>1</v>
      </c>
      <c r="L32">
        <v>33</v>
      </c>
      <c r="M32">
        <v>100</v>
      </c>
      <c r="N32">
        <v>108</v>
      </c>
      <c r="O32">
        <v>136</v>
      </c>
      <c r="P32">
        <v>25</v>
      </c>
      <c r="Q32">
        <v>4</v>
      </c>
      <c r="R32">
        <v>8</v>
      </c>
      <c r="S32">
        <v>3</v>
      </c>
      <c r="T32">
        <v>0</v>
      </c>
      <c r="U32" s="6">
        <f>Cleaned_MLB_Stats_Dataset__1[[#This Row],[Hits]]/Cleaned_MLB_Stats_Dataset__1[[#This Row],[At Bats]]</f>
        <v>0.28483920367534454</v>
      </c>
      <c r="V32" s="6">
        <f>Cleaned_MLB_Stats_Dataset__1[[#This Row],[Strikeouts]]/(Cleaned_MLB_Stats_Dataset__1[[#This Row],[At Bats]]+Cleaned_MLB_Stats_Dataset__1[[#This Row],[Walks]])</f>
        <v>0.20058997050147492</v>
      </c>
      <c r="W3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4.8104956268221574E-2</v>
      </c>
      <c r="X3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0.31785195936139332</v>
      </c>
      <c r="Y3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0.49310872894333846</v>
      </c>
      <c r="Z32" s="6">
        <f>Cleaned_MLB_Stats_Dataset__1[[#This Row],[On Base Percentage]]+Cleaned_MLB_Stats_Dataset__1[[#This Row],[Slugging %]]</f>
        <v>0.81096068830473178</v>
      </c>
      <c r="AA32" s="6">
        <f>Cleaned_MLB_Stats_Dataset__1[[#This Row],[Slugging %]]-Cleaned_MLB_Stats_Dataset__1[[#This Row],[Batting Average]]</f>
        <v>0.20826952526799392</v>
      </c>
      <c r="AB32" s="6">
        <f>Cleaned_MLB_Stats_Dataset__1[[#This Row],[Batting Average]]-_xlfn.XLOOKUP(Cleaned_MLB_Stats_Dataset__1[[#This Row],[Year]],'League Averages'!$A$3:$A$23,'League Averages'!$B$3:$B$23)</f>
        <v>3.1839203675344541E-2</v>
      </c>
      <c r="AC32" s="6">
        <f>Cleaned_MLB_Stats_Dataset__1[[#This Row],[On Base Percentage]]-_xlfn.XLOOKUP(Cleaned_MLB_Stats_Dataset__1[[#This Row],[Year]],'League Averages'!$A$3:$A$23,'League Averages'!$C$3:$C$23)</f>
        <v>-1.4804063860668348E-4</v>
      </c>
      <c r="AD32" s="6">
        <f>Cleaned_MLB_Stats_Dataset__1[[#This Row],[Slugging %]]-_xlfn.XLOOKUP(Cleaned_MLB_Stats_Dataset__1[[#This Row],[Year]],'League Averages'!$A$3:$A$23,'League Averages'!$D$3:$D$23)</f>
        <v>9.710872894333844E-2</v>
      </c>
      <c r="AE32" s="6">
        <f>Cleaned_MLB_Stats_Dataset__1[[#This Row],[OPS (On Base + Slugging)]]-_xlfn.XLOOKUP(Cleaned_MLB_Stats_Dataset__1[[#This Row],[Year]],'League Averages'!$A$3:$A$23,'League Averages'!$E$3:$E$23)</f>
        <v>9.6960688304731812E-2</v>
      </c>
      <c r="AF32" s="6">
        <f>Cleaned_MLB_Stats_Dataset__1[[#This Row],[ISO (Isolated Power]]-_xlfn.XLOOKUP(Cleaned_MLB_Stats_Dataset__1[[#This Row],[Year]],'League Averages'!$A$3:$A$23,'League Averages'!$F$3:$F$23)</f>
        <v>6.5269525267993928E-2</v>
      </c>
    </row>
    <row r="33" spans="1:32" x14ac:dyDescent="0.2">
      <c r="A33" t="s">
        <v>310</v>
      </c>
      <c r="B33">
        <v>2012</v>
      </c>
      <c r="C33" t="s">
        <v>283</v>
      </c>
      <c r="D33" t="s">
        <v>3</v>
      </c>
      <c r="E33" t="s">
        <v>164</v>
      </c>
      <c r="F33" t="str">
        <f>_xlfn.XLOOKUP(Cleaned_MLB_Stats_Dataset__1[[#This Row],[Position'#]],$B$373:$B$382,$A$373:$A$382)</f>
        <v>DH</v>
      </c>
      <c r="G33">
        <v>10</v>
      </c>
      <c r="H33">
        <v>518</v>
      </c>
      <c r="I33">
        <v>157</v>
      </c>
      <c r="J33">
        <v>31</v>
      </c>
      <c r="K33">
        <v>5</v>
      </c>
      <c r="L33">
        <v>22</v>
      </c>
      <c r="M33">
        <v>89</v>
      </c>
      <c r="N33">
        <v>85</v>
      </c>
      <c r="O33">
        <v>115</v>
      </c>
      <c r="P33">
        <v>56</v>
      </c>
      <c r="Q33">
        <v>11</v>
      </c>
      <c r="R33">
        <v>2</v>
      </c>
      <c r="S33">
        <v>3</v>
      </c>
      <c r="T33">
        <v>0</v>
      </c>
      <c r="U33" s="6">
        <f>Cleaned_MLB_Stats_Dataset__1[[#This Row],[Hits]]/Cleaned_MLB_Stats_Dataset__1[[#This Row],[At Bats]]</f>
        <v>0.30308880308880309</v>
      </c>
      <c r="V33" s="6">
        <f>Cleaned_MLB_Stats_Dataset__1[[#This Row],[Strikeouts]]/(Cleaned_MLB_Stats_Dataset__1[[#This Row],[At Bats]]+Cleaned_MLB_Stats_Dataset__1[[#This Row],[Walks]])</f>
        <v>0.20034843205574912</v>
      </c>
      <c r="W3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0.10069444444444445</v>
      </c>
      <c r="X3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0.37132987910189985</v>
      </c>
      <c r="Y3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0.50965250965250963</v>
      </c>
      <c r="Z33" s="6">
        <f>Cleaned_MLB_Stats_Dataset__1[[#This Row],[On Base Percentage]]+Cleaned_MLB_Stats_Dataset__1[[#This Row],[Slugging %]]</f>
        <v>0.88098238875440948</v>
      </c>
      <c r="AA33" s="6">
        <f>Cleaned_MLB_Stats_Dataset__1[[#This Row],[Slugging %]]-Cleaned_MLB_Stats_Dataset__1[[#This Row],[Batting Average]]</f>
        <v>0.20656370656370654</v>
      </c>
      <c r="AB33" s="6">
        <f>Cleaned_MLB_Stats_Dataset__1[[#This Row],[Batting Average]]-_xlfn.XLOOKUP(Cleaned_MLB_Stats_Dataset__1[[#This Row],[Year]],'League Averages'!$A$3:$A$23,'League Averages'!$B$3:$B$23)</f>
        <v>4.8088803088803089E-2</v>
      </c>
      <c r="AC33" s="6">
        <f>Cleaned_MLB_Stats_Dataset__1[[#This Row],[On Base Percentage]]-_xlfn.XLOOKUP(Cleaned_MLB_Stats_Dataset__1[[#This Row],[Year]],'League Averages'!$A$3:$A$23,'League Averages'!$C$3:$C$23)</f>
        <v>5.2329879101899845E-2</v>
      </c>
      <c r="AD33" s="6">
        <f>Cleaned_MLB_Stats_Dataset__1[[#This Row],[Slugging %]]-_xlfn.XLOOKUP(Cleaned_MLB_Stats_Dataset__1[[#This Row],[Year]],'League Averages'!$A$3:$A$23,'League Averages'!$D$3:$D$23)</f>
        <v>0.10465250965250961</v>
      </c>
      <c r="AE33" s="6">
        <f>Cleaned_MLB_Stats_Dataset__1[[#This Row],[OPS (On Base + Slugging)]]-_xlfn.XLOOKUP(Cleaned_MLB_Stats_Dataset__1[[#This Row],[Year]],'League Averages'!$A$3:$A$23,'League Averages'!$E$3:$E$23)</f>
        <v>0.15698238875440951</v>
      </c>
      <c r="AF33" s="6">
        <f>Cleaned_MLB_Stats_Dataset__1[[#This Row],[ISO (Isolated Power]]-_xlfn.XLOOKUP(Cleaned_MLB_Stats_Dataset__1[[#This Row],[Year]],'League Averages'!$A$3:$A$23,'League Averages'!$F$3:$F$23)</f>
        <v>5.6563706563706545E-2</v>
      </c>
    </row>
    <row r="34" spans="1:32" x14ac:dyDescent="0.2">
      <c r="A34" t="s">
        <v>310</v>
      </c>
      <c r="B34">
        <v>2003</v>
      </c>
      <c r="C34" t="s">
        <v>207</v>
      </c>
      <c r="D34" t="s">
        <v>6</v>
      </c>
      <c r="E34" t="s">
        <v>191</v>
      </c>
      <c r="F34" t="str">
        <f>_xlfn.XLOOKUP(Cleaned_MLB_Stats_Dataset__1[[#This Row],[Position'#]],$B$373:$B$382,$A$373:$A$382)</f>
        <v>3B</v>
      </c>
      <c r="G34">
        <v>5</v>
      </c>
      <c r="H34">
        <v>319</v>
      </c>
      <c r="I34">
        <v>79</v>
      </c>
      <c r="J34">
        <v>17</v>
      </c>
      <c r="K34">
        <v>2</v>
      </c>
      <c r="L34">
        <v>16</v>
      </c>
      <c r="M34">
        <v>53</v>
      </c>
      <c r="N34">
        <v>50</v>
      </c>
      <c r="O34">
        <v>73</v>
      </c>
      <c r="P34">
        <v>46</v>
      </c>
      <c r="Q34">
        <v>4</v>
      </c>
      <c r="R34">
        <v>1</v>
      </c>
      <c r="S34">
        <v>1</v>
      </c>
      <c r="T34">
        <v>0</v>
      </c>
      <c r="U34" s="6">
        <f>Cleaned_MLB_Stats_Dataset__1[[#This Row],[Hits]]/Cleaned_MLB_Stats_Dataset__1[[#This Row],[At Bats]]</f>
        <v>0.2476489028213166</v>
      </c>
      <c r="V34" s="6">
        <f>Cleaned_MLB_Stats_Dataset__1[[#This Row],[Strikeouts]]/(Cleaned_MLB_Stats_Dataset__1[[#This Row],[At Bats]]+Cleaned_MLB_Stats_Dataset__1[[#This Row],[Walks]])</f>
        <v>0.2</v>
      </c>
      <c r="W3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0.12841530054644809</v>
      </c>
      <c r="X3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0.34332425068119893</v>
      </c>
      <c r="Y3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0.46394984326018807</v>
      </c>
      <c r="Z34" s="6">
        <f>Cleaned_MLB_Stats_Dataset__1[[#This Row],[On Base Percentage]]+Cleaned_MLB_Stats_Dataset__1[[#This Row],[Slugging %]]</f>
        <v>0.80727409394138694</v>
      </c>
      <c r="AA34" s="6">
        <f>Cleaned_MLB_Stats_Dataset__1[[#This Row],[Slugging %]]-Cleaned_MLB_Stats_Dataset__1[[#This Row],[Batting Average]]</f>
        <v>0.21630094043887146</v>
      </c>
      <c r="AB34" s="6">
        <f>Cleaned_MLB_Stats_Dataset__1[[#This Row],[Batting Average]]-_xlfn.XLOOKUP(Cleaned_MLB_Stats_Dataset__1[[#This Row],[Year]],'League Averages'!$A$3:$A$23,'League Averages'!$B$3:$B$23)</f>
        <v>-1.635109717868341E-2</v>
      </c>
      <c r="AC34" s="6">
        <f>Cleaned_MLB_Stats_Dataset__1[[#This Row],[On Base Percentage]]-_xlfn.XLOOKUP(Cleaned_MLB_Stats_Dataset__1[[#This Row],[Year]],'League Averages'!$A$3:$A$23,'League Averages'!$C$3:$C$23)</f>
        <v>1.032425068119891E-2</v>
      </c>
      <c r="AD34" s="6">
        <f>Cleaned_MLB_Stats_Dataset__1[[#This Row],[Slugging %]]-_xlfn.XLOOKUP(Cleaned_MLB_Stats_Dataset__1[[#This Row],[Year]],'League Averages'!$A$3:$A$23,'League Averages'!$D$3:$D$23)</f>
        <v>4.194984326018808E-2</v>
      </c>
      <c r="AE34" s="6">
        <f>Cleaned_MLB_Stats_Dataset__1[[#This Row],[OPS (On Base + Slugging)]]-_xlfn.XLOOKUP(Cleaned_MLB_Stats_Dataset__1[[#This Row],[Year]],'League Averages'!$A$3:$A$23,'League Averages'!$E$3:$E$23)</f>
        <v>5.2274093941386934E-2</v>
      </c>
      <c r="AF34" s="6">
        <f>Cleaned_MLB_Stats_Dataset__1[[#This Row],[ISO (Isolated Power]]-_xlfn.XLOOKUP(Cleaned_MLB_Stats_Dataset__1[[#This Row],[Year]],'League Averages'!$A$3:$A$23,'League Averages'!$F$3:$F$23)</f>
        <v>5.8300940438871462E-2</v>
      </c>
    </row>
    <row r="35" spans="1:32" x14ac:dyDescent="0.2">
      <c r="A35" t="s">
        <v>310</v>
      </c>
      <c r="B35">
        <v>2005</v>
      </c>
      <c r="C35" t="s">
        <v>173</v>
      </c>
      <c r="D35" t="s">
        <v>6</v>
      </c>
      <c r="E35" t="s">
        <v>71</v>
      </c>
      <c r="F35" t="str">
        <f>_xlfn.XLOOKUP(Cleaned_MLB_Stats_Dataset__1[[#This Row],[Position'#]],$B$373:$B$382,$A$373:$A$382)</f>
        <v>3B</v>
      </c>
      <c r="G35">
        <v>5</v>
      </c>
      <c r="H35">
        <v>605</v>
      </c>
      <c r="I35">
        <v>194</v>
      </c>
      <c r="J35">
        <v>29</v>
      </c>
      <c r="K35">
        <v>1</v>
      </c>
      <c r="L35">
        <v>48</v>
      </c>
      <c r="M35">
        <v>124</v>
      </c>
      <c r="N35">
        <v>130</v>
      </c>
      <c r="O35">
        <v>139</v>
      </c>
      <c r="P35">
        <v>91</v>
      </c>
      <c r="Q35">
        <v>8</v>
      </c>
      <c r="R35">
        <v>16</v>
      </c>
      <c r="S35">
        <v>3</v>
      </c>
      <c r="T35">
        <v>0</v>
      </c>
      <c r="U35" s="6">
        <f>Cleaned_MLB_Stats_Dataset__1[[#This Row],[Hits]]/Cleaned_MLB_Stats_Dataset__1[[#This Row],[At Bats]]</f>
        <v>0.32066115702479336</v>
      </c>
      <c r="V35" s="6">
        <f>Cleaned_MLB_Stats_Dataset__1[[#This Row],[Strikeouts]]/(Cleaned_MLB_Stats_Dataset__1[[#This Row],[At Bats]]+Cleaned_MLB_Stats_Dataset__1[[#This Row],[Walks]])</f>
        <v>0.19971264367816091</v>
      </c>
      <c r="W3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0.1502808988764045</v>
      </c>
      <c r="X3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0.42097902097902096</v>
      </c>
      <c r="Y3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0.60991735537190084</v>
      </c>
      <c r="Z35" s="6">
        <f>Cleaned_MLB_Stats_Dataset__1[[#This Row],[On Base Percentage]]+Cleaned_MLB_Stats_Dataset__1[[#This Row],[Slugging %]]</f>
        <v>1.0308963763509218</v>
      </c>
      <c r="AA35" s="6">
        <f>Cleaned_MLB_Stats_Dataset__1[[#This Row],[Slugging %]]-Cleaned_MLB_Stats_Dataset__1[[#This Row],[Batting Average]]</f>
        <v>0.28925619834710747</v>
      </c>
      <c r="AB35" s="6">
        <f>Cleaned_MLB_Stats_Dataset__1[[#This Row],[Batting Average]]-_xlfn.XLOOKUP(Cleaned_MLB_Stats_Dataset__1[[#This Row],[Year]],'League Averages'!$A$3:$A$23,'League Averages'!$B$3:$B$23)</f>
        <v>5.6661157024793352E-2</v>
      </c>
      <c r="AC35" s="6">
        <f>Cleaned_MLB_Stats_Dataset__1[[#This Row],[On Base Percentage]]-_xlfn.XLOOKUP(Cleaned_MLB_Stats_Dataset__1[[#This Row],[Year]],'League Averages'!$A$3:$A$23,'League Averages'!$C$3:$C$23)</f>
        <v>9.0979020979020941E-2</v>
      </c>
      <c r="AD35" s="6">
        <f>Cleaned_MLB_Stats_Dataset__1[[#This Row],[Slugging %]]-_xlfn.XLOOKUP(Cleaned_MLB_Stats_Dataset__1[[#This Row],[Year]],'League Averages'!$A$3:$A$23,'League Averages'!$D$3:$D$23)</f>
        <v>0.19091735537190085</v>
      </c>
      <c r="AE35" s="6">
        <f>Cleaned_MLB_Stats_Dataset__1[[#This Row],[OPS (On Base + Slugging)]]-_xlfn.XLOOKUP(Cleaned_MLB_Stats_Dataset__1[[#This Row],[Year]],'League Averages'!$A$3:$A$23,'League Averages'!$E$3:$E$23)</f>
        <v>0.2818963763509218</v>
      </c>
      <c r="AF35" s="6">
        <f>Cleaned_MLB_Stats_Dataset__1[[#This Row],[ISO (Isolated Power]]-_xlfn.XLOOKUP(Cleaned_MLB_Stats_Dataset__1[[#This Row],[Year]],'League Averages'!$A$3:$A$23,'League Averages'!$F$3:$F$23)</f>
        <v>0.13425619834710747</v>
      </c>
    </row>
    <row r="36" spans="1:32" x14ac:dyDescent="0.2">
      <c r="A36" t="s">
        <v>310</v>
      </c>
      <c r="B36">
        <v>2004</v>
      </c>
      <c r="C36" t="s">
        <v>176</v>
      </c>
      <c r="D36" t="s">
        <v>6</v>
      </c>
      <c r="E36" t="s">
        <v>71</v>
      </c>
      <c r="F36" t="str">
        <f>_xlfn.XLOOKUP(Cleaned_MLB_Stats_Dataset__1[[#This Row],[Position'#]],$B$373:$B$382,$A$373:$A$382)</f>
        <v>1B</v>
      </c>
      <c r="G36">
        <v>3</v>
      </c>
      <c r="H36">
        <v>264</v>
      </c>
      <c r="I36">
        <v>55</v>
      </c>
      <c r="J36">
        <v>9</v>
      </c>
      <c r="K36">
        <v>0</v>
      </c>
      <c r="L36">
        <v>12</v>
      </c>
      <c r="M36">
        <v>33</v>
      </c>
      <c r="N36">
        <v>40</v>
      </c>
      <c r="O36">
        <v>62</v>
      </c>
      <c r="P36">
        <v>47</v>
      </c>
      <c r="Q36">
        <v>1</v>
      </c>
      <c r="R36">
        <v>8</v>
      </c>
      <c r="S36">
        <v>3</v>
      </c>
      <c r="T36">
        <v>0</v>
      </c>
      <c r="U36" s="6">
        <f>Cleaned_MLB_Stats_Dataset__1[[#This Row],[Hits]]/Cleaned_MLB_Stats_Dataset__1[[#This Row],[At Bats]]</f>
        <v>0.20833333333333334</v>
      </c>
      <c r="V36" s="6">
        <f>Cleaned_MLB_Stats_Dataset__1[[#This Row],[Strikeouts]]/(Cleaned_MLB_Stats_Dataset__1[[#This Row],[At Bats]]+Cleaned_MLB_Stats_Dataset__1[[#This Row],[Walks]])</f>
        <v>0.19935691318327975</v>
      </c>
      <c r="W3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0.17241379310344829</v>
      </c>
      <c r="X3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0.34161490683229812</v>
      </c>
      <c r="Y3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0.37878787878787878</v>
      </c>
      <c r="Z36" s="6">
        <f>Cleaned_MLB_Stats_Dataset__1[[#This Row],[On Base Percentage]]+Cleaned_MLB_Stats_Dataset__1[[#This Row],[Slugging %]]</f>
        <v>0.7204027856201769</v>
      </c>
      <c r="AA36" s="6">
        <f>Cleaned_MLB_Stats_Dataset__1[[#This Row],[Slugging %]]-Cleaned_MLB_Stats_Dataset__1[[#This Row],[Batting Average]]</f>
        <v>0.17045454545454544</v>
      </c>
      <c r="AB36" s="6">
        <f>Cleaned_MLB_Stats_Dataset__1[[#This Row],[Batting Average]]-_xlfn.XLOOKUP(Cleaned_MLB_Stats_Dataset__1[[#This Row],[Year]],'League Averages'!$A$3:$A$23,'League Averages'!$B$3:$B$23)</f>
        <v>-5.7666666666666672E-2</v>
      </c>
      <c r="AC36" s="6">
        <f>Cleaned_MLB_Stats_Dataset__1[[#This Row],[On Base Percentage]]-_xlfn.XLOOKUP(Cleaned_MLB_Stats_Dataset__1[[#This Row],[Year]],'League Averages'!$A$3:$A$23,'League Averages'!$C$3:$C$23)</f>
        <v>6.6149068322980953E-3</v>
      </c>
      <c r="AD36" s="6">
        <f>Cleaned_MLB_Stats_Dataset__1[[#This Row],[Slugging %]]-_xlfn.XLOOKUP(Cleaned_MLB_Stats_Dataset__1[[#This Row],[Year]],'League Averages'!$A$3:$A$23,'League Averages'!$D$3:$D$23)</f>
        <v>-4.9212121212121207E-2</v>
      </c>
      <c r="AE36" s="6">
        <f>Cleaned_MLB_Stats_Dataset__1[[#This Row],[OPS (On Base + Slugging)]]-_xlfn.XLOOKUP(Cleaned_MLB_Stats_Dataset__1[[#This Row],[Year]],'League Averages'!$A$3:$A$23,'League Averages'!$E$3:$E$23)</f>
        <v>-4.2597214379823112E-2</v>
      </c>
      <c r="AF36" s="6">
        <f>Cleaned_MLB_Stats_Dataset__1[[#This Row],[ISO (Isolated Power]]-_xlfn.XLOOKUP(Cleaned_MLB_Stats_Dataset__1[[#This Row],[Year]],'League Averages'!$A$3:$A$23,'League Averages'!$F$3:$F$23)</f>
        <v>8.4545454545454368E-3</v>
      </c>
    </row>
    <row r="37" spans="1:32" x14ac:dyDescent="0.2">
      <c r="A37" t="s">
        <v>310</v>
      </c>
      <c r="B37">
        <v>2008</v>
      </c>
      <c r="C37" t="s">
        <v>276</v>
      </c>
      <c r="D37" t="s">
        <v>3</v>
      </c>
      <c r="E37" t="s">
        <v>204</v>
      </c>
      <c r="F37" t="str">
        <f>_xlfn.XLOOKUP(Cleaned_MLB_Stats_Dataset__1[[#This Row],[Position'#]],$B$373:$B$382,$A$373:$A$382)</f>
        <v>LF</v>
      </c>
      <c r="G37">
        <v>7</v>
      </c>
      <c r="H37">
        <v>611</v>
      </c>
      <c r="I37">
        <v>174</v>
      </c>
      <c r="J37">
        <v>39</v>
      </c>
      <c r="K37">
        <v>7</v>
      </c>
      <c r="L37">
        <v>37</v>
      </c>
      <c r="M37">
        <v>92</v>
      </c>
      <c r="N37">
        <v>106</v>
      </c>
      <c r="O37">
        <v>129</v>
      </c>
      <c r="P37">
        <v>42</v>
      </c>
      <c r="Q37">
        <v>4</v>
      </c>
      <c r="R37">
        <v>6</v>
      </c>
      <c r="S37">
        <v>4</v>
      </c>
      <c r="T37">
        <v>0</v>
      </c>
      <c r="U37" s="6">
        <f>Cleaned_MLB_Stats_Dataset__1[[#This Row],[Hits]]/Cleaned_MLB_Stats_Dataset__1[[#This Row],[At Bats]]</f>
        <v>0.28477905073649756</v>
      </c>
      <c r="V37" s="6">
        <f>Cleaned_MLB_Stats_Dataset__1[[#This Row],[Strikeouts]]/(Cleaned_MLB_Stats_Dataset__1[[#This Row],[At Bats]]+Cleaned_MLB_Stats_Dataset__1[[#This Row],[Walks]])</f>
        <v>0.19754977029096477</v>
      </c>
      <c r="W3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7.2837632776934752E-2</v>
      </c>
      <c r="X3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0.33484162895927599</v>
      </c>
      <c r="Y3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0.55319148936170215</v>
      </c>
      <c r="Z37" s="6">
        <f>Cleaned_MLB_Stats_Dataset__1[[#This Row],[On Base Percentage]]+Cleaned_MLB_Stats_Dataset__1[[#This Row],[Slugging %]]</f>
        <v>0.8880331183209782</v>
      </c>
      <c r="AA37" s="6">
        <f>Cleaned_MLB_Stats_Dataset__1[[#This Row],[Slugging %]]-Cleaned_MLB_Stats_Dataset__1[[#This Row],[Batting Average]]</f>
        <v>0.26841243862520459</v>
      </c>
      <c r="AB37" s="6">
        <f>Cleaned_MLB_Stats_Dataset__1[[#This Row],[Batting Average]]-_xlfn.XLOOKUP(Cleaned_MLB_Stats_Dataset__1[[#This Row],[Year]],'League Averages'!$A$3:$A$23,'League Averages'!$B$3:$B$23)</f>
        <v>2.0779050736497551E-2</v>
      </c>
      <c r="AC37" s="6">
        <f>Cleaned_MLB_Stats_Dataset__1[[#This Row],[On Base Percentage]]-_xlfn.XLOOKUP(Cleaned_MLB_Stats_Dataset__1[[#This Row],[Year]],'League Averages'!$A$3:$A$23,'League Averages'!$C$3:$C$23)</f>
        <v>1.841628959275976E-3</v>
      </c>
      <c r="AD37" s="6">
        <f>Cleaned_MLB_Stats_Dataset__1[[#This Row],[Slugging %]]-_xlfn.XLOOKUP(Cleaned_MLB_Stats_Dataset__1[[#This Row],[Year]],'League Averages'!$A$3:$A$23,'League Averages'!$D$3:$D$23)</f>
        <v>0.13719148936170217</v>
      </c>
      <c r="AE37" s="6">
        <f>Cleaned_MLB_Stats_Dataset__1[[#This Row],[OPS (On Base + Slugging)]]-_xlfn.XLOOKUP(Cleaned_MLB_Stats_Dataset__1[[#This Row],[Year]],'League Averages'!$A$3:$A$23,'League Averages'!$E$3:$E$23)</f>
        <v>0.1390331183209782</v>
      </c>
      <c r="AF37" s="6">
        <f>Cleaned_MLB_Stats_Dataset__1[[#This Row],[ISO (Isolated Power]]-_xlfn.XLOOKUP(Cleaned_MLB_Stats_Dataset__1[[#This Row],[Year]],'League Averages'!$A$3:$A$23,'League Averages'!$F$3:$F$23)</f>
        <v>0.11641243862520459</v>
      </c>
    </row>
    <row r="38" spans="1:32" x14ac:dyDescent="0.2">
      <c r="A38" t="s">
        <v>310</v>
      </c>
      <c r="B38">
        <v>2013</v>
      </c>
      <c r="C38" t="s">
        <v>290</v>
      </c>
      <c r="D38" t="s">
        <v>6</v>
      </c>
      <c r="E38" t="s">
        <v>2</v>
      </c>
      <c r="F38" t="str">
        <f>_xlfn.XLOOKUP(Cleaned_MLB_Stats_Dataset__1[[#This Row],[Position'#]],$B$373:$B$382,$A$373:$A$382)</f>
        <v>LF</v>
      </c>
      <c r="G38">
        <v>7</v>
      </c>
      <c r="H38">
        <v>589</v>
      </c>
      <c r="I38">
        <v>190</v>
      </c>
      <c r="J38">
        <v>39</v>
      </c>
      <c r="K38">
        <v>9</v>
      </c>
      <c r="L38">
        <v>27</v>
      </c>
      <c r="M38">
        <v>109</v>
      </c>
      <c r="N38">
        <v>97</v>
      </c>
      <c r="O38">
        <v>136</v>
      </c>
      <c r="P38">
        <v>110</v>
      </c>
      <c r="Q38">
        <v>10</v>
      </c>
      <c r="R38">
        <v>9</v>
      </c>
      <c r="S38">
        <v>8</v>
      </c>
      <c r="T38">
        <v>0</v>
      </c>
      <c r="U38" s="6">
        <f>Cleaned_MLB_Stats_Dataset__1[[#This Row],[Hits]]/Cleaned_MLB_Stats_Dataset__1[[#This Row],[At Bats]]</f>
        <v>0.32258064516129031</v>
      </c>
      <c r="V38" s="6">
        <f>Cleaned_MLB_Stats_Dataset__1[[#This Row],[Strikeouts]]/(Cleaned_MLB_Stats_Dataset__1[[#This Row],[At Bats]]+Cleaned_MLB_Stats_Dataset__1[[#This Row],[Walks]])</f>
        <v>0.19456366237482117</v>
      </c>
      <c r="W3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0.16807909604519775</v>
      </c>
      <c r="X3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0.43156424581005587</v>
      </c>
      <c r="Y3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0.55687606112054333</v>
      </c>
      <c r="Z38" s="6">
        <f>Cleaned_MLB_Stats_Dataset__1[[#This Row],[On Base Percentage]]+Cleaned_MLB_Stats_Dataset__1[[#This Row],[Slugging %]]</f>
        <v>0.98844030693059914</v>
      </c>
      <c r="AA38" s="6">
        <f>Cleaned_MLB_Stats_Dataset__1[[#This Row],[Slugging %]]-Cleaned_MLB_Stats_Dataset__1[[#This Row],[Batting Average]]</f>
        <v>0.23429541595925302</v>
      </c>
      <c r="AB38" s="6">
        <f>Cleaned_MLB_Stats_Dataset__1[[#This Row],[Batting Average]]-_xlfn.XLOOKUP(Cleaned_MLB_Stats_Dataset__1[[#This Row],[Year]],'League Averages'!$A$3:$A$23,'League Averages'!$B$3:$B$23)</f>
        <v>6.9580645161290311E-2</v>
      </c>
      <c r="AC38" s="6">
        <f>Cleaned_MLB_Stats_Dataset__1[[#This Row],[On Base Percentage]]-_xlfn.XLOOKUP(Cleaned_MLB_Stats_Dataset__1[[#This Row],[Year]],'League Averages'!$A$3:$A$23,'League Averages'!$C$3:$C$23)</f>
        <v>0.11356424581005586</v>
      </c>
      <c r="AD38" s="6">
        <f>Cleaned_MLB_Stats_Dataset__1[[#This Row],[Slugging %]]-_xlfn.XLOOKUP(Cleaned_MLB_Stats_Dataset__1[[#This Row],[Year]],'League Averages'!$A$3:$A$23,'League Averages'!$D$3:$D$23)</f>
        <v>0.16087606112054331</v>
      </c>
      <c r="AE38" s="6">
        <f>Cleaned_MLB_Stats_Dataset__1[[#This Row],[OPS (On Base + Slugging)]]-_xlfn.XLOOKUP(Cleaned_MLB_Stats_Dataset__1[[#This Row],[Year]],'League Averages'!$A$3:$A$23,'League Averages'!$E$3:$E$23)</f>
        <v>0.27444030693059918</v>
      </c>
      <c r="AF38" s="6">
        <f>Cleaned_MLB_Stats_Dataset__1[[#This Row],[ISO (Isolated Power]]-_xlfn.XLOOKUP(Cleaned_MLB_Stats_Dataset__1[[#This Row],[Year]],'League Averages'!$A$3:$A$23,'League Averages'!$F$3:$F$23)</f>
        <v>9.1295415959253029E-2</v>
      </c>
    </row>
    <row r="39" spans="1:32" x14ac:dyDescent="0.2">
      <c r="A39" t="s">
        <v>310</v>
      </c>
      <c r="B39">
        <v>2013</v>
      </c>
      <c r="C39" t="s">
        <v>291</v>
      </c>
      <c r="D39" t="s">
        <v>3</v>
      </c>
      <c r="E39" t="s">
        <v>59</v>
      </c>
      <c r="F39" t="str">
        <f>_xlfn.XLOOKUP(Cleaned_MLB_Stats_Dataset__1[[#This Row],[Position'#]],$B$373:$B$382,$A$373:$A$382)</f>
        <v>CF</v>
      </c>
      <c r="G39">
        <v>8</v>
      </c>
      <c r="H39">
        <v>424</v>
      </c>
      <c r="I39">
        <v>116</v>
      </c>
      <c r="J39">
        <v>24</v>
      </c>
      <c r="K39">
        <v>3</v>
      </c>
      <c r="L39">
        <v>20</v>
      </c>
      <c r="M39">
        <v>71</v>
      </c>
      <c r="N39">
        <v>58</v>
      </c>
      <c r="O39">
        <v>94</v>
      </c>
      <c r="P39">
        <v>61</v>
      </c>
      <c r="Q39">
        <v>4</v>
      </c>
      <c r="R39">
        <v>5</v>
      </c>
      <c r="S39">
        <v>4</v>
      </c>
      <c r="T39">
        <v>3</v>
      </c>
      <c r="U39" s="6">
        <f>Cleaned_MLB_Stats_Dataset__1[[#This Row],[Hits]]/Cleaned_MLB_Stats_Dataset__1[[#This Row],[At Bats]]</f>
        <v>0.27358490566037735</v>
      </c>
      <c r="V39" s="6">
        <f>Cleaned_MLB_Stats_Dataset__1[[#This Row],[Strikeouts]]/(Cleaned_MLB_Stats_Dataset__1[[#This Row],[At Bats]]+Cleaned_MLB_Stats_Dataset__1[[#This Row],[Walks]])</f>
        <v>0.19381443298969073</v>
      </c>
      <c r="W3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0.13469387755102041</v>
      </c>
      <c r="X3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0.36842105263157893</v>
      </c>
      <c r="Y3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0.48584905660377359</v>
      </c>
      <c r="Z39" s="6">
        <f>Cleaned_MLB_Stats_Dataset__1[[#This Row],[On Base Percentage]]+Cleaned_MLB_Stats_Dataset__1[[#This Row],[Slugging %]]</f>
        <v>0.85427010923535251</v>
      </c>
      <c r="AA39" s="6">
        <f>Cleaned_MLB_Stats_Dataset__1[[#This Row],[Slugging %]]-Cleaned_MLB_Stats_Dataset__1[[#This Row],[Batting Average]]</f>
        <v>0.21226415094339623</v>
      </c>
      <c r="AB39" s="6">
        <f>Cleaned_MLB_Stats_Dataset__1[[#This Row],[Batting Average]]-_xlfn.XLOOKUP(Cleaned_MLB_Stats_Dataset__1[[#This Row],[Year]],'League Averages'!$A$3:$A$23,'League Averages'!$B$3:$B$23)</f>
        <v>2.0584905660377351E-2</v>
      </c>
      <c r="AC39" s="6">
        <f>Cleaned_MLB_Stats_Dataset__1[[#This Row],[On Base Percentage]]-_xlfn.XLOOKUP(Cleaned_MLB_Stats_Dataset__1[[#This Row],[Year]],'League Averages'!$A$3:$A$23,'League Averages'!$C$3:$C$23)</f>
        <v>5.0421052631578922E-2</v>
      </c>
      <c r="AD39" s="6">
        <f>Cleaned_MLB_Stats_Dataset__1[[#This Row],[Slugging %]]-_xlfn.XLOOKUP(Cleaned_MLB_Stats_Dataset__1[[#This Row],[Year]],'League Averages'!$A$3:$A$23,'League Averages'!$D$3:$D$23)</f>
        <v>8.9849056603773569E-2</v>
      </c>
      <c r="AE39" s="6">
        <f>Cleaned_MLB_Stats_Dataset__1[[#This Row],[OPS (On Base + Slugging)]]-_xlfn.XLOOKUP(Cleaned_MLB_Stats_Dataset__1[[#This Row],[Year]],'League Averages'!$A$3:$A$23,'League Averages'!$E$3:$E$23)</f>
        <v>0.14027010923535255</v>
      </c>
      <c r="AF39" s="6">
        <f>Cleaned_MLB_Stats_Dataset__1[[#This Row],[ISO (Isolated Power]]-_xlfn.XLOOKUP(Cleaned_MLB_Stats_Dataset__1[[#This Row],[Year]],'League Averages'!$A$3:$A$23,'League Averages'!$F$3:$F$23)</f>
        <v>6.9264150943396247E-2</v>
      </c>
    </row>
    <row r="40" spans="1:32" x14ac:dyDescent="0.2">
      <c r="A40" t="s">
        <v>310</v>
      </c>
      <c r="B40">
        <v>2012</v>
      </c>
      <c r="C40" t="s">
        <v>276</v>
      </c>
      <c r="D40" t="s">
        <v>3</v>
      </c>
      <c r="E40" t="s">
        <v>204</v>
      </c>
      <c r="F40" t="str">
        <f>_xlfn.XLOOKUP(Cleaned_MLB_Stats_Dataset__1[[#This Row],[Position'#]],$B$373:$B$382,$A$373:$A$382)</f>
        <v>LF</v>
      </c>
      <c r="G40">
        <v>7</v>
      </c>
      <c r="H40">
        <v>598</v>
      </c>
      <c r="I40">
        <v>191</v>
      </c>
      <c r="J40">
        <v>36</v>
      </c>
      <c r="K40">
        <v>3</v>
      </c>
      <c r="L40">
        <v>41</v>
      </c>
      <c r="M40">
        <v>108</v>
      </c>
      <c r="N40">
        <v>112</v>
      </c>
      <c r="O40">
        <v>128</v>
      </c>
      <c r="P40">
        <v>63</v>
      </c>
      <c r="Q40">
        <v>15</v>
      </c>
      <c r="R40">
        <v>11</v>
      </c>
      <c r="S40">
        <v>5</v>
      </c>
      <c r="T40">
        <v>0</v>
      </c>
      <c r="U40" s="6">
        <f>Cleaned_MLB_Stats_Dataset__1[[#This Row],[Hits]]/Cleaned_MLB_Stats_Dataset__1[[#This Row],[At Bats]]</f>
        <v>0.3193979933110368</v>
      </c>
      <c r="V40" s="6">
        <f>Cleaned_MLB_Stats_Dataset__1[[#This Row],[Strikeouts]]/(Cleaned_MLB_Stats_Dataset__1[[#This Row],[At Bats]]+Cleaned_MLB_Stats_Dataset__1[[#This Row],[Walks]])</f>
        <v>0.19364599092284418</v>
      </c>
      <c r="W4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0.11011904761904762</v>
      </c>
      <c r="X4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0.39143279172821271</v>
      </c>
      <c r="Y4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0.59531772575250841</v>
      </c>
      <c r="Z40" s="6">
        <f>Cleaned_MLB_Stats_Dataset__1[[#This Row],[On Base Percentage]]+Cleaned_MLB_Stats_Dataset__1[[#This Row],[Slugging %]]</f>
        <v>0.98675051748072118</v>
      </c>
      <c r="AA40" s="6">
        <f>Cleaned_MLB_Stats_Dataset__1[[#This Row],[Slugging %]]-Cleaned_MLB_Stats_Dataset__1[[#This Row],[Batting Average]]</f>
        <v>0.27591973244147161</v>
      </c>
      <c r="AB40" s="6">
        <f>Cleaned_MLB_Stats_Dataset__1[[#This Row],[Batting Average]]-_xlfn.XLOOKUP(Cleaned_MLB_Stats_Dataset__1[[#This Row],[Year]],'League Averages'!$A$3:$A$23,'League Averages'!$B$3:$B$23)</f>
        <v>6.4397993311036794E-2</v>
      </c>
      <c r="AC40" s="6">
        <f>Cleaned_MLB_Stats_Dataset__1[[#This Row],[On Base Percentage]]-_xlfn.XLOOKUP(Cleaned_MLB_Stats_Dataset__1[[#This Row],[Year]],'League Averages'!$A$3:$A$23,'League Averages'!$C$3:$C$23)</f>
        <v>7.2432791728212709E-2</v>
      </c>
      <c r="AD40" s="6">
        <f>Cleaned_MLB_Stats_Dataset__1[[#This Row],[Slugging %]]-_xlfn.XLOOKUP(Cleaned_MLB_Stats_Dataset__1[[#This Row],[Year]],'League Averages'!$A$3:$A$23,'League Averages'!$D$3:$D$23)</f>
        <v>0.19031772575250838</v>
      </c>
      <c r="AE40" s="6">
        <f>Cleaned_MLB_Stats_Dataset__1[[#This Row],[OPS (On Base + Slugging)]]-_xlfn.XLOOKUP(Cleaned_MLB_Stats_Dataset__1[[#This Row],[Year]],'League Averages'!$A$3:$A$23,'League Averages'!$E$3:$E$23)</f>
        <v>0.2627505174807212</v>
      </c>
      <c r="AF40" s="6">
        <f>Cleaned_MLB_Stats_Dataset__1[[#This Row],[ISO (Isolated Power]]-_xlfn.XLOOKUP(Cleaned_MLB_Stats_Dataset__1[[#This Row],[Year]],'League Averages'!$A$3:$A$23,'League Averages'!$F$3:$F$23)</f>
        <v>0.12591973244147162</v>
      </c>
    </row>
    <row r="41" spans="1:32" x14ac:dyDescent="0.2">
      <c r="A41" t="s">
        <v>310</v>
      </c>
      <c r="B41">
        <v>2013</v>
      </c>
      <c r="C41" t="s">
        <v>280</v>
      </c>
      <c r="D41" t="s">
        <v>3</v>
      </c>
      <c r="E41" t="s">
        <v>53</v>
      </c>
      <c r="F41" t="str">
        <f>_xlfn.XLOOKUP(Cleaned_MLB_Stats_Dataset__1[[#This Row],[Position'#]],$B$373:$B$382,$A$373:$A$382)</f>
        <v>1B</v>
      </c>
      <c r="G41">
        <v>3</v>
      </c>
      <c r="H41">
        <v>581</v>
      </c>
      <c r="I41">
        <v>177</v>
      </c>
      <c r="J41">
        <v>30</v>
      </c>
      <c r="K41">
        <v>3</v>
      </c>
      <c r="L41">
        <v>24</v>
      </c>
      <c r="M41">
        <v>101</v>
      </c>
      <c r="N41">
        <v>73</v>
      </c>
      <c r="O41">
        <v>138</v>
      </c>
      <c r="P41">
        <v>135</v>
      </c>
      <c r="Q41">
        <v>19</v>
      </c>
      <c r="R41">
        <v>4</v>
      </c>
      <c r="S41">
        <v>6</v>
      </c>
      <c r="T41">
        <v>0</v>
      </c>
      <c r="U41" s="6">
        <f>Cleaned_MLB_Stats_Dataset__1[[#This Row],[Hits]]/Cleaned_MLB_Stats_Dataset__1[[#This Row],[At Bats]]</f>
        <v>0.30464716006884679</v>
      </c>
      <c r="V41" s="6">
        <f>Cleaned_MLB_Stats_Dataset__1[[#This Row],[Strikeouts]]/(Cleaned_MLB_Stats_Dataset__1[[#This Row],[At Bats]]+Cleaned_MLB_Stats_Dataset__1[[#This Row],[Walks]])</f>
        <v>0.19273743016759776</v>
      </c>
      <c r="W4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0.19305555555555556</v>
      </c>
      <c r="X4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0.43526170798898073</v>
      </c>
      <c r="Y4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0.49053356282271943</v>
      </c>
      <c r="Z41" s="6">
        <f>Cleaned_MLB_Stats_Dataset__1[[#This Row],[On Base Percentage]]+Cleaned_MLB_Stats_Dataset__1[[#This Row],[Slugging %]]</f>
        <v>0.9257952708117001</v>
      </c>
      <c r="AA41" s="6">
        <f>Cleaned_MLB_Stats_Dataset__1[[#This Row],[Slugging %]]-Cleaned_MLB_Stats_Dataset__1[[#This Row],[Batting Average]]</f>
        <v>0.18588640275387264</v>
      </c>
      <c r="AB41" s="6">
        <f>Cleaned_MLB_Stats_Dataset__1[[#This Row],[Batting Average]]-_xlfn.XLOOKUP(Cleaned_MLB_Stats_Dataset__1[[#This Row],[Year]],'League Averages'!$A$3:$A$23,'League Averages'!$B$3:$B$23)</f>
        <v>5.1647160068846787E-2</v>
      </c>
      <c r="AC41" s="6">
        <f>Cleaned_MLB_Stats_Dataset__1[[#This Row],[On Base Percentage]]-_xlfn.XLOOKUP(Cleaned_MLB_Stats_Dataset__1[[#This Row],[Year]],'League Averages'!$A$3:$A$23,'League Averages'!$C$3:$C$23)</f>
        <v>0.11726170798898072</v>
      </c>
      <c r="AD41" s="6">
        <f>Cleaned_MLB_Stats_Dataset__1[[#This Row],[Slugging %]]-_xlfn.XLOOKUP(Cleaned_MLB_Stats_Dataset__1[[#This Row],[Year]],'League Averages'!$A$3:$A$23,'League Averages'!$D$3:$D$23)</f>
        <v>9.4533562822719408E-2</v>
      </c>
      <c r="AE41" s="6">
        <f>Cleaned_MLB_Stats_Dataset__1[[#This Row],[OPS (On Base + Slugging)]]-_xlfn.XLOOKUP(Cleaned_MLB_Stats_Dataset__1[[#This Row],[Year]],'League Averages'!$A$3:$A$23,'League Averages'!$E$3:$E$23)</f>
        <v>0.21179527081170013</v>
      </c>
      <c r="AF41" s="6">
        <f>Cleaned_MLB_Stats_Dataset__1[[#This Row],[ISO (Isolated Power]]-_xlfn.XLOOKUP(Cleaned_MLB_Stats_Dataset__1[[#This Row],[Year]],'League Averages'!$A$3:$A$23,'League Averages'!$F$3:$F$23)</f>
        <v>4.2886402753872649E-2</v>
      </c>
    </row>
    <row r="42" spans="1:32" x14ac:dyDescent="0.2">
      <c r="A42" t="s">
        <v>310</v>
      </c>
      <c r="B42">
        <v>2004</v>
      </c>
      <c r="C42" t="s">
        <v>173</v>
      </c>
      <c r="D42" t="s">
        <v>6</v>
      </c>
      <c r="E42" t="s">
        <v>71</v>
      </c>
      <c r="F42" t="str">
        <f>_xlfn.XLOOKUP(Cleaned_MLB_Stats_Dataset__1[[#This Row],[Position'#]],$B$373:$B$382,$A$373:$A$382)</f>
        <v>3B</v>
      </c>
      <c r="G42">
        <v>5</v>
      </c>
      <c r="H42">
        <v>601</v>
      </c>
      <c r="I42">
        <v>172</v>
      </c>
      <c r="J42">
        <v>24</v>
      </c>
      <c r="K42">
        <v>2</v>
      </c>
      <c r="L42">
        <v>36</v>
      </c>
      <c r="M42">
        <v>112</v>
      </c>
      <c r="N42">
        <v>106</v>
      </c>
      <c r="O42">
        <v>131</v>
      </c>
      <c r="P42">
        <v>80</v>
      </c>
      <c r="Q42">
        <v>6</v>
      </c>
      <c r="R42">
        <v>10</v>
      </c>
      <c r="S42">
        <v>7</v>
      </c>
      <c r="T42">
        <v>0</v>
      </c>
      <c r="U42" s="6">
        <f>Cleaned_MLB_Stats_Dataset__1[[#This Row],[Hits]]/Cleaned_MLB_Stats_Dataset__1[[#This Row],[At Bats]]</f>
        <v>0.28618968386023297</v>
      </c>
      <c r="V42" s="6">
        <f>Cleaned_MLB_Stats_Dataset__1[[#This Row],[Strikeouts]]/(Cleaned_MLB_Stats_Dataset__1[[#This Row],[At Bats]]+Cleaned_MLB_Stats_Dataset__1[[#This Row],[Walks]])</f>
        <v>0.19236417033773862</v>
      </c>
      <c r="W4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0.13024602026049203</v>
      </c>
      <c r="X4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0.37535816618911177</v>
      </c>
      <c r="Y4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0.5124792013311148</v>
      </c>
      <c r="Z42" s="6">
        <f>Cleaned_MLB_Stats_Dataset__1[[#This Row],[On Base Percentage]]+Cleaned_MLB_Stats_Dataset__1[[#This Row],[Slugging %]]</f>
        <v>0.88783736752022657</v>
      </c>
      <c r="AA42" s="6">
        <f>Cleaned_MLB_Stats_Dataset__1[[#This Row],[Slugging %]]-Cleaned_MLB_Stats_Dataset__1[[#This Row],[Batting Average]]</f>
        <v>0.22628951747088183</v>
      </c>
      <c r="AB42" s="6">
        <f>Cleaned_MLB_Stats_Dataset__1[[#This Row],[Batting Average]]-_xlfn.XLOOKUP(Cleaned_MLB_Stats_Dataset__1[[#This Row],[Year]],'League Averages'!$A$3:$A$23,'League Averages'!$B$3:$B$23)</f>
        <v>2.0189683860232954E-2</v>
      </c>
      <c r="AC42" s="6">
        <f>Cleaned_MLB_Stats_Dataset__1[[#This Row],[On Base Percentage]]-_xlfn.XLOOKUP(Cleaned_MLB_Stats_Dataset__1[[#This Row],[Year]],'League Averages'!$A$3:$A$23,'League Averages'!$C$3:$C$23)</f>
        <v>4.0358166189111755E-2</v>
      </c>
      <c r="AD42" s="6">
        <f>Cleaned_MLB_Stats_Dataset__1[[#This Row],[Slugging %]]-_xlfn.XLOOKUP(Cleaned_MLB_Stats_Dataset__1[[#This Row],[Year]],'League Averages'!$A$3:$A$23,'League Averages'!$D$3:$D$23)</f>
        <v>8.4479201331114806E-2</v>
      </c>
      <c r="AE42" s="6">
        <f>Cleaned_MLB_Stats_Dataset__1[[#This Row],[OPS (On Base + Slugging)]]-_xlfn.XLOOKUP(Cleaned_MLB_Stats_Dataset__1[[#This Row],[Year]],'League Averages'!$A$3:$A$23,'League Averages'!$E$3:$E$23)</f>
        <v>0.12483736752022656</v>
      </c>
      <c r="AF42" s="6">
        <f>Cleaned_MLB_Stats_Dataset__1[[#This Row],[ISO (Isolated Power]]-_xlfn.XLOOKUP(Cleaned_MLB_Stats_Dataset__1[[#This Row],[Year]],'League Averages'!$A$3:$A$23,'League Averages'!$F$3:$F$23)</f>
        <v>6.4289517470881824E-2</v>
      </c>
    </row>
    <row r="43" spans="1:32" x14ac:dyDescent="0.2">
      <c r="A43" t="s">
        <v>310</v>
      </c>
      <c r="B43">
        <v>2010</v>
      </c>
      <c r="C43" t="s">
        <v>284</v>
      </c>
      <c r="D43" t="s">
        <v>6</v>
      </c>
      <c r="E43" t="s">
        <v>203</v>
      </c>
      <c r="F43" t="str">
        <f>_xlfn.XLOOKUP(Cleaned_MLB_Stats_Dataset__1[[#This Row],[Position'#]],$B$373:$B$382,$A$373:$A$382)</f>
        <v>3B</v>
      </c>
      <c r="G43">
        <v>5</v>
      </c>
      <c r="H43">
        <v>574</v>
      </c>
      <c r="I43">
        <v>169</v>
      </c>
      <c r="J43">
        <v>46</v>
      </c>
      <c r="K43">
        <v>5</v>
      </c>
      <c r="L43">
        <v>22</v>
      </c>
      <c r="M43">
        <v>96</v>
      </c>
      <c r="N43">
        <v>104</v>
      </c>
      <c r="O43">
        <v>124</v>
      </c>
      <c r="P43">
        <v>72</v>
      </c>
      <c r="Q43">
        <v>12</v>
      </c>
      <c r="R43">
        <v>5</v>
      </c>
      <c r="S43">
        <v>10</v>
      </c>
      <c r="T43">
        <v>0</v>
      </c>
      <c r="U43" s="6">
        <f>Cleaned_MLB_Stats_Dataset__1[[#This Row],[Hits]]/Cleaned_MLB_Stats_Dataset__1[[#This Row],[At Bats]]</f>
        <v>0.29442508710801396</v>
      </c>
      <c r="V43" s="6">
        <f>Cleaned_MLB_Stats_Dataset__1[[#This Row],[Strikeouts]]/(Cleaned_MLB_Stats_Dataset__1[[#This Row],[At Bats]]+Cleaned_MLB_Stats_Dataset__1[[#This Row],[Walks]])</f>
        <v>0.19195046439628483</v>
      </c>
      <c r="W4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0.11827956989247312</v>
      </c>
      <c r="X4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0.37216338880484112</v>
      </c>
      <c r="Y4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0.50696864111498263</v>
      </c>
      <c r="Z43" s="6">
        <f>Cleaned_MLB_Stats_Dataset__1[[#This Row],[On Base Percentage]]+Cleaned_MLB_Stats_Dataset__1[[#This Row],[Slugging %]]</f>
        <v>0.87913202991982375</v>
      </c>
      <c r="AA43" s="6">
        <f>Cleaned_MLB_Stats_Dataset__1[[#This Row],[Slugging %]]-Cleaned_MLB_Stats_Dataset__1[[#This Row],[Batting Average]]</f>
        <v>0.21254355400696867</v>
      </c>
      <c r="AB43" s="6">
        <f>Cleaned_MLB_Stats_Dataset__1[[#This Row],[Batting Average]]-_xlfn.XLOOKUP(Cleaned_MLB_Stats_Dataset__1[[#This Row],[Year]],'League Averages'!$A$3:$A$23,'League Averages'!$B$3:$B$23)</f>
        <v>3.7425087108013955E-2</v>
      </c>
      <c r="AC43" s="6">
        <f>Cleaned_MLB_Stats_Dataset__1[[#This Row],[On Base Percentage]]-_xlfn.XLOOKUP(Cleaned_MLB_Stats_Dataset__1[[#This Row],[Year]],'League Averages'!$A$3:$A$23,'League Averages'!$C$3:$C$23)</f>
        <v>4.7163388804841111E-2</v>
      </c>
      <c r="AD43" s="6">
        <f>Cleaned_MLB_Stats_Dataset__1[[#This Row],[Slugging %]]-_xlfn.XLOOKUP(Cleaned_MLB_Stats_Dataset__1[[#This Row],[Year]],'League Averages'!$A$3:$A$23,'League Averages'!$D$3:$D$23)</f>
        <v>0.10396864111498261</v>
      </c>
      <c r="AE43" s="6">
        <f>Cleaned_MLB_Stats_Dataset__1[[#This Row],[OPS (On Base + Slugging)]]-_xlfn.XLOOKUP(Cleaned_MLB_Stats_Dataset__1[[#This Row],[Year]],'League Averages'!$A$3:$A$23,'League Averages'!$E$3:$E$23)</f>
        <v>0.15113202991982377</v>
      </c>
      <c r="AF43" s="6">
        <f>Cleaned_MLB_Stats_Dataset__1[[#This Row],[ISO (Isolated Power]]-_xlfn.XLOOKUP(Cleaned_MLB_Stats_Dataset__1[[#This Row],[Year]],'League Averages'!$A$3:$A$23,'League Averages'!$F$3:$F$23)</f>
        <v>6.654355400696868E-2</v>
      </c>
    </row>
    <row r="44" spans="1:32" x14ac:dyDescent="0.2">
      <c r="A44" t="s">
        <v>310</v>
      </c>
      <c r="B44">
        <v>2003</v>
      </c>
      <c r="C44" t="s">
        <v>181</v>
      </c>
      <c r="D44" t="s">
        <v>6</v>
      </c>
      <c r="E44" t="s">
        <v>71</v>
      </c>
      <c r="F44" t="str">
        <f>_xlfn.XLOOKUP(Cleaned_MLB_Stats_Dataset__1[[#This Row],[Position'#]],$B$373:$B$382,$A$373:$A$382)</f>
        <v>C</v>
      </c>
      <c r="G44">
        <v>2</v>
      </c>
      <c r="H44">
        <v>481</v>
      </c>
      <c r="I44">
        <v>135</v>
      </c>
      <c r="J44">
        <v>24</v>
      </c>
      <c r="K44">
        <v>0</v>
      </c>
      <c r="L44">
        <v>30</v>
      </c>
      <c r="M44">
        <v>83</v>
      </c>
      <c r="N44">
        <v>101</v>
      </c>
      <c r="O44">
        <v>110</v>
      </c>
      <c r="P44">
        <v>93</v>
      </c>
      <c r="Q44">
        <v>6</v>
      </c>
      <c r="R44">
        <v>10</v>
      </c>
      <c r="S44">
        <v>4</v>
      </c>
      <c r="T44">
        <v>0</v>
      </c>
      <c r="U44" s="6">
        <f>Cleaned_MLB_Stats_Dataset__1[[#This Row],[Hits]]/Cleaned_MLB_Stats_Dataset__1[[#This Row],[At Bats]]</f>
        <v>0.28066528066528068</v>
      </c>
      <c r="V44" s="6">
        <f>Cleaned_MLB_Stats_Dataset__1[[#This Row],[Strikeouts]]/(Cleaned_MLB_Stats_Dataset__1[[#This Row],[At Bats]]+Cleaned_MLB_Stats_Dataset__1[[#This Row],[Walks]])</f>
        <v>0.19163763066202091</v>
      </c>
      <c r="W4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0.17636986301369864</v>
      </c>
      <c r="X4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0.40476190476190477</v>
      </c>
      <c r="Y4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0.51767151767151764</v>
      </c>
      <c r="Z44" s="6">
        <f>Cleaned_MLB_Stats_Dataset__1[[#This Row],[On Base Percentage]]+Cleaned_MLB_Stats_Dataset__1[[#This Row],[Slugging %]]</f>
        <v>0.92243342243342241</v>
      </c>
      <c r="AA44" s="6">
        <f>Cleaned_MLB_Stats_Dataset__1[[#This Row],[Slugging %]]-Cleaned_MLB_Stats_Dataset__1[[#This Row],[Batting Average]]</f>
        <v>0.23700623700623696</v>
      </c>
      <c r="AB44" s="6">
        <f>Cleaned_MLB_Stats_Dataset__1[[#This Row],[Batting Average]]-_xlfn.XLOOKUP(Cleaned_MLB_Stats_Dataset__1[[#This Row],[Year]],'League Averages'!$A$3:$A$23,'League Averages'!$B$3:$B$23)</f>
        <v>1.6665280665280668E-2</v>
      </c>
      <c r="AC44" s="6">
        <f>Cleaned_MLB_Stats_Dataset__1[[#This Row],[On Base Percentage]]-_xlfn.XLOOKUP(Cleaned_MLB_Stats_Dataset__1[[#This Row],[Year]],'League Averages'!$A$3:$A$23,'League Averages'!$C$3:$C$23)</f>
        <v>7.1761904761904749E-2</v>
      </c>
      <c r="AD44" s="6">
        <f>Cleaned_MLB_Stats_Dataset__1[[#This Row],[Slugging %]]-_xlfn.XLOOKUP(Cleaned_MLB_Stats_Dataset__1[[#This Row],[Year]],'League Averages'!$A$3:$A$23,'League Averages'!$D$3:$D$23)</f>
        <v>9.5671517671517659E-2</v>
      </c>
      <c r="AE44" s="6">
        <f>Cleaned_MLB_Stats_Dataset__1[[#This Row],[OPS (On Base + Slugging)]]-_xlfn.XLOOKUP(Cleaned_MLB_Stats_Dataset__1[[#This Row],[Year]],'League Averages'!$A$3:$A$23,'League Averages'!$E$3:$E$23)</f>
        <v>0.16743342243342241</v>
      </c>
      <c r="AF44" s="6">
        <f>Cleaned_MLB_Stats_Dataset__1[[#This Row],[ISO (Isolated Power]]-_xlfn.XLOOKUP(Cleaned_MLB_Stats_Dataset__1[[#This Row],[Year]],'League Averages'!$A$3:$A$23,'League Averages'!$F$3:$F$23)</f>
        <v>7.9006237006236962E-2</v>
      </c>
    </row>
    <row r="45" spans="1:32" x14ac:dyDescent="0.2">
      <c r="A45" t="s">
        <v>310</v>
      </c>
      <c r="B45">
        <v>2004</v>
      </c>
      <c r="C45" t="s">
        <v>171</v>
      </c>
      <c r="D45" t="s">
        <v>6</v>
      </c>
      <c r="E45" t="s">
        <v>68</v>
      </c>
      <c r="F45" t="str">
        <f>_xlfn.XLOOKUP(Cleaned_MLB_Stats_Dataset__1[[#This Row],[Position'#]],$B$373:$B$382,$A$373:$A$382)</f>
        <v>LF</v>
      </c>
      <c r="G45">
        <v>7</v>
      </c>
      <c r="H45">
        <v>568</v>
      </c>
      <c r="I45">
        <v>175</v>
      </c>
      <c r="J45">
        <v>44</v>
      </c>
      <c r="K45">
        <v>0</v>
      </c>
      <c r="L45">
        <v>43</v>
      </c>
      <c r="M45">
        <v>108</v>
      </c>
      <c r="N45">
        <v>130</v>
      </c>
      <c r="O45">
        <v>124</v>
      </c>
      <c r="P45">
        <v>82</v>
      </c>
      <c r="Q45">
        <v>15</v>
      </c>
      <c r="R45">
        <v>6</v>
      </c>
      <c r="S45">
        <v>7</v>
      </c>
      <c r="T45">
        <v>0</v>
      </c>
      <c r="U45" s="6">
        <f>Cleaned_MLB_Stats_Dataset__1[[#This Row],[Hits]]/Cleaned_MLB_Stats_Dataset__1[[#This Row],[At Bats]]</f>
        <v>0.30809859154929575</v>
      </c>
      <c r="V45" s="6">
        <f>Cleaned_MLB_Stats_Dataset__1[[#This Row],[Strikeouts]]/(Cleaned_MLB_Stats_Dataset__1[[#This Row],[At Bats]]+Cleaned_MLB_Stats_Dataset__1[[#This Row],[Walks]])</f>
        <v>0.19076923076923077</v>
      </c>
      <c r="W4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0.13414634146341464</v>
      </c>
      <c r="X4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0.39668174962292607</v>
      </c>
      <c r="Y4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0.61267605633802813</v>
      </c>
      <c r="Z45" s="6">
        <f>Cleaned_MLB_Stats_Dataset__1[[#This Row],[On Base Percentage]]+Cleaned_MLB_Stats_Dataset__1[[#This Row],[Slugging %]]</f>
        <v>1.0093578059609543</v>
      </c>
      <c r="AA45" s="6">
        <f>Cleaned_MLB_Stats_Dataset__1[[#This Row],[Slugging %]]-Cleaned_MLB_Stats_Dataset__1[[#This Row],[Batting Average]]</f>
        <v>0.30457746478873238</v>
      </c>
      <c r="AB45" s="6">
        <f>Cleaned_MLB_Stats_Dataset__1[[#This Row],[Batting Average]]-_xlfn.XLOOKUP(Cleaned_MLB_Stats_Dataset__1[[#This Row],[Year]],'League Averages'!$A$3:$A$23,'League Averages'!$B$3:$B$23)</f>
        <v>4.2098591549295739E-2</v>
      </c>
      <c r="AC45" s="6">
        <f>Cleaned_MLB_Stats_Dataset__1[[#This Row],[On Base Percentage]]-_xlfn.XLOOKUP(Cleaned_MLB_Stats_Dataset__1[[#This Row],[Year]],'League Averages'!$A$3:$A$23,'League Averages'!$C$3:$C$23)</f>
        <v>6.1681749622926052E-2</v>
      </c>
      <c r="AD45" s="6">
        <f>Cleaned_MLB_Stats_Dataset__1[[#This Row],[Slugging %]]-_xlfn.XLOOKUP(Cleaned_MLB_Stats_Dataset__1[[#This Row],[Year]],'League Averages'!$A$3:$A$23,'League Averages'!$D$3:$D$23)</f>
        <v>0.18467605633802814</v>
      </c>
      <c r="AE45" s="6">
        <f>Cleaned_MLB_Stats_Dataset__1[[#This Row],[OPS (On Base + Slugging)]]-_xlfn.XLOOKUP(Cleaned_MLB_Stats_Dataset__1[[#This Row],[Year]],'League Averages'!$A$3:$A$23,'League Averages'!$E$3:$E$23)</f>
        <v>0.24635780596095425</v>
      </c>
      <c r="AF45" s="6">
        <f>Cleaned_MLB_Stats_Dataset__1[[#This Row],[ISO (Isolated Power]]-_xlfn.XLOOKUP(Cleaned_MLB_Stats_Dataset__1[[#This Row],[Year]],'League Averages'!$A$3:$A$23,'League Averages'!$F$3:$F$23)</f>
        <v>0.14257746478873237</v>
      </c>
    </row>
    <row r="46" spans="1:32" x14ac:dyDescent="0.2">
      <c r="A46" t="s">
        <v>310</v>
      </c>
      <c r="B46">
        <v>2005</v>
      </c>
      <c r="C46" t="s">
        <v>183</v>
      </c>
      <c r="D46" t="s">
        <v>3</v>
      </c>
      <c r="E46" t="s">
        <v>29</v>
      </c>
      <c r="F46" t="str">
        <f>_xlfn.XLOOKUP(Cleaned_MLB_Stats_Dataset__1[[#This Row],[Position'#]],$B$373:$B$382,$A$373:$A$382)</f>
        <v>RF</v>
      </c>
      <c r="G46">
        <v>9</v>
      </c>
      <c r="H46">
        <v>588</v>
      </c>
      <c r="I46">
        <v>168</v>
      </c>
      <c r="J46">
        <v>37</v>
      </c>
      <c r="K46">
        <v>1</v>
      </c>
      <c r="L46">
        <v>24</v>
      </c>
      <c r="M46">
        <v>104</v>
      </c>
      <c r="N46">
        <v>102</v>
      </c>
      <c r="O46">
        <v>134</v>
      </c>
      <c r="P46">
        <v>117</v>
      </c>
      <c r="Q46">
        <v>15</v>
      </c>
      <c r="R46">
        <v>6</v>
      </c>
      <c r="S46">
        <v>8</v>
      </c>
      <c r="T46">
        <v>0</v>
      </c>
      <c r="U46" s="6">
        <f>Cleaned_MLB_Stats_Dataset__1[[#This Row],[Hits]]/Cleaned_MLB_Stats_Dataset__1[[#This Row],[At Bats]]</f>
        <v>0.2857142857142857</v>
      </c>
      <c r="V46" s="6">
        <f>Cleaned_MLB_Stats_Dataset__1[[#This Row],[Strikeouts]]/(Cleaned_MLB_Stats_Dataset__1[[#This Row],[At Bats]]+Cleaned_MLB_Stats_Dataset__1[[#This Row],[Walks]])</f>
        <v>0.1900709219858156</v>
      </c>
      <c r="W4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0.1729957805907173</v>
      </c>
      <c r="X4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0.4047287899860918</v>
      </c>
      <c r="Y4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0.47448979591836737</v>
      </c>
      <c r="Z46" s="6">
        <f>Cleaned_MLB_Stats_Dataset__1[[#This Row],[On Base Percentage]]+Cleaned_MLB_Stats_Dataset__1[[#This Row],[Slugging %]]</f>
        <v>0.87921858590445923</v>
      </c>
      <c r="AA46" s="6">
        <f>Cleaned_MLB_Stats_Dataset__1[[#This Row],[Slugging %]]-Cleaned_MLB_Stats_Dataset__1[[#This Row],[Batting Average]]</f>
        <v>0.18877551020408168</v>
      </c>
      <c r="AB46" s="6">
        <f>Cleaned_MLB_Stats_Dataset__1[[#This Row],[Batting Average]]-_xlfn.XLOOKUP(Cleaned_MLB_Stats_Dataset__1[[#This Row],[Year]],'League Averages'!$A$3:$A$23,'League Averages'!$B$3:$B$23)</f>
        <v>2.1714285714285686E-2</v>
      </c>
      <c r="AC46" s="6">
        <f>Cleaned_MLB_Stats_Dataset__1[[#This Row],[On Base Percentage]]-_xlfn.XLOOKUP(Cleaned_MLB_Stats_Dataset__1[[#This Row],[Year]],'League Averages'!$A$3:$A$23,'League Averages'!$C$3:$C$23)</f>
        <v>7.4728789986091781E-2</v>
      </c>
      <c r="AD46" s="6">
        <f>Cleaned_MLB_Stats_Dataset__1[[#This Row],[Slugging %]]-_xlfn.XLOOKUP(Cleaned_MLB_Stats_Dataset__1[[#This Row],[Year]],'League Averages'!$A$3:$A$23,'League Averages'!$D$3:$D$23)</f>
        <v>5.5489795918367391E-2</v>
      </c>
      <c r="AE46" s="6">
        <f>Cleaned_MLB_Stats_Dataset__1[[#This Row],[OPS (On Base + Slugging)]]-_xlfn.XLOOKUP(Cleaned_MLB_Stats_Dataset__1[[#This Row],[Year]],'League Averages'!$A$3:$A$23,'League Averages'!$E$3:$E$23)</f>
        <v>0.13021858590445923</v>
      </c>
      <c r="AF46" s="6">
        <f>Cleaned_MLB_Stats_Dataset__1[[#This Row],[ISO (Isolated Power]]-_xlfn.XLOOKUP(Cleaned_MLB_Stats_Dataset__1[[#This Row],[Year]],'League Averages'!$A$3:$A$23,'League Averages'!$F$3:$F$23)</f>
        <v>3.3775510204081677E-2</v>
      </c>
    </row>
    <row r="47" spans="1:32" x14ac:dyDescent="0.2">
      <c r="A47" t="s">
        <v>310</v>
      </c>
      <c r="B47">
        <v>2004</v>
      </c>
      <c r="C47" t="s">
        <v>213</v>
      </c>
      <c r="D47" t="s">
        <v>6</v>
      </c>
      <c r="E47" t="s">
        <v>90</v>
      </c>
      <c r="F47" t="str">
        <f>_xlfn.XLOOKUP(Cleaned_MLB_Stats_Dataset__1[[#This Row],[Position'#]],$B$373:$B$382,$A$373:$A$382)</f>
        <v>2B</v>
      </c>
      <c r="G47">
        <v>4</v>
      </c>
      <c r="H47">
        <v>608</v>
      </c>
      <c r="I47">
        <v>170</v>
      </c>
      <c r="J47">
        <v>32</v>
      </c>
      <c r="K47">
        <v>4</v>
      </c>
      <c r="L47">
        <v>28</v>
      </c>
      <c r="M47">
        <v>77</v>
      </c>
      <c r="N47">
        <v>91</v>
      </c>
      <c r="O47">
        <v>121</v>
      </c>
      <c r="P47">
        <v>33</v>
      </c>
      <c r="Q47">
        <v>4</v>
      </c>
      <c r="R47">
        <v>10</v>
      </c>
      <c r="S47">
        <v>7</v>
      </c>
      <c r="T47">
        <v>0</v>
      </c>
      <c r="U47" s="6">
        <f>Cleaned_MLB_Stats_Dataset__1[[#This Row],[Hits]]/Cleaned_MLB_Stats_Dataset__1[[#This Row],[At Bats]]</f>
        <v>0.27960526315789475</v>
      </c>
      <c r="V47" s="6">
        <f>Cleaned_MLB_Stats_Dataset__1[[#This Row],[Strikeouts]]/(Cleaned_MLB_Stats_Dataset__1[[#This Row],[At Bats]]+Cleaned_MLB_Stats_Dataset__1[[#This Row],[Walks]])</f>
        <v>0.18876755070202808</v>
      </c>
      <c r="W4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6.6052227342549924E-2</v>
      </c>
      <c r="X4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0.32370820668693007</v>
      </c>
      <c r="Y4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0.48355263157894735</v>
      </c>
      <c r="Z47" s="6">
        <f>Cleaned_MLB_Stats_Dataset__1[[#This Row],[On Base Percentage]]+Cleaned_MLB_Stats_Dataset__1[[#This Row],[Slugging %]]</f>
        <v>0.80726083826587747</v>
      </c>
      <c r="AA47" s="6">
        <f>Cleaned_MLB_Stats_Dataset__1[[#This Row],[Slugging %]]-Cleaned_MLB_Stats_Dataset__1[[#This Row],[Batting Average]]</f>
        <v>0.2039473684210526</v>
      </c>
      <c r="AB47" s="6">
        <f>Cleaned_MLB_Stats_Dataset__1[[#This Row],[Batting Average]]-_xlfn.XLOOKUP(Cleaned_MLB_Stats_Dataset__1[[#This Row],[Year]],'League Averages'!$A$3:$A$23,'League Averages'!$B$3:$B$23)</f>
        <v>1.3605263157894731E-2</v>
      </c>
      <c r="AC47" s="6">
        <f>Cleaned_MLB_Stats_Dataset__1[[#This Row],[On Base Percentage]]-_xlfn.XLOOKUP(Cleaned_MLB_Stats_Dataset__1[[#This Row],[Year]],'League Averages'!$A$3:$A$23,'League Averages'!$C$3:$C$23)</f>
        <v>-1.1291793313069953E-2</v>
      </c>
      <c r="AD47" s="6">
        <f>Cleaned_MLB_Stats_Dataset__1[[#This Row],[Slugging %]]-_xlfn.XLOOKUP(Cleaned_MLB_Stats_Dataset__1[[#This Row],[Year]],'League Averages'!$A$3:$A$23,'League Averages'!$D$3:$D$23)</f>
        <v>5.5552631578947353E-2</v>
      </c>
      <c r="AE47" s="6">
        <f>Cleaned_MLB_Stats_Dataset__1[[#This Row],[OPS (On Base + Slugging)]]-_xlfn.XLOOKUP(Cleaned_MLB_Stats_Dataset__1[[#This Row],[Year]],'League Averages'!$A$3:$A$23,'League Averages'!$E$3:$E$23)</f>
        <v>4.4260838265877456E-2</v>
      </c>
      <c r="AF47" s="6">
        <f>Cleaned_MLB_Stats_Dataset__1[[#This Row],[ISO (Isolated Power]]-_xlfn.XLOOKUP(Cleaned_MLB_Stats_Dataset__1[[#This Row],[Year]],'League Averages'!$A$3:$A$23,'League Averages'!$F$3:$F$23)</f>
        <v>4.1947368421052594E-2</v>
      </c>
    </row>
    <row r="48" spans="1:32" x14ac:dyDescent="0.2">
      <c r="A48" t="s">
        <v>310</v>
      </c>
      <c r="B48">
        <v>2007</v>
      </c>
      <c r="C48" t="s">
        <v>155</v>
      </c>
      <c r="D48" t="s">
        <v>6</v>
      </c>
      <c r="E48" t="s">
        <v>67</v>
      </c>
      <c r="F48" t="str">
        <f>_xlfn.XLOOKUP(Cleaned_MLB_Stats_Dataset__1[[#This Row],[Position'#]],$B$373:$B$382,$A$373:$A$382)</f>
        <v>C</v>
      </c>
      <c r="G48">
        <v>2</v>
      </c>
      <c r="H48">
        <v>502</v>
      </c>
      <c r="I48">
        <v>141</v>
      </c>
      <c r="J48">
        <v>31</v>
      </c>
      <c r="K48">
        <v>3</v>
      </c>
      <c r="L48">
        <v>11</v>
      </c>
      <c r="M48">
        <v>50</v>
      </c>
      <c r="N48">
        <v>63</v>
      </c>
      <c r="O48">
        <v>96</v>
      </c>
      <c r="P48">
        <v>9</v>
      </c>
      <c r="Q48">
        <v>1</v>
      </c>
      <c r="R48">
        <v>1</v>
      </c>
      <c r="S48">
        <v>2</v>
      </c>
      <c r="T48">
        <v>1</v>
      </c>
      <c r="U48" s="6">
        <f>Cleaned_MLB_Stats_Dataset__1[[#This Row],[Hits]]/Cleaned_MLB_Stats_Dataset__1[[#This Row],[At Bats]]</f>
        <v>0.28087649402390436</v>
      </c>
      <c r="V48" s="6">
        <f>Cleaned_MLB_Stats_Dataset__1[[#This Row],[Strikeouts]]/(Cleaned_MLB_Stats_Dataset__1[[#This Row],[At Bats]]+Cleaned_MLB_Stats_Dataset__1[[#This Row],[Walks]])</f>
        <v>0.18786692759295498</v>
      </c>
      <c r="W4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1.953125E-2</v>
      </c>
      <c r="X4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0.29377431906614787</v>
      </c>
      <c r="Y4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0.42031872509960161</v>
      </c>
      <c r="Z48" s="6">
        <f>Cleaned_MLB_Stats_Dataset__1[[#This Row],[On Base Percentage]]+Cleaned_MLB_Stats_Dataset__1[[#This Row],[Slugging %]]</f>
        <v>0.71409304416574948</v>
      </c>
      <c r="AA48" s="6">
        <f>Cleaned_MLB_Stats_Dataset__1[[#This Row],[Slugging %]]-Cleaned_MLB_Stats_Dataset__1[[#This Row],[Batting Average]]</f>
        <v>0.13944223107569725</v>
      </c>
      <c r="AB48" s="6">
        <f>Cleaned_MLB_Stats_Dataset__1[[#This Row],[Batting Average]]-_xlfn.XLOOKUP(Cleaned_MLB_Stats_Dataset__1[[#This Row],[Year]],'League Averages'!$A$3:$A$23,'League Averages'!$B$3:$B$23)</f>
        <v>1.2876494023904339E-2</v>
      </c>
      <c r="AC48" s="6">
        <f>Cleaned_MLB_Stats_Dataset__1[[#This Row],[On Base Percentage]]-_xlfn.XLOOKUP(Cleaned_MLB_Stats_Dataset__1[[#This Row],[Year]],'League Averages'!$A$3:$A$23,'League Averages'!$C$3:$C$23)</f>
        <v>-4.222568093385215E-2</v>
      </c>
      <c r="AD48" s="6">
        <f>Cleaned_MLB_Stats_Dataset__1[[#This Row],[Slugging %]]-_xlfn.XLOOKUP(Cleaned_MLB_Stats_Dataset__1[[#This Row],[Year]],'League Averages'!$A$3:$A$23,'League Averages'!$D$3:$D$23)</f>
        <v>-2.6812749003983782E-3</v>
      </c>
      <c r="AE48" s="6">
        <f>Cleaned_MLB_Stats_Dataset__1[[#This Row],[OPS (On Base + Slugging)]]-_xlfn.XLOOKUP(Cleaned_MLB_Stats_Dataset__1[[#This Row],[Year]],'League Averages'!$A$3:$A$23,'League Averages'!$E$3:$E$23)</f>
        <v>-4.3906955834250527E-2</v>
      </c>
      <c r="AF48" s="6">
        <f>Cleaned_MLB_Stats_Dataset__1[[#This Row],[ISO (Isolated Power]]-_xlfn.XLOOKUP(Cleaned_MLB_Stats_Dataset__1[[#This Row],[Year]],'League Averages'!$A$3:$A$23,'League Averages'!$F$3:$F$23)</f>
        <v>-1.5557768924302745E-2</v>
      </c>
    </row>
    <row r="49" spans="1:32" x14ac:dyDescent="0.2">
      <c r="A49" t="s">
        <v>310</v>
      </c>
      <c r="B49">
        <v>2005</v>
      </c>
      <c r="C49" t="s">
        <v>171</v>
      </c>
      <c r="D49" t="s">
        <v>6</v>
      </c>
      <c r="E49" t="s">
        <v>68</v>
      </c>
      <c r="F49" t="str">
        <f>_xlfn.XLOOKUP(Cleaned_MLB_Stats_Dataset__1[[#This Row],[Position'#]],$B$373:$B$382,$A$373:$A$382)</f>
        <v>LF</v>
      </c>
      <c r="G49">
        <v>7</v>
      </c>
      <c r="H49">
        <v>554</v>
      </c>
      <c r="I49">
        <v>162</v>
      </c>
      <c r="J49">
        <v>30</v>
      </c>
      <c r="K49">
        <v>1</v>
      </c>
      <c r="L49">
        <v>45</v>
      </c>
      <c r="M49">
        <v>112</v>
      </c>
      <c r="N49">
        <v>144</v>
      </c>
      <c r="O49">
        <v>119</v>
      </c>
      <c r="P49">
        <v>80</v>
      </c>
      <c r="Q49">
        <v>9</v>
      </c>
      <c r="R49">
        <v>10</v>
      </c>
      <c r="S49">
        <v>6</v>
      </c>
      <c r="T49">
        <v>0</v>
      </c>
      <c r="U49" s="6">
        <f>Cleaned_MLB_Stats_Dataset__1[[#This Row],[Hits]]/Cleaned_MLB_Stats_Dataset__1[[#This Row],[At Bats]]</f>
        <v>0.29241877256317689</v>
      </c>
      <c r="V49" s="6">
        <f>Cleaned_MLB_Stats_Dataset__1[[#This Row],[Strikeouts]]/(Cleaned_MLB_Stats_Dataset__1[[#This Row],[At Bats]]+Cleaned_MLB_Stats_Dataset__1[[#This Row],[Walks]])</f>
        <v>0.18769716088328076</v>
      </c>
      <c r="W4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0.13975155279503104</v>
      </c>
      <c r="X4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0.38769230769230767</v>
      </c>
      <c r="Y4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0.59386281588447654</v>
      </c>
      <c r="Z49" s="6">
        <f>Cleaned_MLB_Stats_Dataset__1[[#This Row],[On Base Percentage]]+Cleaned_MLB_Stats_Dataset__1[[#This Row],[Slugging %]]</f>
        <v>0.98155512357678421</v>
      </c>
      <c r="AA49" s="6">
        <f>Cleaned_MLB_Stats_Dataset__1[[#This Row],[Slugging %]]-Cleaned_MLB_Stats_Dataset__1[[#This Row],[Batting Average]]</f>
        <v>0.30144404332129965</v>
      </c>
      <c r="AB49" s="6">
        <f>Cleaned_MLB_Stats_Dataset__1[[#This Row],[Batting Average]]-_xlfn.XLOOKUP(Cleaned_MLB_Stats_Dataset__1[[#This Row],[Year]],'League Averages'!$A$3:$A$23,'League Averages'!$B$3:$B$23)</f>
        <v>2.8418772563176875E-2</v>
      </c>
      <c r="AC49" s="6">
        <f>Cleaned_MLB_Stats_Dataset__1[[#This Row],[On Base Percentage]]-_xlfn.XLOOKUP(Cleaned_MLB_Stats_Dataset__1[[#This Row],[Year]],'League Averages'!$A$3:$A$23,'League Averages'!$C$3:$C$23)</f>
        <v>5.7692307692307654E-2</v>
      </c>
      <c r="AD49" s="6">
        <f>Cleaned_MLB_Stats_Dataset__1[[#This Row],[Slugging %]]-_xlfn.XLOOKUP(Cleaned_MLB_Stats_Dataset__1[[#This Row],[Year]],'League Averages'!$A$3:$A$23,'League Averages'!$D$3:$D$23)</f>
        <v>0.17486281588447655</v>
      </c>
      <c r="AE49" s="6">
        <f>Cleaned_MLB_Stats_Dataset__1[[#This Row],[OPS (On Base + Slugging)]]-_xlfn.XLOOKUP(Cleaned_MLB_Stats_Dataset__1[[#This Row],[Year]],'League Averages'!$A$3:$A$23,'League Averages'!$E$3:$E$23)</f>
        <v>0.23255512357678421</v>
      </c>
      <c r="AF49" s="6">
        <f>Cleaned_MLB_Stats_Dataset__1[[#This Row],[ISO (Isolated Power]]-_xlfn.XLOOKUP(Cleaned_MLB_Stats_Dataset__1[[#This Row],[Year]],'League Averages'!$A$3:$A$23,'League Averages'!$F$3:$F$23)</f>
        <v>0.14644404332129965</v>
      </c>
    </row>
    <row r="50" spans="1:32" x14ac:dyDescent="0.2">
      <c r="A50" t="s">
        <v>310</v>
      </c>
      <c r="B50">
        <v>2013</v>
      </c>
      <c r="C50" t="s">
        <v>222</v>
      </c>
      <c r="D50" t="s">
        <v>3</v>
      </c>
      <c r="E50" t="s">
        <v>164</v>
      </c>
      <c r="F50" t="str">
        <f>_xlfn.XLOOKUP(Cleaned_MLB_Stats_Dataset__1[[#This Row],[Position'#]],$B$373:$B$382,$A$373:$A$382)</f>
        <v>DH</v>
      </c>
      <c r="G50">
        <v>10</v>
      </c>
      <c r="H50">
        <v>489</v>
      </c>
      <c r="I50">
        <v>162</v>
      </c>
      <c r="J50">
        <v>31</v>
      </c>
      <c r="K50">
        <v>3</v>
      </c>
      <c r="L50">
        <v>20</v>
      </c>
      <c r="M50">
        <v>74</v>
      </c>
      <c r="N50">
        <v>84</v>
      </c>
      <c r="O50">
        <v>100</v>
      </c>
      <c r="P50">
        <v>46</v>
      </c>
      <c r="Q50">
        <v>5</v>
      </c>
      <c r="R50">
        <v>2</v>
      </c>
      <c r="S50">
        <v>3</v>
      </c>
      <c r="T50">
        <v>0</v>
      </c>
      <c r="U50" s="6">
        <f>Cleaned_MLB_Stats_Dataset__1[[#This Row],[Hits]]/Cleaned_MLB_Stats_Dataset__1[[#This Row],[At Bats]]</f>
        <v>0.33128834355828218</v>
      </c>
      <c r="V50" s="6">
        <f>Cleaned_MLB_Stats_Dataset__1[[#This Row],[Strikeouts]]/(Cleaned_MLB_Stats_Dataset__1[[#This Row],[At Bats]]+Cleaned_MLB_Stats_Dataset__1[[#This Row],[Walks]])</f>
        <v>0.18691588785046728</v>
      </c>
      <c r="W5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8.9385474860335198E-2</v>
      </c>
      <c r="X5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0.3888888888888889</v>
      </c>
      <c r="Y5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0.52965235173824132</v>
      </c>
      <c r="Z50" s="6">
        <f>Cleaned_MLB_Stats_Dataset__1[[#This Row],[On Base Percentage]]+Cleaned_MLB_Stats_Dataset__1[[#This Row],[Slugging %]]</f>
        <v>0.91854124062713027</v>
      </c>
      <c r="AA50" s="6">
        <f>Cleaned_MLB_Stats_Dataset__1[[#This Row],[Slugging %]]-Cleaned_MLB_Stats_Dataset__1[[#This Row],[Batting Average]]</f>
        <v>0.19836400817995914</v>
      </c>
      <c r="AB50" s="6">
        <f>Cleaned_MLB_Stats_Dataset__1[[#This Row],[Batting Average]]-_xlfn.XLOOKUP(Cleaned_MLB_Stats_Dataset__1[[#This Row],[Year]],'League Averages'!$A$3:$A$23,'League Averages'!$B$3:$B$23)</f>
        <v>7.8288343558282181E-2</v>
      </c>
      <c r="AC50" s="6">
        <f>Cleaned_MLB_Stats_Dataset__1[[#This Row],[On Base Percentage]]-_xlfn.XLOOKUP(Cleaned_MLB_Stats_Dataset__1[[#This Row],[Year]],'League Averages'!$A$3:$A$23,'League Averages'!$C$3:$C$23)</f>
        <v>7.088888888888889E-2</v>
      </c>
      <c r="AD50" s="6">
        <f>Cleaned_MLB_Stats_Dataset__1[[#This Row],[Slugging %]]-_xlfn.XLOOKUP(Cleaned_MLB_Stats_Dataset__1[[#This Row],[Year]],'League Averages'!$A$3:$A$23,'League Averages'!$D$3:$D$23)</f>
        <v>0.1336523517382413</v>
      </c>
      <c r="AE50" s="6">
        <f>Cleaned_MLB_Stats_Dataset__1[[#This Row],[OPS (On Base + Slugging)]]-_xlfn.XLOOKUP(Cleaned_MLB_Stats_Dataset__1[[#This Row],[Year]],'League Averages'!$A$3:$A$23,'League Averages'!$E$3:$E$23)</f>
        <v>0.20454124062713031</v>
      </c>
      <c r="AF50" s="6">
        <f>Cleaned_MLB_Stats_Dataset__1[[#This Row],[ISO (Isolated Power]]-_xlfn.XLOOKUP(Cleaned_MLB_Stats_Dataset__1[[#This Row],[Year]],'League Averages'!$A$3:$A$23,'League Averages'!$F$3:$F$23)</f>
        <v>5.5364008179959151E-2</v>
      </c>
    </row>
    <row r="51" spans="1:32" x14ac:dyDescent="0.2">
      <c r="A51" t="s">
        <v>310</v>
      </c>
      <c r="B51">
        <v>2011</v>
      </c>
      <c r="C51" t="s">
        <v>249</v>
      </c>
      <c r="D51" t="s">
        <v>3</v>
      </c>
      <c r="E51" t="s">
        <v>60</v>
      </c>
      <c r="F51" t="str">
        <f>_xlfn.XLOOKUP(Cleaned_MLB_Stats_Dataset__1[[#This Row],[Position'#]],$B$373:$B$382,$A$373:$A$382)</f>
        <v>LF</v>
      </c>
      <c r="G51">
        <v>7</v>
      </c>
      <c r="H51">
        <v>446</v>
      </c>
      <c r="I51">
        <v>132</v>
      </c>
      <c r="J51">
        <v>36</v>
      </c>
      <c r="K51">
        <v>0</v>
      </c>
      <c r="L51">
        <v>22</v>
      </c>
      <c r="M51">
        <v>83</v>
      </c>
      <c r="N51">
        <v>75</v>
      </c>
      <c r="O51">
        <v>93</v>
      </c>
      <c r="P51">
        <v>60</v>
      </c>
      <c r="Q51">
        <v>4</v>
      </c>
      <c r="R51">
        <v>8</v>
      </c>
      <c r="S51">
        <v>2</v>
      </c>
      <c r="T51">
        <v>0</v>
      </c>
      <c r="U51" s="6">
        <f>Cleaned_MLB_Stats_Dataset__1[[#This Row],[Hits]]/Cleaned_MLB_Stats_Dataset__1[[#This Row],[At Bats]]</f>
        <v>0.29596412556053814</v>
      </c>
      <c r="V51" s="6">
        <f>Cleaned_MLB_Stats_Dataset__1[[#This Row],[Strikeouts]]/(Cleaned_MLB_Stats_Dataset__1[[#This Row],[At Bats]]+Cleaned_MLB_Stats_Dataset__1[[#This Row],[Walks]])</f>
        <v>0.18379446640316205</v>
      </c>
      <c r="W5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0.13229571984435798</v>
      </c>
      <c r="X5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0.38759689922480622</v>
      </c>
      <c r="Y5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0.5246636771300448</v>
      </c>
      <c r="Z51" s="6">
        <f>Cleaned_MLB_Stats_Dataset__1[[#This Row],[On Base Percentage]]+Cleaned_MLB_Stats_Dataset__1[[#This Row],[Slugging %]]</f>
        <v>0.91226057635485103</v>
      </c>
      <c r="AA51" s="6">
        <f>Cleaned_MLB_Stats_Dataset__1[[#This Row],[Slugging %]]-Cleaned_MLB_Stats_Dataset__1[[#This Row],[Batting Average]]</f>
        <v>0.22869955156950666</v>
      </c>
      <c r="AB51" s="6">
        <f>Cleaned_MLB_Stats_Dataset__1[[#This Row],[Batting Average]]-_xlfn.XLOOKUP(Cleaned_MLB_Stats_Dataset__1[[#This Row],[Year]],'League Averages'!$A$3:$A$23,'League Averages'!$B$3:$B$23)</f>
        <v>4.0964125560538134E-2</v>
      </c>
      <c r="AC51" s="6">
        <f>Cleaned_MLB_Stats_Dataset__1[[#This Row],[On Base Percentage]]-_xlfn.XLOOKUP(Cleaned_MLB_Stats_Dataset__1[[#This Row],[Year]],'League Averages'!$A$3:$A$23,'League Averages'!$C$3:$C$23)</f>
        <v>6.6596899224806216E-2</v>
      </c>
      <c r="AD51" s="6">
        <f>Cleaned_MLB_Stats_Dataset__1[[#This Row],[Slugging %]]-_xlfn.XLOOKUP(Cleaned_MLB_Stats_Dataset__1[[#This Row],[Year]],'League Averages'!$A$3:$A$23,'League Averages'!$D$3:$D$23)</f>
        <v>0.12566367713004478</v>
      </c>
      <c r="AE51" s="6">
        <f>Cleaned_MLB_Stats_Dataset__1[[#This Row],[OPS (On Base + Slugging)]]-_xlfn.XLOOKUP(Cleaned_MLB_Stats_Dataset__1[[#This Row],[Year]],'League Averages'!$A$3:$A$23,'League Averages'!$E$3:$E$23)</f>
        <v>0.19226057635485105</v>
      </c>
      <c r="AF51" s="6">
        <f>Cleaned_MLB_Stats_Dataset__1[[#This Row],[ISO (Isolated Power]]-_xlfn.XLOOKUP(Cleaned_MLB_Stats_Dataset__1[[#This Row],[Year]],'League Averages'!$A$3:$A$23,'League Averages'!$F$3:$F$23)</f>
        <v>8.4699551569506676E-2</v>
      </c>
    </row>
    <row r="52" spans="1:32" x14ac:dyDescent="0.2">
      <c r="A52" t="s">
        <v>310</v>
      </c>
      <c r="B52">
        <v>2003</v>
      </c>
      <c r="C52" t="s">
        <v>161</v>
      </c>
      <c r="D52" t="s">
        <v>3</v>
      </c>
      <c r="E52" t="s">
        <v>85</v>
      </c>
      <c r="F52" t="str">
        <f>_xlfn.XLOOKUP(Cleaned_MLB_Stats_Dataset__1[[#This Row],[Position'#]],$B$373:$B$382,$A$373:$A$382)</f>
        <v>C</v>
      </c>
      <c r="G52">
        <v>2</v>
      </c>
      <c r="H52">
        <v>457</v>
      </c>
      <c r="I52">
        <v>150</v>
      </c>
      <c r="J52">
        <v>29</v>
      </c>
      <c r="K52">
        <v>3</v>
      </c>
      <c r="L52">
        <v>43</v>
      </c>
      <c r="M52">
        <v>89</v>
      </c>
      <c r="N52">
        <v>109</v>
      </c>
      <c r="O52">
        <v>90</v>
      </c>
      <c r="P52">
        <v>33</v>
      </c>
      <c r="Q52">
        <v>5</v>
      </c>
      <c r="R52">
        <v>4</v>
      </c>
      <c r="S52">
        <v>1</v>
      </c>
      <c r="T52">
        <v>0</v>
      </c>
      <c r="U52" s="6">
        <f>Cleaned_MLB_Stats_Dataset__1[[#This Row],[Hits]]/Cleaned_MLB_Stats_Dataset__1[[#This Row],[At Bats]]</f>
        <v>0.32822757111597373</v>
      </c>
      <c r="V52" s="6">
        <f>Cleaned_MLB_Stats_Dataset__1[[#This Row],[Strikeouts]]/(Cleaned_MLB_Stats_Dataset__1[[#This Row],[At Bats]]+Cleaned_MLB_Stats_Dataset__1[[#This Row],[Walks]])</f>
        <v>0.18367346938775511</v>
      </c>
      <c r="W5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7.4898785425101214E-2</v>
      </c>
      <c r="X5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0.37777777777777777</v>
      </c>
      <c r="Y5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0.68708971553610498</v>
      </c>
      <c r="Z52" s="6">
        <f>Cleaned_MLB_Stats_Dataset__1[[#This Row],[On Base Percentage]]+Cleaned_MLB_Stats_Dataset__1[[#This Row],[Slugging %]]</f>
        <v>1.0648674933138826</v>
      </c>
      <c r="AA52" s="6">
        <f>Cleaned_MLB_Stats_Dataset__1[[#This Row],[Slugging %]]-Cleaned_MLB_Stats_Dataset__1[[#This Row],[Batting Average]]</f>
        <v>0.35886214442013126</v>
      </c>
      <c r="AB52" s="6">
        <f>Cleaned_MLB_Stats_Dataset__1[[#This Row],[Batting Average]]-_xlfn.XLOOKUP(Cleaned_MLB_Stats_Dataset__1[[#This Row],[Year]],'League Averages'!$A$3:$A$23,'League Averages'!$B$3:$B$23)</f>
        <v>6.4227571115973714E-2</v>
      </c>
      <c r="AC52" s="6">
        <f>Cleaned_MLB_Stats_Dataset__1[[#This Row],[On Base Percentage]]-_xlfn.XLOOKUP(Cleaned_MLB_Stats_Dataset__1[[#This Row],[Year]],'League Averages'!$A$3:$A$23,'League Averages'!$C$3:$C$23)</f>
        <v>4.477777777777775E-2</v>
      </c>
      <c r="AD52" s="6">
        <f>Cleaned_MLB_Stats_Dataset__1[[#This Row],[Slugging %]]-_xlfn.XLOOKUP(Cleaned_MLB_Stats_Dataset__1[[#This Row],[Year]],'League Averages'!$A$3:$A$23,'League Averages'!$D$3:$D$23)</f>
        <v>0.265089715536105</v>
      </c>
      <c r="AE52" s="6">
        <f>Cleaned_MLB_Stats_Dataset__1[[#This Row],[OPS (On Base + Slugging)]]-_xlfn.XLOOKUP(Cleaned_MLB_Stats_Dataset__1[[#This Row],[Year]],'League Averages'!$A$3:$A$23,'League Averages'!$E$3:$E$23)</f>
        <v>0.30986749331388264</v>
      </c>
      <c r="AF52" s="6">
        <f>Cleaned_MLB_Stats_Dataset__1[[#This Row],[ISO (Isolated Power]]-_xlfn.XLOOKUP(Cleaned_MLB_Stats_Dataset__1[[#This Row],[Year]],'League Averages'!$A$3:$A$23,'League Averages'!$F$3:$F$23)</f>
        <v>0.20086214442013126</v>
      </c>
    </row>
    <row r="53" spans="1:32" x14ac:dyDescent="0.2">
      <c r="A53" t="s">
        <v>310</v>
      </c>
      <c r="B53">
        <v>2011</v>
      </c>
      <c r="C53" t="s">
        <v>277</v>
      </c>
      <c r="D53" t="s">
        <v>6</v>
      </c>
      <c r="E53" t="s">
        <v>66</v>
      </c>
      <c r="F53" t="str">
        <f>_xlfn.XLOOKUP(Cleaned_MLB_Stats_Dataset__1[[#This Row],[Position'#]],$B$373:$B$382,$A$373:$A$382)</f>
        <v>SS</v>
      </c>
      <c r="G53">
        <v>6</v>
      </c>
      <c r="H53">
        <v>604</v>
      </c>
      <c r="I53">
        <v>165</v>
      </c>
      <c r="J53">
        <v>32</v>
      </c>
      <c r="K53">
        <v>3</v>
      </c>
      <c r="L53">
        <v>25</v>
      </c>
      <c r="M53">
        <v>87</v>
      </c>
      <c r="N53">
        <v>92</v>
      </c>
      <c r="O53">
        <v>119</v>
      </c>
      <c r="P53">
        <v>44</v>
      </c>
      <c r="Q53">
        <v>5</v>
      </c>
      <c r="R53">
        <v>11</v>
      </c>
      <c r="S53">
        <v>4</v>
      </c>
      <c r="T53">
        <v>4</v>
      </c>
      <c r="U53" s="6">
        <f>Cleaned_MLB_Stats_Dataset__1[[#This Row],[Hits]]/Cleaned_MLB_Stats_Dataset__1[[#This Row],[At Bats]]</f>
        <v>0.27317880794701987</v>
      </c>
      <c r="V53" s="6">
        <f>Cleaned_MLB_Stats_Dataset__1[[#This Row],[Strikeouts]]/(Cleaned_MLB_Stats_Dataset__1[[#This Row],[At Bats]]+Cleaned_MLB_Stats_Dataset__1[[#This Row],[Walks]])</f>
        <v>0.18364197530864199</v>
      </c>
      <c r="W5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8.3459787556904405E-2</v>
      </c>
      <c r="X5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0.33182503770739064</v>
      </c>
      <c r="Y5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0.46026490066225167</v>
      </c>
      <c r="Z53" s="6">
        <f>Cleaned_MLB_Stats_Dataset__1[[#This Row],[On Base Percentage]]+Cleaned_MLB_Stats_Dataset__1[[#This Row],[Slugging %]]</f>
        <v>0.79208993836964225</v>
      </c>
      <c r="AA53" s="6">
        <f>Cleaned_MLB_Stats_Dataset__1[[#This Row],[Slugging %]]-Cleaned_MLB_Stats_Dataset__1[[#This Row],[Batting Average]]</f>
        <v>0.1870860927152318</v>
      </c>
      <c r="AB53" s="6">
        <f>Cleaned_MLB_Stats_Dataset__1[[#This Row],[Batting Average]]-_xlfn.XLOOKUP(Cleaned_MLB_Stats_Dataset__1[[#This Row],[Year]],'League Averages'!$A$3:$A$23,'League Averages'!$B$3:$B$23)</f>
        <v>1.817880794701987E-2</v>
      </c>
      <c r="AC53" s="6">
        <f>Cleaned_MLB_Stats_Dataset__1[[#This Row],[On Base Percentage]]-_xlfn.XLOOKUP(Cleaned_MLB_Stats_Dataset__1[[#This Row],[Year]],'League Averages'!$A$3:$A$23,'League Averages'!$C$3:$C$23)</f>
        <v>1.0825037707390628E-2</v>
      </c>
      <c r="AD53" s="6">
        <f>Cleaned_MLB_Stats_Dataset__1[[#This Row],[Slugging %]]-_xlfn.XLOOKUP(Cleaned_MLB_Stats_Dataset__1[[#This Row],[Year]],'League Averages'!$A$3:$A$23,'League Averages'!$D$3:$D$23)</f>
        <v>6.1264900662251653E-2</v>
      </c>
      <c r="AE53" s="6">
        <f>Cleaned_MLB_Stats_Dataset__1[[#This Row],[OPS (On Base + Slugging)]]-_xlfn.XLOOKUP(Cleaned_MLB_Stats_Dataset__1[[#This Row],[Year]],'League Averages'!$A$3:$A$23,'League Averages'!$E$3:$E$23)</f>
        <v>7.2089938369642281E-2</v>
      </c>
      <c r="AF53" s="6">
        <f>Cleaned_MLB_Stats_Dataset__1[[#This Row],[ISO (Isolated Power]]-_xlfn.XLOOKUP(Cleaned_MLB_Stats_Dataset__1[[#This Row],[Year]],'League Averages'!$A$3:$A$23,'League Averages'!$F$3:$F$23)</f>
        <v>4.3086092715231811E-2</v>
      </c>
    </row>
    <row r="54" spans="1:32" x14ac:dyDescent="0.2">
      <c r="A54" t="s">
        <v>310</v>
      </c>
      <c r="B54">
        <v>2008</v>
      </c>
      <c r="C54" t="s">
        <v>278</v>
      </c>
      <c r="D54" t="s">
        <v>6</v>
      </c>
      <c r="E54" t="s">
        <v>90</v>
      </c>
      <c r="F54" t="str">
        <f>_xlfn.XLOOKUP(Cleaned_MLB_Stats_Dataset__1[[#This Row],[Position'#]],$B$373:$B$382,$A$373:$A$382)</f>
        <v>CF</v>
      </c>
      <c r="G54">
        <v>8</v>
      </c>
      <c r="H54">
        <v>624</v>
      </c>
      <c r="I54">
        <v>190</v>
      </c>
      <c r="J54">
        <v>35</v>
      </c>
      <c r="K54">
        <v>5</v>
      </c>
      <c r="L54">
        <v>32</v>
      </c>
      <c r="M54">
        <v>98</v>
      </c>
      <c r="N54">
        <v>130</v>
      </c>
      <c r="O54">
        <v>126</v>
      </c>
      <c r="P54">
        <v>64</v>
      </c>
      <c r="Q54">
        <v>9</v>
      </c>
      <c r="R54">
        <v>7</v>
      </c>
      <c r="S54">
        <v>9</v>
      </c>
      <c r="T54">
        <v>0</v>
      </c>
      <c r="U54" s="6">
        <f>Cleaned_MLB_Stats_Dataset__1[[#This Row],[Hits]]/Cleaned_MLB_Stats_Dataset__1[[#This Row],[At Bats]]</f>
        <v>0.30448717948717946</v>
      </c>
      <c r="V54" s="6">
        <f>Cleaned_MLB_Stats_Dataset__1[[#This Row],[Strikeouts]]/(Cleaned_MLB_Stats_Dataset__1[[#This Row],[At Bats]]+Cleaned_MLB_Stats_Dataset__1[[#This Row],[Walks]])</f>
        <v>0.18313953488372092</v>
      </c>
      <c r="W5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0.10215827338129496</v>
      </c>
      <c r="X5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0.37073863636363635</v>
      </c>
      <c r="Y5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0.53044871794871795</v>
      </c>
      <c r="Z54" s="6">
        <f>Cleaned_MLB_Stats_Dataset__1[[#This Row],[On Base Percentage]]+Cleaned_MLB_Stats_Dataset__1[[#This Row],[Slugging %]]</f>
        <v>0.90118735431235431</v>
      </c>
      <c r="AA54" s="6">
        <f>Cleaned_MLB_Stats_Dataset__1[[#This Row],[Slugging %]]-Cleaned_MLB_Stats_Dataset__1[[#This Row],[Batting Average]]</f>
        <v>0.22596153846153849</v>
      </c>
      <c r="AB54" s="6">
        <f>Cleaned_MLB_Stats_Dataset__1[[#This Row],[Batting Average]]-_xlfn.XLOOKUP(Cleaned_MLB_Stats_Dataset__1[[#This Row],[Year]],'League Averages'!$A$3:$A$23,'League Averages'!$B$3:$B$23)</f>
        <v>4.0487179487179448E-2</v>
      </c>
      <c r="AC54" s="6">
        <f>Cleaned_MLB_Stats_Dataset__1[[#This Row],[On Base Percentage]]-_xlfn.XLOOKUP(Cleaned_MLB_Stats_Dataset__1[[#This Row],[Year]],'League Averages'!$A$3:$A$23,'League Averages'!$C$3:$C$23)</f>
        <v>3.7738636363636335E-2</v>
      </c>
      <c r="AD54" s="6">
        <f>Cleaned_MLB_Stats_Dataset__1[[#This Row],[Slugging %]]-_xlfn.XLOOKUP(Cleaned_MLB_Stats_Dataset__1[[#This Row],[Year]],'League Averages'!$A$3:$A$23,'League Averages'!$D$3:$D$23)</f>
        <v>0.11444871794871797</v>
      </c>
      <c r="AE54" s="6">
        <f>Cleaned_MLB_Stats_Dataset__1[[#This Row],[OPS (On Base + Slugging)]]-_xlfn.XLOOKUP(Cleaned_MLB_Stats_Dataset__1[[#This Row],[Year]],'League Averages'!$A$3:$A$23,'League Averages'!$E$3:$E$23)</f>
        <v>0.15218735431235431</v>
      </c>
      <c r="AF54" s="6">
        <f>Cleaned_MLB_Stats_Dataset__1[[#This Row],[ISO (Isolated Power]]-_xlfn.XLOOKUP(Cleaned_MLB_Stats_Dataset__1[[#This Row],[Year]],'League Averages'!$A$3:$A$23,'League Averages'!$F$3:$F$23)</f>
        <v>7.3961538461538495E-2</v>
      </c>
    </row>
    <row r="55" spans="1:32" x14ac:dyDescent="0.2">
      <c r="A55" t="s">
        <v>310</v>
      </c>
      <c r="B55">
        <v>2006</v>
      </c>
      <c r="C55" t="s">
        <v>241</v>
      </c>
      <c r="D55" t="s">
        <v>3</v>
      </c>
      <c r="E55" t="s">
        <v>29</v>
      </c>
      <c r="F55" t="str">
        <f>_xlfn.XLOOKUP(Cleaned_MLB_Stats_Dataset__1[[#This Row],[Position'#]],$B$373:$B$382,$A$373:$A$382)</f>
        <v>2B</v>
      </c>
      <c r="G55">
        <v>4</v>
      </c>
      <c r="H55">
        <v>658</v>
      </c>
      <c r="I55">
        <v>203</v>
      </c>
      <c r="J55">
        <v>40</v>
      </c>
      <c r="K55">
        <v>4</v>
      </c>
      <c r="L55">
        <v>32</v>
      </c>
      <c r="M55">
        <v>131</v>
      </c>
      <c r="N55">
        <v>102</v>
      </c>
      <c r="O55">
        <v>132</v>
      </c>
      <c r="P55">
        <v>63</v>
      </c>
      <c r="Q55">
        <v>1</v>
      </c>
      <c r="R55">
        <v>14</v>
      </c>
      <c r="S55">
        <v>4</v>
      </c>
      <c r="T55">
        <v>0</v>
      </c>
      <c r="U55" s="6">
        <f>Cleaned_MLB_Stats_Dataset__1[[#This Row],[Hits]]/Cleaned_MLB_Stats_Dataset__1[[#This Row],[At Bats]]</f>
        <v>0.30851063829787234</v>
      </c>
      <c r="V55" s="6">
        <f>Cleaned_MLB_Stats_Dataset__1[[#This Row],[Strikeouts]]/(Cleaned_MLB_Stats_Dataset__1[[#This Row],[At Bats]]+Cleaned_MLB_Stats_Dataset__1[[#This Row],[Walks]])</f>
        <v>0.18307905686546463</v>
      </c>
      <c r="W5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0.10476190476190476</v>
      </c>
      <c r="X5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0.37889039242219213</v>
      </c>
      <c r="Y5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0.52735562310030393</v>
      </c>
      <c r="Z55" s="6">
        <f>Cleaned_MLB_Stats_Dataset__1[[#This Row],[On Base Percentage]]+Cleaned_MLB_Stats_Dataset__1[[#This Row],[Slugging %]]</f>
        <v>0.90624601552249606</v>
      </c>
      <c r="AA55" s="6">
        <f>Cleaned_MLB_Stats_Dataset__1[[#This Row],[Slugging %]]-Cleaned_MLB_Stats_Dataset__1[[#This Row],[Batting Average]]</f>
        <v>0.21884498480243159</v>
      </c>
      <c r="AB55" s="6">
        <f>Cleaned_MLB_Stats_Dataset__1[[#This Row],[Batting Average]]-_xlfn.XLOOKUP(Cleaned_MLB_Stats_Dataset__1[[#This Row],[Year]],'League Averages'!$A$3:$A$23,'League Averages'!$B$3:$B$23)</f>
        <v>3.9510638297872325E-2</v>
      </c>
      <c r="AC55" s="6">
        <f>Cleaned_MLB_Stats_Dataset__1[[#This Row],[On Base Percentage]]-_xlfn.XLOOKUP(Cleaned_MLB_Stats_Dataset__1[[#This Row],[Year]],'League Averages'!$A$3:$A$23,'League Averages'!$C$3:$C$23)</f>
        <v>4.2890392422192114E-2</v>
      </c>
      <c r="AD55" s="6">
        <f>Cleaned_MLB_Stats_Dataset__1[[#This Row],[Slugging %]]-_xlfn.XLOOKUP(Cleaned_MLB_Stats_Dataset__1[[#This Row],[Year]],'League Averages'!$A$3:$A$23,'League Averages'!$D$3:$D$23)</f>
        <v>9.5355623100303932E-2</v>
      </c>
      <c r="AE55" s="6">
        <f>Cleaned_MLB_Stats_Dataset__1[[#This Row],[OPS (On Base + Slugging)]]-_xlfn.XLOOKUP(Cleaned_MLB_Stats_Dataset__1[[#This Row],[Year]],'League Averages'!$A$3:$A$23,'League Averages'!$E$3:$E$23)</f>
        <v>0.13824601552249605</v>
      </c>
      <c r="AF55" s="6">
        <f>Cleaned_MLB_Stats_Dataset__1[[#This Row],[ISO (Isolated Power]]-_xlfn.XLOOKUP(Cleaned_MLB_Stats_Dataset__1[[#This Row],[Year]],'League Averages'!$A$3:$A$23,'League Averages'!$F$3:$F$23)</f>
        <v>5.584498480243158E-2</v>
      </c>
    </row>
    <row r="56" spans="1:32" x14ac:dyDescent="0.2">
      <c r="A56" t="s">
        <v>310</v>
      </c>
      <c r="B56">
        <v>2007</v>
      </c>
      <c r="C56" t="s">
        <v>258</v>
      </c>
      <c r="D56" t="s">
        <v>3</v>
      </c>
      <c r="E56" t="s">
        <v>204</v>
      </c>
      <c r="F56" t="str">
        <f>_xlfn.XLOOKUP(Cleaned_MLB_Stats_Dataset__1[[#This Row],[Position'#]],$B$373:$B$382,$A$373:$A$382)</f>
        <v>1B</v>
      </c>
      <c r="G56">
        <v>3</v>
      </c>
      <c r="H56">
        <v>573</v>
      </c>
      <c r="I56">
        <v>165</v>
      </c>
      <c r="J56">
        <v>35</v>
      </c>
      <c r="K56">
        <v>2</v>
      </c>
      <c r="L56">
        <v>50</v>
      </c>
      <c r="M56">
        <v>109</v>
      </c>
      <c r="N56">
        <v>119</v>
      </c>
      <c r="O56">
        <v>121</v>
      </c>
      <c r="P56">
        <v>90</v>
      </c>
      <c r="Q56">
        <v>21</v>
      </c>
      <c r="R56">
        <v>14</v>
      </c>
      <c r="S56">
        <v>4</v>
      </c>
      <c r="T56">
        <v>0</v>
      </c>
      <c r="U56" s="6">
        <f>Cleaned_MLB_Stats_Dataset__1[[#This Row],[Hits]]/Cleaned_MLB_Stats_Dataset__1[[#This Row],[At Bats]]</f>
        <v>0.2879581151832461</v>
      </c>
      <c r="V56" s="6">
        <f>Cleaned_MLB_Stats_Dataset__1[[#This Row],[Strikeouts]]/(Cleaned_MLB_Stats_Dataset__1[[#This Row],[At Bats]]+Cleaned_MLB_Stats_Dataset__1[[#This Row],[Walks]])</f>
        <v>0.18250377073906485</v>
      </c>
      <c r="W5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0.15361890694239291</v>
      </c>
      <c r="X5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0.39500734214390604</v>
      </c>
      <c r="Y5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0.61780104712041883</v>
      </c>
      <c r="Z56" s="6">
        <f>Cleaned_MLB_Stats_Dataset__1[[#This Row],[On Base Percentage]]+Cleaned_MLB_Stats_Dataset__1[[#This Row],[Slugging %]]</f>
        <v>1.0128083892643249</v>
      </c>
      <c r="AA56" s="6">
        <f>Cleaned_MLB_Stats_Dataset__1[[#This Row],[Slugging %]]-Cleaned_MLB_Stats_Dataset__1[[#This Row],[Batting Average]]</f>
        <v>0.32984293193717273</v>
      </c>
      <c r="AB56" s="6">
        <f>Cleaned_MLB_Stats_Dataset__1[[#This Row],[Batting Average]]-_xlfn.XLOOKUP(Cleaned_MLB_Stats_Dataset__1[[#This Row],[Year]],'League Averages'!$A$3:$A$23,'League Averages'!$B$3:$B$23)</f>
        <v>1.9958115183246083E-2</v>
      </c>
      <c r="AC56" s="6">
        <f>Cleaned_MLB_Stats_Dataset__1[[#This Row],[On Base Percentage]]-_xlfn.XLOOKUP(Cleaned_MLB_Stats_Dataset__1[[#This Row],[Year]],'League Averages'!$A$3:$A$23,'League Averages'!$C$3:$C$23)</f>
        <v>5.9007342143906016E-2</v>
      </c>
      <c r="AD56" s="6">
        <f>Cleaned_MLB_Stats_Dataset__1[[#This Row],[Slugging %]]-_xlfn.XLOOKUP(Cleaned_MLB_Stats_Dataset__1[[#This Row],[Year]],'League Averages'!$A$3:$A$23,'League Averages'!$D$3:$D$23)</f>
        <v>0.19480104712041885</v>
      </c>
      <c r="AE56" s="6">
        <f>Cleaned_MLB_Stats_Dataset__1[[#This Row],[OPS (On Base + Slugging)]]-_xlfn.XLOOKUP(Cleaned_MLB_Stats_Dataset__1[[#This Row],[Year]],'League Averages'!$A$3:$A$23,'League Averages'!$E$3:$E$23)</f>
        <v>0.25480838926432492</v>
      </c>
      <c r="AF56" s="6">
        <f>Cleaned_MLB_Stats_Dataset__1[[#This Row],[ISO (Isolated Power]]-_xlfn.XLOOKUP(Cleaned_MLB_Stats_Dataset__1[[#This Row],[Year]],'League Averages'!$A$3:$A$23,'League Averages'!$F$3:$F$23)</f>
        <v>0.17484293193717274</v>
      </c>
    </row>
    <row r="57" spans="1:32" x14ac:dyDescent="0.2">
      <c r="A57" t="s">
        <v>310</v>
      </c>
      <c r="B57">
        <v>2012</v>
      </c>
      <c r="C57" t="s">
        <v>280</v>
      </c>
      <c r="D57" t="s">
        <v>3</v>
      </c>
      <c r="E57" t="s">
        <v>53</v>
      </c>
      <c r="F57" t="str">
        <f>_xlfn.XLOOKUP(Cleaned_MLB_Stats_Dataset__1[[#This Row],[Position'#]],$B$373:$B$382,$A$373:$A$382)</f>
        <v>1B</v>
      </c>
      <c r="G57">
        <v>3</v>
      </c>
      <c r="H57">
        <v>374</v>
      </c>
      <c r="I57">
        <v>126</v>
      </c>
      <c r="J57">
        <v>44</v>
      </c>
      <c r="K57">
        <v>0</v>
      </c>
      <c r="L57">
        <v>14</v>
      </c>
      <c r="M57">
        <v>59</v>
      </c>
      <c r="N57">
        <v>56</v>
      </c>
      <c r="O57">
        <v>85</v>
      </c>
      <c r="P57">
        <v>94</v>
      </c>
      <c r="Q57">
        <v>18</v>
      </c>
      <c r="R57">
        <v>5</v>
      </c>
      <c r="S57">
        <v>2</v>
      </c>
      <c r="T57">
        <v>0</v>
      </c>
      <c r="U57" s="6">
        <f>Cleaned_MLB_Stats_Dataset__1[[#This Row],[Hits]]/Cleaned_MLB_Stats_Dataset__1[[#This Row],[At Bats]]</f>
        <v>0.33689839572192515</v>
      </c>
      <c r="V57" s="6">
        <f>Cleaned_MLB_Stats_Dataset__1[[#This Row],[Strikeouts]]/(Cleaned_MLB_Stats_Dataset__1[[#This Row],[At Bats]]+Cleaned_MLB_Stats_Dataset__1[[#This Row],[Walks]])</f>
        <v>0.18162393162393162</v>
      </c>
      <c r="W5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0.20930232558139536</v>
      </c>
      <c r="X5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0.47368421052631576</v>
      </c>
      <c r="Y5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0.5668449197860963</v>
      </c>
      <c r="Z57" s="6">
        <f>Cleaned_MLB_Stats_Dataset__1[[#This Row],[On Base Percentage]]+Cleaned_MLB_Stats_Dataset__1[[#This Row],[Slugging %]]</f>
        <v>1.040529130312412</v>
      </c>
      <c r="AA57" s="6">
        <f>Cleaned_MLB_Stats_Dataset__1[[#This Row],[Slugging %]]-Cleaned_MLB_Stats_Dataset__1[[#This Row],[Batting Average]]</f>
        <v>0.22994652406417115</v>
      </c>
      <c r="AB57" s="6">
        <f>Cleaned_MLB_Stats_Dataset__1[[#This Row],[Batting Average]]-_xlfn.XLOOKUP(Cleaned_MLB_Stats_Dataset__1[[#This Row],[Year]],'League Averages'!$A$3:$A$23,'League Averages'!$B$3:$B$23)</f>
        <v>8.1898395721925143E-2</v>
      </c>
      <c r="AC57" s="6">
        <f>Cleaned_MLB_Stats_Dataset__1[[#This Row],[On Base Percentage]]-_xlfn.XLOOKUP(Cleaned_MLB_Stats_Dataset__1[[#This Row],[Year]],'League Averages'!$A$3:$A$23,'League Averages'!$C$3:$C$23)</f>
        <v>0.15468421052631576</v>
      </c>
      <c r="AD57" s="6">
        <f>Cleaned_MLB_Stats_Dataset__1[[#This Row],[Slugging %]]-_xlfn.XLOOKUP(Cleaned_MLB_Stats_Dataset__1[[#This Row],[Year]],'League Averages'!$A$3:$A$23,'League Averages'!$D$3:$D$23)</f>
        <v>0.16184491978609628</v>
      </c>
      <c r="AE57" s="6">
        <f>Cleaned_MLB_Stats_Dataset__1[[#This Row],[OPS (On Base + Slugging)]]-_xlfn.XLOOKUP(Cleaned_MLB_Stats_Dataset__1[[#This Row],[Year]],'League Averages'!$A$3:$A$23,'League Averages'!$E$3:$E$23)</f>
        <v>0.31652913031241203</v>
      </c>
      <c r="AF57" s="6">
        <f>Cleaned_MLB_Stats_Dataset__1[[#This Row],[ISO (Isolated Power]]-_xlfn.XLOOKUP(Cleaned_MLB_Stats_Dataset__1[[#This Row],[Year]],'League Averages'!$A$3:$A$23,'League Averages'!$F$3:$F$23)</f>
        <v>7.9946524064171159E-2</v>
      </c>
    </row>
    <row r="58" spans="1:32" x14ac:dyDescent="0.2">
      <c r="A58" t="s">
        <v>310</v>
      </c>
      <c r="B58">
        <v>2003</v>
      </c>
      <c r="C58" t="s">
        <v>173</v>
      </c>
      <c r="D58" t="s">
        <v>6</v>
      </c>
      <c r="E58" t="s">
        <v>90</v>
      </c>
      <c r="F58" t="str">
        <f>_xlfn.XLOOKUP(Cleaned_MLB_Stats_Dataset__1[[#This Row],[Position'#]],$B$373:$B$382,$A$373:$A$382)</f>
        <v>SS</v>
      </c>
      <c r="G58">
        <v>6</v>
      </c>
      <c r="H58">
        <v>607</v>
      </c>
      <c r="I58">
        <v>181</v>
      </c>
      <c r="J58">
        <v>30</v>
      </c>
      <c r="K58">
        <v>6</v>
      </c>
      <c r="L58">
        <v>47</v>
      </c>
      <c r="M58">
        <v>124</v>
      </c>
      <c r="N58">
        <v>118</v>
      </c>
      <c r="O58">
        <v>126</v>
      </c>
      <c r="P58">
        <v>87</v>
      </c>
      <c r="Q58">
        <v>10</v>
      </c>
      <c r="R58">
        <v>15</v>
      </c>
      <c r="S58">
        <v>6</v>
      </c>
      <c r="T58">
        <v>0</v>
      </c>
      <c r="U58" s="6">
        <f>Cleaned_MLB_Stats_Dataset__1[[#This Row],[Hits]]/Cleaned_MLB_Stats_Dataset__1[[#This Row],[At Bats]]</f>
        <v>0.29818780889621088</v>
      </c>
      <c r="V58" s="6">
        <f>Cleaned_MLB_Stats_Dataset__1[[#This Row],[Strikeouts]]/(Cleaned_MLB_Stats_Dataset__1[[#This Row],[At Bats]]+Cleaned_MLB_Stats_Dataset__1[[#This Row],[Walks]])</f>
        <v>0.18155619596541786</v>
      </c>
      <c r="W5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0.14386459802538787</v>
      </c>
      <c r="X5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0.39580419580419579</v>
      </c>
      <c r="Y5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0.59967051070840194</v>
      </c>
      <c r="Z58" s="6">
        <f>Cleaned_MLB_Stats_Dataset__1[[#This Row],[On Base Percentage]]+Cleaned_MLB_Stats_Dataset__1[[#This Row],[Slugging %]]</f>
        <v>0.99547470651259773</v>
      </c>
      <c r="AA58" s="6">
        <f>Cleaned_MLB_Stats_Dataset__1[[#This Row],[Slugging %]]-Cleaned_MLB_Stats_Dataset__1[[#This Row],[Batting Average]]</f>
        <v>0.30148270181219106</v>
      </c>
      <c r="AB58" s="6">
        <f>Cleaned_MLB_Stats_Dataset__1[[#This Row],[Batting Average]]-_xlfn.XLOOKUP(Cleaned_MLB_Stats_Dataset__1[[#This Row],[Year]],'League Averages'!$A$3:$A$23,'League Averages'!$B$3:$B$23)</f>
        <v>3.4187808896210869E-2</v>
      </c>
      <c r="AC58" s="6">
        <f>Cleaned_MLB_Stats_Dataset__1[[#This Row],[On Base Percentage]]-_xlfn.XLOOKUP(Cleaned_MLB_Stats_Dataset__1[[#This Row],[Year]],'League Averages'!$A$3:$A$23,'League Averages'!$C$3:$C$23)</f>
        <v>6.2804195804195773E-2</v>
      </c>
      <c r="AD58" s="6">
        <f>Cleaned_MLB_Stats_Dataset__1[[#This Row],[Slugging %]]-_xlfn.XLOOKUP(Cleaned_MLB_Stats_Dataset__1[[#This Row],[Year]],'League Averages'!$A$3:$A$23,'League Averages'!$D$3:$D$23)</f>
        <v>0.17767051070840195</v>
      </c>
      <c r="AE58" s="6">
        <f>Cleaned_MLB_Stats_Dataset__1[[#This Row],[OPS (On Base + Slugging)]]-_xlfn.XLOOKUP(Cleaned_MLB_Stats_Dataset__1[[#This Row],[Year]],'League Averages'!$A$3:$A$23,'League Averages'!$E$3:$E$23)</f>
        <v>0.24047470651259772</v>
      </c>
      <c r="AF58" s="6">
        <f>Cleaned_MLB_Stats_Dataset__1[[#This Row],[ISO (Isolated Power]]-_xlfn.XLOOKUP(Cleaned_MLB_Stats_Dataset__1[[#This Row],[Year]],'League Averages'!$A$3:$A$23,'League Averages'!$F$3:$F$23)</f>
        <v>0.14348270181219105</v>
      </c>
    </row>
    <row r="59" spans="1:32" x14ac:dyDescent="0.2">
      <c r="A59" t="s">
        <v>310</v>
      </c>
      <c r="B59">
        <v>2003</v>
      </c>
      <c r="C59" t="s">
        <v>213</v>
      </c>
      <c r="D59" t="s">
        <v>6</v>
      </c>
      <c r="E59" t="s">
        <v>71</v>
      </c>
      <c r="F59" t="str">
        <f>_xlfn.XLOOKUP(Cleaned_MLB_Stats_Dataset__1[[#This Row],[Position'#]],$B$373:$B$382,$A$373:$A$382)</f>
        <v>2B</v>
      </c>
      <c r="G59">
        <v>4</v>
      </c>
      <c r="H59">
        <v>682</v>
      </c>
      <c r="I59">
        <v>198</v>
      </c>
      <c r="J59">
        <v>36</v>
      </c>
      <c r="K59">
        <v>5</v>
      </c>
      <c r="L59">
        <v>38</v>
      </c>
      <c r="M59">
        <v>114</v>
      </c>
      <c r="N59">
        <v>91</v>
      </c>
      <c r="O59">
        <v>130</v>
      </c>
      <c r="P59">
        <v>38</v>
      </c>
      <c r="Q59">
        <v>7</v>
      </c>
      <c r="R59">
        <v>12</v>
      </c>
      <c r="S59">
        <v>2</v>
      </c>
      <c r="T59">
        <v>0</v>
      </c>
      <c r="U59" s="6">
        <f>Cleaned_MLB_Stats_Dataset__1[[#This Row],[Hits]]/Cleaned_MLB_Stats_Dataset__1[[#This Row],[At Bats]]</f>
        <v>0.29032258064516131</v>
      </c>
      <c r="V59" s="6">
        <f>Cleaned_MLB_Stats_Dataset__1[[#This Row],[Strikeouts]]/(Cleaned_MLB_Stats_Dataset__1[[#This Row],[At Bats]]+Cleaned_MLB_Stats_Dataset__1[[#This Row],[Walks]])</f>
        <v>0.18055555555555555</v>
      </c>
      <c r="W5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6.8306010928961755E-2</v>
      </c>
      <c r="X5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0.33787465940054495</v>
      </c>
      <c r="Y5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0.52492668621700878</v>
      </c>
      <c r="Z59" s="6">
        <f>Cleaned_MLB_Stats_Dataset__1[[#This Row],[On Base Percentage]]+Cleaned_MLB_Stats_Dataset__1[[#This Row],[Slugging %]]</f>
        <v>0.86280134561755373</v>
      </c>
      <c r="AA59" s="6">
        <f>Cleaned_MLB_Stats_Dataset__1[[#This Row],[Slugging %]]-Cleaned_MLB_Stats_Dataset__1[[#This Row],[Batting Average]]</f>
        <v>0.23460410557184747</v>
      </c>
      <c r="AB59" s="6">
        <f>Cleaned_MLB_Stats_Dataset__1[[#This Row],[Batting Average]]-_xlfn.XLOOKUP(Cleaned_MLB_Stats_Dataset__1[[#This Row],[Year]],'League Averages'!$A$3:$A$23,'League Averages'!$B$3:$B$23)</f>
        <v>2.6322580645161298E-2</v>
      </c>
      <c r="AC59" s="6">
        <f>Cleaned_MLB_Stats_Dataset__1[[#This Row],[On Base Percentage]]-_xlfn.XLOOKUP(Cleaned_MLB_Stats_Dataset__1[[#This Row],[Year]],'League Averages'!$A$3:$A$23,'League Averages'!$C$3:$C$23)</f>
        <v>4.874659400544934E-3</v>
      </c>
      <c r="AD59" s="6">
        <f>Cleaned_MLB_Stats_Dataset__1[[#This Row],[Slugging %]]-_xlfn.XLOOKUP(Cleaned_MLB_Stats_Dataset__1[[#This Row],[Year]],'League Averages'!$A$3:$A$23,'League Averages'!$D$3:$D$23)</f>
        <v>0.10292668621700879</v>
      </c>
      <c r="AE59" s="6">
        <f>Cleaned_MLB_Stats_Dataset__1[[#This Row],[OPS (On Base + Slugging)]]-_xlfn.XLOOKUP(Cleaned_MLB_Stats_Dataset__1[[#This Row],[Year]],'League Averages'!$A$3:$A$23,'League Averages'!$E$3:$E$23)</f>
        <v>0.10780134561755372</v>
      </c>
      <c r="AF59" s="6">
        <f>Cleaned_MLB_Stats_Dataset__1[[#This Row],[ISO (Isolated Power]]-_xlfn.XLOOKUP(Cleaned_MLB_Stats_Dataset__1[[#This Row],[Year]],'League Averages'!$A$3:$A$23,'League Averages'!$F$3:$F$23)</f>
        <v>7.6604105571847464E-2</v>
      </c>
    </row>
    <row r="60" spans="1:32" x14ac:dyDescent="0.2">
      <c r="A60" t="s">
        <v>310</v>
      </c>
      <c r="B60">
        <v>2008</v>
      </c>
      <c r="C60" t="s">
        <v>254</v>
      </c>
      <c r="D60" t="s">
        <v>6</v>
      </c>
      <c r="E60" t="s">
        <v>68</v>
      </c>
      <c r="F60" t="str">
        <f>_xlfn.XLOOKUP(Cleaned_MLB_Stats_Dataset__1[[#This Row],[Position'#]],$B$373:$B$382,$A$373:$A$382)</f>
        <v>1B</v>
      </c>
      <c r="G60">
        <v>3</v>
      </c>
      <c r="H60">
        <v>538</v>
      </c>
      <c r="I60">
        <v>168</v>
      </c>
      <c r="J60">
        <v>43</v>
      </c>
      <c r="K60">
        <v>4</v>
      </c>
      <c r="L60">
        <v>29</v>
      </c>
      <c r="M60">
        <v>91</v>
      </c>
      <c r="N60">
        <v>115</v>
      </c>
      <c r="O60">
        <v>108</v>
      </c>
      <c r="P60">
        <v>62</v>
      </c>
      <c r="Q60">
        <v>7</v>
      </c>
      <c r="R60">
        <v>12</v>
      </c>
      <c r="S60">
        <v>9</v>
      </c>
      <c r="T60">
        <v>0</v>
      </c>
      <c r="U60" s="6">
        <f>Cleaned_MLB_Stats_Dataset__1[[#This Row],[Hits]]/Cleaned_MLB_Stats_Dataset__1[[#This Row],[At Bats]]</f>
        <v>0.31226765799256506</v>
      </c>
      <c r="V60" s="6">
        <f>Cleaned_MLB_Stats_Dataset__1[[#This Row],[Strikeouts]]/(Cleaned_MLB_Stats_Dataset__1[[#This Row],[At Bats]]+Cleaned_MLB_Stats_Dataset__1[[#This Row],[Walks]])</f>
        <v>0.18</v>
      </c>
      <c r="W6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0.12091503267973856</v>
      </c>
      <c r="X6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0.38969404186795492</v>
      </c>
      <c r="Y6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0.56877323420074355</v>
      </c>
      <c r="Z60" s="6">
        <f>Cleaned_MLB_Stats_Dataset__1[[#This Row],[On Base Percentage]]+Cleaned_MLB_Stats_Dataset__1[[#This Row],[Slugging %]]</f>
        <v>0.95846727606869853</v>
      </c>
      <c r="AA60" s="6">
        <f>Cleaned_MLB_Stats_Dataset__1[[#This Row],[Slugging %]]-Cleaned_MLB_Stats_Dataset__1[[#This Row],[Batting Average]]</f>
        <v>0.25650557620817849</v>
      </c>
      <c r="AB60" s="6">
        <f>Cleaned_MLB_Stats_Dataset__1[[#This Row],[Batting Average]]-_xlfn.XLOOKUP(Cleaned_MLB_Stats_Dataset__1[[#This Row],[Year]],'League Averages'!$A$3:$A$23,'League Averages'!$B$3:$B$23)</f>
        <v>4.826765799256505E-2</v>
      </c>
      <c r="AC60" s="6">
        <f>Cleaned_MLB_Stats_Dataset__1[[#This Row],[On Base Percentage]]-_xlfn.XLOOKUP(Cleaned_MLB_Stats_Dataset__1[[#This Row],[Year]],'League Averages'!$A$3:$A$23,'League Averages'!$C$3:$C$23)</f>
        <v>5.6694041867954903E-2</v>
      </c>
      <c r="AD60" s="6">
        <f>Cleaned_MLB_Stats_Dataset__1[[#This Row],[Slugging %]]-_xlfn.XLOOKUP(Cleaned_MLB_Stats_Dataset__1[[#This Row],[Year]],'League Averages'!$A$3:$A$23,'League Averages'!$D$3:$D$23)</f>
        <v>0.15277323420074357</v>
      </c>
      <c r="AE60" s="6">
        <f>Cleaned_MLB_Stats_Dataset__1[[#This Row],[OPS (On Base + Slugging)]]-_xlfn.XLOOKUP(Cleaned_MLB_Stats_Dataset__1[[#This Row],[Year]],'League Averages'!$A$3:$A$23,'League Averages'!$E$3:$E$23)</f>
        <v>0.20946727606869853</v>
      </c>
      <c r="AF60" s="6">
        <f>Cleaned_MLB_Stats_Dataset__1[[#This Row],[ISO (Isolated Power]]-_xlfn.XLOOKUP(Cleaned_MLB_Stats_Dataset__1[[#This Row],[Year]],'League Averages'!$A$3:$A$23,'League Averages'!$F$3:$F$23)</f>
        <v>0.10450557620817849</v>
      </c>
    </row>
    <row r="61" spans="1:32" x14ac:dyDescent="0.2">
      <c r="A61" t="s">
        <v>310</v>
      </c>
      <c r="B61">
        <v>2008</v>
      </c>
      <c r="C61" t="s">
        <v>262</v>
      </c>
      <c r="D61" t="s">
        <v>3</v>
      </c>
      <c r="E61" t="s">
        <v>165</v>
      </c>
      <c r="F61" t="str">
        <f>_xlfn.XLOOKUP(Cleaned_MLB_Stats_Dataset__1[[#This Row],[Position'#]],$B$373:$B$382,$A$373:$A$382)</f>
        <v>SS</v>
      </c>
      <c r="G61">
        <v>6</v>
      </c>
      <c r="H61">
        <v>589</v>
      </c>
      <c r="I61">
        <v>177</v>
      </c>
      <c r="J61">
        <v>34</v>
      </c>
      <c r="K61">
        <v>4</v>
      </c>
      <c r="L61">
        <v>33</v>
      </c>
      <c r="M61">
        <v>125</v>
      </c>
      <c r="N61">
        <v>67</v>
      </c>
      <c r="O61">
        <v>122</v>
      </c>
      <c r="P61">
        <v>92</v>
      </c>
      <c r="Q61">
        <v>9</v>
      </c>
      <c r="R61">
        <v>8</v>
      </c>
      <c r="S61">
        <v>4</v>
      </c>
      <c r="T61">
        <v>0</v>
      </c>
      <c r="U61" s="6">
        <f>Cleaned_MLB_Stats_Dataset__1[[#This Row],[Hits]]/Cleaned_MLB_Stats_Dataset__1[[#This Row],[At Bats]]</f>
        <v>0.30050933786078099</v>
      </c>
      <c r="V61" s="6">
        <f>Cleaned_MLB_Stats_Dataset__1[[#This Row],[Strikeouts]]/(Cleaned_MLB_Stats_Dataset__1[[#This Row],[At Bats]]+Cleaned_MLB_Stats_Dataset__1[[#This Row],[Walks]])</f>
        <v>0.17914831130690162</v>
      </c>
      <c r="W6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0.14513788098693758</v>
      </c>
      <c r="X6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0.39971139971139968</v>
      </c>
      <c r="Y6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0.53989813242784379</v>
      </c>
      <c r="Z61" s="6">
        <f>Cleaned_MLB_Stats_Dataset__1[[#This Row],[On Base Percentage]]+Cleaned_MLB_Stats_Dataset__1[[#This Row],[Slugging %]]</f>
        <v>0.93960953213924348</v>
      </c>
      <c r="AA61" s="6">
        <f>Cleaned_MLB_Stats_Dataset__1[[#This Row],[Slugging %]]-Cleaned_MLB_Stats_Dataset__1[[#This Row],[Batting Average]]</f>
        <v>0.2393887945670628</v>
      </c>
      <c r="AB61" s="6">
        <f>Cleaned_MLB_Stats_Dataset__1[[#This Row],[Batting Average]]-_xlfn.XLOOKUP(Cleaned_MLB_Stats_Dataset__1[[#This Row],[Year]],'League Averages'!$A$3:$A$23,'League Averages'!$B$3:$B$23)</f>
        <v>3.6509337860780977E-2</v>
      </c>
      <c r="AC61" s="6">
        <f>Cleaned_MLB_Stats_Dataset__1[[#This Row],[On Base Percentage]]-_xlfn.XLOOKUP(Cleaned_MLB_Stats_Dataset__1[[#This Row],[Year]],'League Averages'!$A$3:$A$23,'League Averages'!$C$3:$C$23)</f>
        <v>6.6711399711399666E-2</v>
      </c>
      <c r="AD61" s="6">
        <f>Cleaned_MLB_Stats_Dataset__1[[#This Row],[Slugging %]]-_xlfn.XLOOKUP(Cleaned_MLB_Stats_Dataset__1[[#This Row],[Year]],'League Averages'!$A$3:$A$23,'League Averages'!$D$3:$D$23)</f>
        <v>0.12389813242784381</v>
      </c>
      <c r="AE61" s="6">
        <f>Cleaned_MLB_Stats_Dataset__1[[#This Row],[OPS (On Base + Slugging)]]-_xlfn.XLOOKUP(Cleaned_MLB_Stats_Dataset__1[[#This Row],[Year]],'League Averages'!$A$3:$A$23,'League Averages'!$E$3:$E$23)</f>
        <v>0.19060953213924348</v>
      </c>
      <c r="AF61" s="6">
        <f>Cleaned_MLB_Stats_Dataset__1[[#This Row],[ISO (Isolated Power]]-_xlfn.XLOOKUP(Cleaned_MLB_Stats_Dataset__1[[#This Row],[Year]],'League Averages'!$A$3:$A$23,'League Averages'!$F$3:$F$23)</f>
        <v>8.7388794567062805E-2</v>
      </c>
    </row>
    <row r="62" spans="1:32" x14ac:dyDescent="0.2">
      <c r="A62" t="s">
        <v>310</v>
      </c>
      <c r="B62">
        <v>2008</v>
      </c>
      <c r="C62" t="s">
        <v>282</v>
      </c>
      <c r="D62" t="s">
        <v>3</v>
      </c>
      <c r="E62" t="s">
        <v>27</v>
      </c>
      <c r="F62" t="str">
        <f>_xlfn.XLOOKUP(Cleaned_MLB_Stats_Dataset__1[[#This Row],[Position'#]],$B$373:$B$382,$A$373:$A$382)</f>
        <v>CF</v>
      </c>
      <c r="G62">
        <v>8</v>
      </c>
      <c r="H62">
        <v>501</v>
      </c>
      <c r="I62">
        <v>129</v>
      </c>
      <c r="J62">
        <v>25</v>
      </c>
      <c r="K62">
        <v>3</v>
      </c>
      <c r="L62">
        <v>10</v>
      </c>
      <c r="M62">
        <v>79</v>
      </c>
      <c r="N62">
        <v>58</v>
      </c>
      <c r="O62">
        <v>104</v>
      </c>
      <c r="P62">
        <v>81</v>
      </c>
      <c r="Q62">
        <v>9</v>
      </c>
      <c r="R62">
        <v>1</v>
      </c>
      <c r="S62">
        <v>5</v>
      </c>
      <c r="T62">
        <v>2</v>
      </c>
      <c r="U62" s="6">
        <f>Cleaned_MLB_Stats_Dataset__1[[#This Row],[Hits]]/Cleaned_MLB_Stats_Dataset__1[[#This Row],[At Bats]]</f>
        <v>0.25748502994011974</v>
      </c>
      <c r="V62" s="6">
        <f>Cleaned_MLB_Stats_Dataset__1[[#This Row],[Strikeouts]]/(Cleaned_MLB_Stats_Dataset__1[[#This Row],[At Bats]]+Cleaned_MLB_Stats_Dataset__1[[#This Row],[Walks]])</f>
        <v>0.17869415807560138</v>
      </c>
      <c r="W6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0.14065180102915953</v>
      </c>
      <c r="X6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0.358843537414966</v>
      </c>
      <c r="Y6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0.37924151696606784</v>
      </c>
      <c r="Z62" s="6">
        <f>Cleaned_MLB_Stats_Dataset__1[[#This Row],[On Base Percentage]]+Cleaned_MLB_Stats_Dataset__1[[#This Row],[Slugging %]]</f>
        <v>0.73808505438103378</v>
      </c>
      <c r="AA62" s="6">
        <f>Cleaned_MLB_Stats_Dataset__1[[#This Row],[Slugging %]]-Cleaned_MLB_Stats_Dataset__1[[#This Row],[Batting Average]]</f>
        <v>0.1217564870259481</v>
      </c>
      <c r="AB62" s="6">
        <f>Cleaned_MLB_Stats_Dataset__1[[#This Row],[Batting Average]]-_xlfn.XLOOKUP(Cleaned_MLB_Stats_Dataset__1[[#This Row],[Year]],'League Averages'!$A$3:$A$23,'League Averages'!$B$3:$B$23)</f>
        <v>-6.5149700598802762E-3</v>
      </c>
      <c r="AC62" s="6">
        <f>Cleaned_MLB_Stats_Dataset__1[[#This Row],[On Base Percentage]]-_xlfn.XLOOKUP(Cleaned_MLB_Stats_Dataset__1[[#This Row],[Year]],'League Averages'!$A$3:$A$23,'League Averages'!$C$3:$C$23)</f>
        <v>2.5843537414965978E-2</v>
      </c>
      <c r="AD62" s="6">
        <f>Cleaned_MLB_Stats_Dataset__1[[#This Row],[Slugging %]]-_xlfn.XLOOKUP(Cleaned_MLB_Stats_Dataset__1[[#This Row],[Year]],'League Averages'!$A$3:$A$23,'League Averages'!$D$3:$D$23)</f>
        <v>-3.6758483033932143E-2</v>
      </c>
      <c r="AE62" s="6">
        <f>Cleaned_MLB_Stats_Dataset__1[[#This Row],[OPS (On Base + Slugging)]]-_xlfn.XLOOKUP(Cleaned_MLB_Stats_Dataset__1[[#This Row],[Year]],'League Averages'!$A$3:$A$23,'League Averages'!$E$3:$E$23)</f>
        <v>-1.0914945618966221E-2</v>
      </c>
      <c r="AF62" s="6">
        <f>Cleaned_MLB_Stats_Dataset__1[[#This Row],[ISO (Isolated Power]]-_xlfn.XLOOKUP(Cleaned_MLB_Stats_Dataset__1[[#This Row],[Year]],'League Averages'!$A$3:$A$23,'League Averages'!$F$3:$F$23)</f>
        <v>-3.0243512974051895E-2</v>
      </c>
    </row>
    <row r="63" spans="1:32" x14ac:dyDescent="0.2">
      <c r="A63" t="s">
        <v>310</v>
      </c>
      <c r="B63">
        <v>2007</v>
      </c>
      <c r="C63" t="s">
        <v>206</v>
      </c>
      <c r="D63" t="s">
        <v>3</v>
      </c>
      <c r="E63" t="s">
        <v>83</v>
      </c>
      <c r="F63" t="str">
        <f>_xlfn.XLOOKUP(Cleaned_MLB_Stats_Dataset__1[[#This Row],[Position'#]],$B$373:$B$382,$A$373:$A$382)</f>
        <v>CF</v>
      </c>
      <c r="G63">
        <v>8</v>
      </c>
      <c r="H63">
        <v>554</v>
      </c>
      <c r="I63">
        <v>153</v>
      </c>
      <c r="J63">
        <v>33</v>
      </c>
      <c r="K63">
        <v>3</v>
      </c>
      <c r="L63">
        <v>33</v>
      </c>
      <c r="M63">
        <v>93</v>
      </c>
      <c r="N63">
        <v>112</v>
      </c>
      <c r="O63">
        <v>111</v>
      </c>
      <c r="P63">
        <v>69</v>
      </c>
      <c r="Q63">
        <v>10</v>
      </c>
      <c r="R63">
        <v>2</v>
      </c>
      <c r="S63">
        <v>10</v>
      </c>
      <c r="T63">
        <v>1</v>
      </c>
      <c r="U63" s="6">
        <f>Cleaned_MLB_Stats_Dataset__1[[#This Row],[Hits]]/Cleaned_MLB_Stats_Dataset__1[[#This Row],[At Bats]]</f>
        <v>0.27617328519855594</v>
      </c>
      <c r="V63" s="6">
        <f>Cleaned_MLB_Stats_Dataset__1[[#This Row],[Strikeouts]]/(Cleaned_MLB_Stats_Dataset__1[[#This Row],[At Bats]]+Cleaned_MLB_Stats_Dataset__1[[#This Row],[Walks]])</f>
        <v>0.1781701444622793</v>
      </c>
      <c r="W6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0.11360000000000001</v>
      </c>
      <c r="X6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0.35275590551181102</v>
      </c>
      <c r="Y6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0.52527075812274371</v>
      </c>
      <c r="Z63" s="6">
        <f>Cleaned_MLB_Stats_Dataset__1[[#This Row],[On Base Percentage]]+Cleaned_MLB_Stats_Dataset__1[[#This Row],[Slugging %]]</f>
        <v>0.87802666363455473</v>
      </c>
      <c r="AA63" s="6">
        <f>Cleaned_MLB_Stats_Dataset__1[[#This Row],[Slugging %]]-Cleaned_MLB_Stats_Dataset__1[[#This Row],[Batting Average]]</f>
        <v>0.24909747292418777</v>
      </c>
      <c r="AB63" s="6">
        <f>Cleaned_MLB_Stats_Dataset__1[[#This Row],[Batting Average]]-_xlfn.XLOOKUP(Cleaned_MLB_Stats_Dataset__1[[#This Row],[Year]],'League Averages'!$A$3:$A$23,'League Averages'!$B$3:$B$23)</f>
        <v>8.1732851985559241E-3</v>
      </c>
      <c r="AC63" s="6">
        <f>Cleaned_MLB_Stats_Dataset__1[[#This Row],[On Base Percentage]]-_xlfn.XLOOKUP(Cleaned_MLB_Stats_Dataset__1[[#This Row],[Year]],'League Averages'!$A$3:$A$23,'League Averages'!$C$3:$C$23)</f>
        <v>1.6755905511810998E-2</v>
      </c>
      <c r="AD63" s="6">
        <f>Cleaned_MLB_Stats_Dataset__1[[#This Row],[Slugging %]]-_xlfn.XLOOKUP(Cleaned_MLB_Stats_Dataset__1[[#This Row],[Year]],'League Averages'!$A$3:$A$23,'League Averages'!$D$3:$D$23)</f>
        <v>0.10227075812274372</v>
      </c>
      <c r="AE63" s="6">
        <f>Cleaned_MLB_Stats_Dataset__1[[#This Row],[OPS (On Base + Slugging)]]-_xlfn.XLOOKUP(Cleaned_MLB_Stats_Dataset__1[[#This Row],[Year]],'League Averages'!$A$3:$A$23,'League Averages'!$E$3:$E$23)</f>
        <v>0.12002666363455472</v>
      </c>
      <c r="AF63" s="6">
        <f>Cleaned_MLB_Stats_Dataset__1[[#This Row],[ISO (Isolated Power]]-_xlfn.XLOOKUP(Cleaned_MLB_Stats_Dataset__1[[#This Row],[Year]],'League Averages'!$A$3:$A$23,'League Averages'!$F$3:$F$23)</f>
        <v>9.4097472924187769E-2</v>
      </c>
    </row>
    <row r="64" spans="1:32" x14ac:dyDescent="0.2">
      <c r="A64" t="s">
        <v>310</v>
      </c>
      <c r="B64">
        <v>2010</v>
      </c>
      <c r="C64" t="s">
        <v>265</v>
      </c>
      <c r="D64" t="s">
        <v>3</v>
      </c>
      <c r="E64" t="s">
        <v>80</v>
      </c>
      <c r="F64" t="str">
        <f>_xlfn.XLOOKUP(Cleaned_MLB_Stats_Dataset__1[[#This Row],[Position'#]],$B$373:$B$382,$A$373:$A$382)</f>
        <v>CF</v>
      </c>
      <c r="G64">
        <v>8</v>
      </c>
      <c r="H64">
        <v>517</v>
      </c>
      <c r="I64">
        <v>151</v>
      </c>
      <c r="J64">
        <v>33</v>
      </c>
      <c r="K64">
        <v>1</v>
      </c>
      <c r="L64">
        <v>23</v>
      </c>
      <c r="M64">
        <v>71</v>
      </c>
      <c r="N64">
        <v>82</v>
      </c>
      <c r="O64">
        <v>102</v>
      </c>
      <c r="P64">
        <v>59</v>
      </c>
      <c r="Q64">
        <v>11</v>
      </c>
      <c r="R64">
        <v>3</v>
      </c>
      <c r="S64">
        <v>6</v>
      </c>
      <c r="T64">
        <v>0</v>
      </c>
      <c r="U64" s="6">
        <f>Cleaned_MLB_Stats_Dataset__1[[#This Row],[Hits]]/Cleaned_MLB_Stats_Dataset__1[[#This Row],[At Bats]]</f>
        <v>0.29206963249516443</v>
      </c>
      <c r="V64" s="6">
        <f>Cleaned_MLB_Stats_Dataset__1[[#This Row],[Strikeouts]]/(Cleaned_MLB_Stats_Dataset__1[[#This Row],[At Bats]]+Cleaned_MLB_Stats_Dataset__1[[#This Row],[Walks]])</f>
        <v>0.17708333333333334</v>
      </c>
      <c r="W6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0.10708117443868739</v>
      </c>
      <c r="X6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0.36410256410256409</v>
      </c>
      <c r="Y6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0.49323017408123793</v>
      </c>
      <c r="Z64" s="6">
        <f>Cleaned_MLB_Stats_Dataset__1[[#This Row],[On Base Percentage]]+Cleaned_MLB_Stats_Dataset__1[[#This Row],[Slugging %]]</f>
        <v>0.85733273818380207</v>
      </c>
      <c r="AA64" s="6">
        <f>Cleaned_MLB_Stats_Dataset__1[[#This Row],[Slugging %]]-Cleaned_MLB_Stats_Dataset__1[[#This Row],[Batting Average]]</f>
        <v>0.20116054158607349</v>
      </c>
      <c r="AB64" s="6">
        <f>Cleaned_MLB_Stats_Dataset__1[[#This Row],[Batting Average]]-_xlfn.XLOOKUP(Cleaned_MLB_Stats_Dataset__1[[#This Row],[Year]],'League Averages'!$A$3:$A$23,'League Averages'!$B$3:$B$23)</f>
        <v>3.5069632495164427E-2</v>
      </c>
      <c r="AC64" s="6">
        <f>Cleaned_MLB_Stats_Dataset__1[[#This Row],[On Base Percentage]]-_xlfn.XLOOKUP(Cleaned_MLB_Stats_Dataset__1[[#This Row],[Year]],'League Averages'!$A$3:$A$23,'League Averages'!$C$3:$C$23)</f>
        <v>3.9102564102564075E-2</v>
      </c>
      <c r="AD64" s="6">
        <f>Cleaned_MLB_Stats_Dataset__1[[#This Row],[Slugging %]]-_xlfn.XLOOKUP(Cleaned_MLB_Stats_Dataset__1[[#This Row],[Year]],'League Averages'!$A$3:$A$23,'League Averages'!$D$3:$D$23)</f>
        <v>9.0230174081237902E-2</v>
      </c>
      <c r="AE64" s="6">
        <f>Cleaned_MLB_Stats_Dataset__1[[#This Row],[OPS (On Base + Slugging)]]-_xlfn.XLOOKUP(Cleaned_MLB_Stats_Dataset__1[[#This Row],[Year]],'League Averages'!$A$3:$A$23,'League Averages'!$E$3:$E$23)</f>
        <v>0.12933273818380209</v>
      </c>
      <c r="AF64" s="6">
        <f>Cleaned_MLB_Stats_Dataset__1[[#This Row],[ISO (Isolated Power]]-_xlfn.XLOOKUP(Cleaned_MLB_Stats_Dataset__1[[#This Row],[Year]],'League Averages'!$A$3:$A$23,'League Averages'!$F$3:$F$23)</f>
        <v>5.5160541586073503E-2</v>
      </c>
    </row>
    <row r="65" spans="1:32" x14ac:dyDescent="0.2">
      <c r="A65" t="s">
        <v>310</v>
      </c>
      <c r="B65">
        <v>2007</v>
      </c>
      <c r="C65" t="s">
        <v>173</v>
      </c>
      <c r="D65" t="s">
        <v>6</v>
      </c>
      <c r="E65" t="s">
        <v>71</v>
      </c>
      <c r="F65" t="str">
        <f>_xlfn.XLOOKUP(Cleaned_MLB_Stats_Dataset__1[[#This Row],[Position'#]],$B$373:$B$382,$A$373:$A$382)</f>
        <v>3B</v>
      </c>
      <c r="G65">
        <v>5</v>
      </c>
      <c r="H65">
        <v>583</v>
      </c>
      <c r="I65">
        <v>183</v>
      </c>
      <c r="J65">
        <v>31</v>
      </c>
      <c r="K65">
        <v>0</v>
      </c>
      <c r="L65">
        <v>54</v>
      </c>
      <c r="M65">
        <v>143</v>
      </c>
      <c r="N65">
        <v>156</v>
      </c>
      <c r="O65">
        <v>120</v>
      </c>
      <c r="P65">
        <v>95</v>
      </c>
      <c r="Q65">
        <v>11</v>
      </c>
      <c r="R65">
        <v>21</v>
      </c>
      <c r="S65">
        <v>9</v>
      </c>
      <c r="T65">
        <v>0</v>
      </c>
      <c r="U65" s="6">
        <f>Cleaned_MLB_Stats_Dataset__1[[#This Row],[Hits]]/Cleaned_MLB_Stats_Dataset__1[[#This Row],[At Bats]]</f>
        <v>0.313893653516295</v>
      </c>
      <c r="V65" s="6">
        <f>Cleaned_MLB_Stats_Dataset__1[[#This Row],[Strikeouts]]/(Cleaned_MLB_Stats_Dataset__1[[#This Row],[At Bats]]+Cleaned_MLB_Stats_Dataset__1[[#This Row],[Walks]])</f>
        <v>0.17699115044247787</v>
      </c>
      <c r="W6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0.16595135908440631</v>
      </c>
      <c r="X6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0.42231638418079098</v>
      </c>
      <c r="Y6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0.6449399656946827</v>
      </c>
      <c r="Z65" s="6">
        <f>Cleaned_MLB_Stats_Dataset__1[[#This Row],[On Base Percentage]]+Cleaned_MLB_Stats_Dataset__1[[#This Row],[Slugging %]]</f>
        <v>1.0672563498754737</v>
      </c>
      <c r="AA65" s="6">
        <f>Cleaned_MLB_Stats_Dataset__1[[#This Row],[Slugging %]]-Cleaned_MLB_Stats_Dataset__1[[#This Row],[Batting Average]]</f>
        <v>0.3310463121783877</v>
      </c>
      <c r="AB65" s="6">
        <f>Cleaned_MLB_Stats_Dataset__1[[#This Row],[Batting Average]]-_xlfn.XLOOKUP(Cleaned_MLB_Stats_Dataset__1[[#This Row],[Year]],'League Averages'!$A$3:$A$23,'League Averages'!$B$3:$B$23)</f>
        <v>4.5893653516294985E-2</v>
      </c>
      <c r="AC65" s="6">
        <f>Cleaned_MLB_Stats_Dataset__1[[#This Row],[On Base Percentage]]-_xlfn.XLOOKUP(Cleaned_MLB_Stats_Dataset__1[[#This Row],[Year]],'League Averages'!$A$3:$A$23,'League Averages'!$C$3:$C$23)</f>
        <v>8.6316384180790962E-2</v>
      </c>
      <c r="AD65" s="6">
        <f>Cleaned_MLB_Stats_Dataset__1[[#This Row],[Slugging %]]-_xlfn.XLOOKUP(Cleaned_MLB_Stats_Dataset__1[[#This Row],[Year]],'League Averages'!$A$3:$A$23,'League Averages'!$D$3:$D$23)</f>
        <v>0.22193996569468272</v>
      </c>
      <c r="AE65" s="6">
        <f>Cleaned_MLB_Stats_Dataset__1[[#This Row],[OPS (On Base + Slugging)]]-_xlfn.XLOOKUP(Cleaned_MLB_Stats_Dataset__1[[#This Row],[Year]],'League Averages'!$A$3:$A$23,'League Averages'!$E$3:$E$23)</f>
        <v>0.30925634987547368</v>
      </c>
      <c r="AF65" s="6">
        <f>Cleaned_MLB_Stats_Dataset__1[[#This Row],[ISO (Isolated Power]]-_xlfn.XLOOKUP(Cleaned_MLB_Stats_Dataset__1[[#This Row],[Year]],'League Averages'!$A$3:$A$23,'League Averages'!$F$3:$F$23)</f>
        <v>0.1760463121783877</v>
      </c>
    </row>
    <row r="66" spans="1:32" x14ac:dyDescent="0.2">
      <c r="A66" t="s">
        <v>310</v>
      </c>
      <c r="B66">
        <v>2011</v>
      </c>
      <c r="C66" t="s">
        <v>278</v>
      </c>
      <c r="D66" t="s">
        <v>6</v>
      </c>
      <c r="E66" t="s">
        <v>90</v>
      </c>
      <c r="F66" t="str">
        <f>_xlfn.XLOOKUP(Cleaned_MLB_Stats_Dataset__1[[#This Row],[Position'#]],$B$373:$B$382,$A$373:$A$382)</f>
        <v>LF</v>
      </c>
      <c r="G66">
        <v>7</v>
      </c>
      <c r="H66">
        <v>487</v>
      </c>
      <c r="I66">
        <v>145</v>
      </c>
      <c r="J66">
        <v>31</v>
      </c>
      <c r="K66">
        <v>5</v>
      </c>
      <c r="L66">
        <v>25</v>
      </c>
      <c r="M66">
        <v>80</v>
      </c>
      <c r="N66">
        <v>94</v>
      </c>
      <c r="O66">
        <v>93</v>
      </c>
      <c r="P66">
        <v>39</v>
      </c>
      <c r="Q66">
        <v>13</v>
      </c>
      <c r="R66">
        <v>2</v>
      </c>
      <c r="S66">
        <v>10</v>
      </c>
      <c r="T66">
        <v>0</v>
      </c>
      <c r="U66" s="6">
        <f>Cleaned_MLB_Stats_Dataset__1[[#This Row],[Hits]]/Cleaned_MLB_Stats_Dataset__1[[#This Row],[At Bats]]</f>
        <v>0.29774127310061604</v>
      </c>
      <c r="V66" s="6">
        <f>Cleaned_MLB_Stats_Dataset__1[[#This Row],[Strikeouts]]/(Cleaned_MLB_Stats_Dataset__1[[#This Row],[At Bats]]+Cleaned_MLB_Stats_Dataset__1[[#This Row],[Walks]])</f>
        <v>0.17680608365019013</v>
      </c>
      <c r="W6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7.7651515151515152E-2</v>
      </c>
      <c r="X6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0.34572490706319703</v>
      </c>
      <c r="Y6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0.53593429158110883</v>
      </c>
      <c r="Z66" s="6">
        <f>Cleaned_MLB_Stats_Dataset__1[[#This Row],[On Base Percentage]]+Cleaned_MLB_Stats_Dataset__1[[#This Row],[Slugging %]]</f>
        <v>0.88165919864430586</v>
      </c>
      <c r="AA66" s="6">
        <f>Cleaned_MLB_Stats_Dataset__1[[#This Row],[Slugging %]]-Cleaned_MLB_Stats_Dataset__1[[#This Row],[Batting Average]]</f>
        <v>0.23819301848049279</v>
      </c>
      <c r="AB66" s="6">
        <f>Cleaned_MLB_Stats_Dataset__1[[#This Row],[Batting Average]]-_xlfn.XLOOKUP(Cleaned_MLB_Stats_Dataset__1[[#This Row],[Year]],'League Averages'!$A$3:$A$23,'League Averages'!$B$3:$B$23)</f>
        <v>4.274127310061604E-2</v>
      </c>
      <c r="AC66" s="6">
        <f>Cleaned_MLB_Stats_Dataset__1[[#This Row],[On Base Percentage]]-_xlfn.XLOOKUP(Cleaned_MLB_Stats_Dataset__1[[#This Row],[Year]],'League Averages'!$A$3:$A$23,'League Averages'!$C$3:$C$23)</f>
        <v>2.4724907063197021E-2</v>
      </c>
      <c r="AD66" s="6">
        <f>Cleaned_MLB_Stats_Dataset__1[[#This Row],[Slugging %]]-_xlfn.XLOOKUP(Cleaned_MLB_Stats_Dataset__1[[#This Row],[Year]],'League Averages'!$A$3:$A$23,'League Averages'!$D$3:$D$23)</f>
        <v>0.13693429158110881</v>
      </c>
      <c r="AE66" s="6">
        <f>Cleaned_MLB_Stats_Dataset__1[[#This Row],[OPS (On Base + Slugging)]]-_xlfn.XLOOKUP(Cleaned_MLB_Stats_Dataset__1[[#This Row],[Year]],'League Averages'!$A$3:$A$23,'League Averages'!$E$3:$E$23)</f>
        <v>0.16165919864430589</v>
      </c>
      <c r="AF66" s="6">
        <f>Cleaned_MLB_Stats_Dataset__1[[#This Row],[ISO (Isolated Power]]-_xlfn.XLOOKUP(Cleaned_MLB_Stats_Dataset__1[[#This Row],[Year]],'League Averages'!$A$3:$A$23,'League Averages'!$F$3:$F$23)</f>
        <v>9.4193018480492802E-2</v>
      </c>
    </row>
    <row r="67" spans="1:32" x14ac:dyDescent="0.2">
      <c r="A67" t="s">
        <v>310</v>
      </c>
      <c r="B67">
        <v>2005</v>
      </c>
      <c r="C67" t="s">
        <v>198</v>
      </c>
      <c r="D67" t="s">
        <v>6</v>
      </c>
      <c r="E67" t="s">
        <v>68</v>
      </c>
      <c r="F67" t="str">
        <f>_xlfn.XLOOKUP(Cleaned_MLB_Stats_Dataset__1[[#This Row],[Position'#]],$B$373:$B$382,$A$373:$A$382)</f>
        <v>DH</v>
      </c>
      <c r="G67">
        <v>10</v>
      </c>
      <c r="H67">
        <v>601</v>
      </c>
      <c r="I67">
        <v>180</v>
      </c>
      <c r="J67">
        <v>40</v>
      </c>
      <c r="K67">
        <v>1</v>
      </c>
      <c r="L67">
        <v>47</v>
      </c>
      <c r="M67">
        <v>119</v>
      </c>
      <c r="N67">
        <v>148</v>
      </c>
      <c r="O67">
        <v>124</v>
      </c>
      <c r="P67">
        <v>102</v>
      </c>
      <c r="Q67">
        <v>9</v>
      </c>
      <c r="R67">
        <v>1</v>
      </c>
      <c r="S67">
        <v>9</v>
      </c>
      <c r="T67">
        <v>0</v>
      </c>
      <c r="U67" s="6">
        <f>Cleaned_MLB_Stats_Dataset__1[[#This Row],[Hits]]/Cleaned_MLB_Stats_Dataset__1[[#This Row],[At Bats]]</f>
        <v>0.29950083194675542</v>
      </c>
      <c r="V67" s="6">
        <f>Cleaned_MLB_Stats_Dataset__1[[#This Row],[Strikeouts]]/(Cleaned_MLB_Stats_Dataset__1[[#This Row],[At Bats]]+Cleaned_MLB_Stats_Dataset__1[[#This Row],[Walks]])</f>
        <v>0.1763869132290185</v>
      </c>
      <c r="W6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0.14630681818181818</v>
      </c>
      <c r="X6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0.39691444600280507</v>
      </c>
      <c r="Y6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0.60399334442595676</v>
      </c>
      <c r="Z67" s="6">
        <f>Cleaned_MLB_Stats_Dataset__1[[#This Row],[On Base Percentage]]+Cleaned_MLB_Stats_Dataset__1[[#This Row],[Slugging %]]</f>
        <v>1.0009077904287618</v>
      </c>
      <c r="AA67" s="6">
        <f>Cleaned_MLB_Stats_Dataset__1[[#This Row],[Slugging %]]-Cleaned_MLB_Stats_Dataset__1[[#This Row],[Batting Average]]</f>
        <v>0.30449251247920134</v>
      </c>
      <c r="AB67" s="6">
        <f>Cleaned_MLB_Stats_Dataset__1[[#This Row],[Batting Average]]-_xlfn.XLOOKUP(Cleaned_MLB_Stats_Dataset__1[[#This Row],[Year]],'League Averages'!$A$3:$A$23,'League Averages'!$B$3:$B$23)</f>
        <v>3.5500831946755407E-2</v>
      </c>
      <c r="AC67" s="6">
        <f>Cleaned_MLB_Stats_Dataset__1[[#This Row],[On Base Percentage]]-_xlfn.XLOOKUP(Cleaned_MLB_Stats_Dataset__1[[#This Row],[Year]],'League Averages'!$A$3:$A$23,'League Averages'!$C$3:$C$23)</f>
        <v>6.691444600280505E-2</v>
      </c>
      <c r="AD67" s="6">
        <f>Cleaned_MLB_Stats_Dataset__1[[#This Row],[Slugging %]]-_xlfn.XLOOKUP(Cleaned_MLB_Stats_Dataset__1[[#This Row],[Year]],'League Averages'!$A$3:$A$23,'League Averages'!$D$3:$D$23)</f>
        <v>0.18499334442595677</v>
      </c>
      <c r="AE67" s="6">
        <f>Cleaned_MLB_Stats_Dataset__1[[#This Row],[OPS (On Base + Slugging)]]-_xlfn.XLOOKUP(Cleaned_MLB_Stats_Dataset__1[[#This Row],[Year]],'League Averages'!$A$3:$A$23,'League Averages'!$E$3:$E$23)</f>
        <v>0.25190779042876177</v>
      </c>
      <c r="AF67" s="6">
        <f>Cleaned_MLB_Stats_Dataset__1[[#This Row],[ISO (Isolated Power]]-_xlfn.XLOOKUP(Cleaned_MLB_Stats_Dataset__1[[#This Row],[Year]],'League Averages'!$A$3:$A$23,'League Averages'!$F$3:$F$23)</f>
        <v>0.14949251247920134</v>
      </c>
    </row>
    <row r="68" spans="1:32" x14ac:dyDescent="0.2">
      <c r="A68" t="s">
        <v>310</v>
      </c>
      <c r="B68">
        <v>2013</v>
      </c>
      <c r="C68" t="s">
        <v>251</v>
      </c>
      <c r="D68" t="s">
        <v>6</v>
      </c>
      <c r="E68" t="s">
        <v>81</v>
      </c>
      <c r="F68" t="str">
        <f>_xlfn.XLOOKUP(Cleaned_MLB_Stats_Dataset__1[[#This Row],[Position'#]],$B$373:$B$382,$A$373:$A$382)</f>
        <v>C</v>
      </c>
      <c r="G68">
        <v>2</v>
      </c>
      <c r="H68">
        <v>445</v>
      </c>
      <c r="I68">
        <v>144</v>
      </c>
      <c r="J68">
        <v>35</v>
      </c>
      <c r="K68">
        <v>0</v>
      </c>
      <c r="L68">
        <v>11</v>
      </c>
      <c r="M68">
        <v>62</v>
      </c>
      <c r="N68">
        <v>47</v>
      </c>
      <c r="O68">
        <v>89</v>
      </c>
      <c r="P68">
        <v>61</v>
      </c>
      <c r="Q68">
        <v>7</v>
      </c>
      <c r="R68">
        <v>0</v>
      </c>
      <c r="S68">
        <v>2</v>
      </c>
      <c r="T68">
        <v>0</v>
      </c>
      <c r="U68" s="6">
        <f>Cleaned_MLB_Stats_Dataset__1[[#This Row],[Hits]]/Cleaned_MLB_Stats_Dataset__1[[#This Row],[At Bats]]</f>
        <v>0.32359550561797751</v>
      </c>
      <c r="V68" s="6">
        <f>Cleaned_MLB_Stats_Dataset__1[[#This Row],[Strikeouts]]/(Cleaned_MLB_Stats_Dataset__1[[#This Row],[At Bats]]+Cleaned_MLB_Stats_Dataset__1[[#This Row],[Walks]])</f>
        <v>0.17588932806324112</v>
      </c>
      <c r="W6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0.12055335968379446</v>
      </c>
      <c r="X6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0.40354330708661418</v>
      </c>
      <c r="Y6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0.47640449438202248</v>
      </c>
      <c r="Z68" s="6">
        <f>Cleaned_MLB_Stats_Dataset__1[[#This Row],[On Base Percentage]]+Cleaned_MLB_Stats_Dataset__1[[#This Row],[Slugging %]]</f>
        <v>0.8799478014686366</v>
      </c>
      <c r="AA68" s="6">
        <f>Cleaned_MLB_Stats_Dataset__1[[#This Row],[Slugging %]]-Cleaned_MLB_Stats_Dataset__1[[#This Row],[Batting Average]]</f>
        <v>0.15280898876404497</v>
      </c>
      <c r="AB68" s="6">
        <f>Cleaned_MLB_Stats_Dataset__1[[#This Row],[Batting Average]]-_xlfn.XLOOKUP(Cleaned_MLB_Stats_Dataset__1[[#This Row],[Year]],'League Averages'!$A$3:$A$23,'League Averages'!$B$3:$B$23)</f>
        <v>7.0595505617977505E-2</v>
      </c>
      <c r="AC68" s="6">
        <f>Cleaned_MLB_Stats_Dataset__1[[#This Row],[On Base Percentage]]-_xlfn.XLOOKUP(Cleaned_MLB_Stats_Dataset__1[[#This Row],[Year]],'League Averages'!$A$3:$A$23,'League Averages'!$C$3:$C$23)</f>
        <v>8.5543307086614173E-2</v>
      </c>
      <c r="AD68" s="6">
        <f>Cleaned_MLB_Stats_Dataset__1[[#This Row],[Slugging %]]-_xlfn.XLOOKUP(Cleaned_MLB_Stats_Dataset__1[[#This Row],[Year]],'League Averages'!$A$3:$A$23,'League Averages'!$D$3:$D$23)</f>
        <v>8.0404494382022462E-2</v>
      </c>
      <c r="AE68" s="6">
        <f>Cleaned_MLB_Stats_Dataset__1[[#This Row],[OPS (On Base + Slugging)]]-_xlfn.XLOOKUP(Cleaned_MLB_Stats_Dataset__1[[#This Row],[Year]],'League Averages'!$A$3:$A$23,'League Averages'!$E$3:$E$23)</f>
        <v>0.16594780146863664</v>
      </c>
      <c r="AF68" s="6">
        <f>Cleaned_MLB_Stats_Dataset__1[[#This Row],[ISO (Isolated Power]]-_xlfn.XLOOKUP(Cleaned_MLB_Stats_Dataset__1[[#This Row],[Year]],'League Averages'!$A$3:$A$23,'League Averages'!$F$3:$F$23)</f>
        <v>9.8089887640449847E-3</v>
      </c>
    </row>
    <row r="69" spans="1:32" x14ac:dyDescent="0.2">
      <c r="A69" t="s">
        <v>310</v>
      </c>
      <c r="B69">
        <v>2009</v>
      </c>
      <c r="C69" t="s">
        <v>276</v>
      </c>
      <c r="D69" t="s">
        <v>3</v>
      </c>
      <c r="E69" t="s">
        <v>204</v>
      </c>
      <c r="F69" t="str">
        <f>_xlfn.XLOOKUP(Cleaned_MLB_Stats_Dataset__1[[#This Row],[Position'#]],$B$373:$B$382,$A$373:$A$382)</f>
        <v>RF</v>
      </c>
      <c r="G69">
        <v>9</v>
      </c>
      <c r="H69">
        <v>635</v>
      </c>
      <c r="I69">
        <v>203</v>
      </c>
      <c r="J69">
        <v>39</v>
      </c>
      <c r="K69">
        <v>6</v>
      </c>
      <c r="L69">
        <v>32</v>
      </c>
      <c r="M69">
        <v>113</v>
      </c>
      <c r="N69">
        <v>114</v>
      </c>
      <c r="O69">
        <v>121</v>
      </c>
      <c r="P69">
        <v>57</v>
      </c>
      <c r="Q69">
        <v>1</v>
      </c>
      <c r="R69">
        <v>13</v>
      </c>
      <c r="S69">
        <v>3</v>
      </c>
      <c r="T69">
        <v>0</v>
      </c>
      <c r="U69" s="6">
        <f>Cleaned_MLB_Stats_Dataset__1[[#This Row],[Hits]]/Cleaned_MLB_Stats_Dataset__1[[#This Row],[At Bats]]</f>
        <v>0.31968503937007875</v>
      </c>
      <c r="V69" s="6">
        <f>Cleaned_MLB_Stats_Dataset__1[[#This Row],[Strikeouts]]/(Cleaned_MLB_Stats_Dataset__1[[#This Row],[At Bats]]+Cleaned_MLB_Stats_Dataset__1[[#This Row],[Walks]])</f>
        <v>0.17485549132947978</v>
      </c>
      <c r="W6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9.9290780141843976E-2</v>
      </c>
      <c r="X6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0.38559322033898308</v>
      </c>
      <c r="Y6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0.55118110236220474</v>
      </c>
      <c r="Z69" s="6">
        <f>Cleaned_MLB_Stats_Dataset__1[[#This Row],[On Base Percentage]]+Cleaned_MLB_Stats_Dataset__1[[#This Row],[Slugging %]]</f>
        <v>0.93677432270118777</v>
      </c>
      <c r="AA69" s="6">
        <f>Cleaned_MLB_Stats_Dataset__1[[#This Row],[Slugging %]]-Cleaned_MLB_Stats_Dataset__1[[#This Row],[Batting Average]]</f>
        <v>0.23149606299212599</v>
      </c>
      <c r="AB69" s="6">
        <f>Cleaned_MLB_Stats_Dataset__1[[#This Row],[Batting Average]]-_xlfn.XLOOKUP(Cleaned_MLB_Stats_Dataset__1[[#This Row],[Year]],'League Averages'!$A$3:$A$23,'League Averages'!$B$3:$B$23)</f>
        <v>5.7685039370078739E-2</v>
      </c>
      <c r="AC69" s="6">
        <f>Cleaned_MLB_Stats_Dataset__1[[#This Row],[On Base Percentage]]-_xlfn.XLOOKUP(Cleaned_MLB_Stats_Dataset__1[[#This Row],[Year]],'League Averages'!$A$3:$A$23,'League Averages'!$C$3:$C$23)</f>
        <v>5.259322033898306E-2</v>
      </c>
      <c r="AD69" s="6">
        <f>Cleaned_MLB_Stats_Dataset__1[[#This Row],[Slugging %]]-_xlfn.XLOOKUP(Cleaned_MLB_Stats_Dataset__1[[#This Row],[Year]],'League Averages'!$A$3:$A$23,'League Averages'!$D$3:$D$23)</f>
        <v>0.13318110236220476</v>
      </c>
      <c r="AE69" s="6">
        <f>Cleaned_MLB_Stats_Dataset__1[[#This Row],[OPS (On Base + Slugging)]]-_xlfn.XLOOKUP(Cleaned_MLB_Stats_Dataset__1[[#This Row],[Year]],'League Averages'!$A$3:$A$23,'League Averages'!$E$3:$E$23)</f>
        <v>0.18577432270118777</v>
      </c>
      <c r="AF69" s="6">
        <f>Cleaned_MLB_Stats_Dataset__1[[#This Row],[ISO (Isolated Power]]-_xlfn.XLOOKUP(Cleaned_MLB_Stats_Dataset__1[[#This Row],[Year]],'League Averages'!$A$3:$A$23,'League Averages'!$F$3:$F$23)</f>
        <v>7.5496062992125995E-2</v>
      </c>
    </row>
    <row r="70" spans="1:32" x14ac:dyDescent="0.2">
      <c r="A70" t="s">
        <v>310</v>
      </c>
      <c r="B70">
        <v>2006</v>
      </c>
      <c r="C70" t="s">
        <v>253</v>
      </c>
      <c r="D70" t="s">
        <v>3</v>
      </c>
      <c r="E70" t="s">
        <v>83</v>
      </c>
      <c r="F70" t="str">
        <f>_xlfn.XLOOKUP(Cleaned_MLB_Stats_Dataset__1[[#This Row],[Position'#]],$B$373:$B$382,$A$373:$A$382)</f>
        <v>3B</v>
      </c>
      <c r="G70">
        <v>5</v>
      </c>
      <c r="H70">
        <v>582</v>
      </c>
      <c r="I70">
        <v>181</v>
      </c>
      <c r="J70">
        <v>40</v>
      </c>
      <c r="K70">
        <v>5</v>
      </c>
      <c r="L70">
        <v>26</v>
      </c>
      <c r="M70">
        <v>96</v>
      </c>
      <c r="N70">
        <v>116</v>
      </c>
      <c r="O70">
        <v>113</v>
      </c>
      <c r="P70">
        <v>66</v>
      </c>
      <c r="Q70">
        <v>13</v>
      </c>
      <c r="R70">
        <v>5</v>
      </c>
      <c r="S70">
        <v>8</v>
      </c>
      <c r="T70">
        <v>0</v>
      </c>
      <c r="U70" s="6">
        <f>Cleaned_MLB_Stats_Dataset__1[[#This Row],[Hits]]/Cleaned_MLB_Stats_Dataset__1[[#This Row],[At Bats]]</f>
        <v>0.31099656357388317</v>
      </c>
      <c r="V70" s="6">
        <f>Cleaned_MLB_Stats_Dataset__1[[#This Row],[Strikeouts]]/(Cleaned_MLB_Stats_Dataset__1[[#This Row],[At Bats]]+Cleaned_MLB_Stats_Dataset__1[[#This Row],[Walks]])</f>
        <v>0.17438271604938271</v>
      </c>
      <c r="W7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0.10872894333843798</v>
      </c>
      <c r="X7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0.38124054462934948</v>
      </c>
      <c r="Y7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0.53092783505154639</v>
      </c>
      <c r="Z70" s="6">
        <f>Cleaned_MLB_Stats_Dataset__1[[#This Row],[On Base Percentage]]+Cleaned_MLB_Stats_Dataset__1[[#This Row],[Slugging %]]</f>
        <v>0.91216837968089592</v>
      </c>
      <c r="AA70" s="6">
        <f>Cleaned_MLB_Stats_Dataset__1[[#This Row],[Slugging %]]-Cleaned_MLB_Stats_Dataset__1[[#This Row],[Batting Average]]</f>
        <v>0.21993127147766323</v>
      </c>
      <c r="AB70" s="6">
        <f>Cleaned_MLB_Stats_Dataset__1[[#This Row],[Batting Average]]-_xlfn.XLOOKUP(Cleaned_MLB_Stats_Dataset__1[[#This Row],[Year]],'League Averages'!$A$3:$A$23,'League Averages'!$B$3:$B$23)</f>
        <v>4.199656357388315E-2</v>
      </c>
      <c r="AC70" s="6">
        <f>Cleaned_MLB_Stats_Dataset__1[[#This Row],[On Base Percentage]]-_xlfn.XLOOKUP(Cleaned_MLB_Stats_Dataset__1[[#This Row],[Year]],'League Averages'!$A$3:$A$23,'League Averages'!$C$3:$C$23)</f>
        <v>4.5240544629349455E-2</v>
      </c>
      <c r="AD70" s="6">
        <f>Cleaned_MLB_Stats_Dataset__1[[#This Row],[Slugging %]]-_xlfn.XLOOKUP(Cleaned_MLB_Stats_Dataset__1[[#This Row],[Year]],'League Averages'!$A$3:$A$23,'League Averages'!$D$3:$D$23)</f>
        <v>9.8927835051546398E-2</v>
      </c>
      <c r="AE70" s="6">
        <f>Cleaned_MLB_Stats_Dataset__1[[#This Row],[OPS (On Base + Slugging)]]-_xlfn.XLOOKUP(Cleaned_MLB_Stats_Dataset__1[[#This Row],[Year]],'League Averages'!$A$3:$A$23,'League Averages'!$E$3:$E$23)</f>
        <v>0.14416837968089591</v>
      </c>
      <c r="AF70" s="6">
        <f>Cleaned_MLB_Stats_Dataset__1[[#This Row],[ISO (Isolated Power]]-_xlfn.XLOOKUP(Cleaned_MLB_Stats_Dataset__1[[#This Row],[Year]],'League Averages'!$A$3:$A$23,'League Averages'!$F$3:$F$23)</f>
        <v>5.693127147766322E-2</v>
      </c>
    </row>
    <row r="71" spans="1:32" x14ac:dyDescent="0.2">
      <c r="A71" t="s">
        <v>310</v>
      </c>
      <c r="B71">
        <v>2005</v>
      </c>
      <c r="C71" t="s">
        <v>240</v>
      </c>
      <c r="D71" t="s">
        <v>6</v>
      </c>
      <c r="E71" t="s">
        <v>90</v>
      </c>
      <c r="F71" t="str">
        <f>_xlfn.XLOOKUP(Cleaned_MLB_Stats_Dataset__1[[#This Row],[Position'#]],$B$373:$B$382,$A$373:$A$382)</f>
        <v>1B</v>
      </c>
      <c r="G71">
        <v>3</v>
      </c>
      <c r="H71">
        <v>644</v>
      </c>
      <c r="I71">
        <v>194</v>
      </c>
      <c r="J71">
        <v>41</v>
      </c>
      <c r="K71">
        <v>3</v>
      </c>
      <c r="L71">
        <v>43</v>
      </c>
      <c r="M71">
        <v>112</v>
      </c>
      <c r="N71">
        <v>144</v>
      </c>
      <c r="O71">
        <v>124</v>
      </c>
      <c r="P71">
        <v>72</v>
      </c>
      <c r="Q71">
        <v>5</v>
      </c>
      <c r="R71">
        <v>11</v>
      </c>
      <c r="S71">
        <v>3</v>
      </c>
      <c r="T71">
        <v>0</v>
      </c>
      <c r="U71" s="6">
        <f>Cleaned_MLB_Stats_Dataset__1[[#This Row],[Hits]]/Cleaned_MLB_Stats_Dataset__1[[#This Row],[At Bats]]</f>
        <v>0.30124223602484473</v>
      </c>
      <c r="V71" s="6">
        <f>Cleaned_MLB_Stats_Dataset__1[[#This Row],[Strikeouts]]/(Cleaned_MLB_Stats_Dataset__1[[#This Row],[At Bats]]+Cleaned_MLB_Stats_Dataset__1[[#This Row],[Walks]])</f>
        <v>0.17318435754189945</v>
      </c>
      <c r="W7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0.11416781292984869</v>
      </c>
      <c r="X7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0.37945205479452054</v>
      </c>
      <c r="Y7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0.57453416149068326</v>
      </c>
      <c r="Z71" s="6">
        <f>Cleaned_MLB_Stats_Dataset__1[[#This Row],[On Base Percentage]]+Cleaned_MLB_Stats_Dataset__1[[#This Row],[Slugging %]]</f>
        <v>0.95398621628520375</v>
      </c>
      <c r="AA71" s="6">
        <f>Cleaned_MLB_Stats_Dataset__1[[#This Row],[Slugging %]]-Cleaned_MLB_Stats_Dataset__1[[#This Row],[Batting Average]]</f>
        <v>0.27329192546583853</v>
      </c>
      <c r="AB71" s="6">
        <f>Cleaned_MLB_Stats_Dataset__1[[#This Row],[Batting Average]]-_xlfn.XLOOKUP(Cleaned_MLB_Stats_Dataset__1[[#This Row],[Year]],'League Averages'!$A$3:$A$23,'League Averages'!$B$3:$B$23)</f>
        <v>3.7242236024844722E-2</v>
      </c>
      <c r="AC71" s="6">
        <f>Cleaned_MLB_Stats_Dataset__1[[#This Row],[On Base Percentage]]-_xlfn.XLOOKUP(Cleaned_MLB_Stats_Dataset__1[[#This Row],[Year]],'League Averages'!$A$3:$A$23,'League Averages'!$C$3:$C$23)</f>
        <v>4.9452054794520528E-2</v>
      </c>
      <c r="AD71" s="6">
        <f>Cleaned_MLB_Stats_Dataset__1[[#This Row],[Slugging %]]-_xlfn.XLOOKUP(Cleaned_MLB_Stats_Dataset__1[[#This Row],[Year]],'League Averages'!$A$3:$A$23,'League Averages'!$D$3:$D$23)</f>
        <v>0.15553416149068328</v>
      </c>
      <c r="AE71" s="6">
        <f>Cleaned_MLB_Stats_Dataset__1[[#This Row],[OPS (On Base + Slugging)]]-_xlfn.XLOOKUP(Cleaned_MLB_Stats_Dataset__1[[#This Row],[Year]],'League Averages'!$A$3:$A$23,'League Averages'!$E$3:$E$23)</f>
        <v>0.20498621628520375</v>
      </c>
      <c r="AF71" s="6">
        <f>Cleaned_MLB_Stats_Dataset__1[[#This Row],[ISO (Isolated Power]]-_xlfn.XLOOKUP(Cleaned_MLB_Stats_Dataset__1[[#This Row],[Year]],'League Averages'!$A$3:$A$23,'League Averages'!$F$3:$F$23)</f>
        <v>0.11829192546583853</v>
      </c>
    </row>
    <row r="72" spans="1:32" x14ac:dyDescent="0.2">
      <c r="A72" t="s">
        <v>310</v>
      </c>
      <c r="B72">
        <v>2006</v>
      </c>
      <c r="C72" t="s">
        <v>198</v>
      </c>
      <c r="D72" t="s">
        <v>6</v>
      </c>
      <c r="E72" t="s">
        <v>68</v>
      </c>
      <c r="F72" t="str">
        <f>_xlfn.XLOOKUP(Cleaned_MLB_Stats_Dataset__1[[#This Row],[Position'#]],$B$373:$B$382,$A$373:$A$382)</f>
        <v>1B</v>
      </c>
      <c r="G72">
        <v>3</v>
      </c>
      <c r="H72">
        <v>558</v>
      </c>
      <c r="I72">
        <v>160</v>
      </c>
      <c r="J72">
        <v>29</v>
      </c>
      <c r="K72">
        <v>2</v>
      </c>
      <c r="L72">
        <v>54</v>
      </c>
      <c r="M72">
        <v>115</v>
      </c>
      <c r="N72">
        <v>137</v>
      </c>
      <c r="O72">
        <v>117</v>
      </c>
      <c r="P72">
        <v>119</v>
      </c>
      <c r="Q72">
        <v>23</v>
      </c>
      <c r="R72">
        <v>4</v>
      </c>
      <c r="S72">
        <v>5</v>
      </c>
      <c r="T72">
        <v>0</v>
      </c>
      <c r="U72" s="6">
        <f>Cleaned_MLB_Stats_Dataset__1[[#This Row],[Hits]]/Cleaned_MLB_Stats_Dataset__1[[#This Row],[At Bats]]</f>
        <v>0.28673835125448027</v>
      </c>
      <c r="V72" s="6">
        <f>Cleaned_MLB_Stats_Dataset__1[[#This Row],[Strikeouts]]/(Cleaned_MLB_Stats_Dataset__1[[#This Row],[At Bats]]+Cleaned_MLB_Stats_Dataset__1[[#This Row],[Walks]])</f>
        <v>0.17282127031019201</v>
      </c>
      <c r="W7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0.18061674008810572</v>
      </c>
      <c r="X7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0.41253644314868804</v>
      </c>
      <c r="Y7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0.63620071684587809</v>
      </c>
      <c r="Z72" s="6">
        <f>Cleaned_MLB_Stats_Dataset__1[[#This Row],[On Base Percentage]]+Cleaned_MLB_Stats_Dataset__1[[#This Row],[Slugging %]]</f>
        <v>1.0487371599945661</v>
      </c>
      <c r="AA72" s="6">
        <f>Cleaned_MLB_Stats_Dataset__1[[#This Row],[Slugging %]]-Cleaned_MLB_Stats_Dataset__1[[#This Row],[Batting Average]]</f>
        <v>0.34946236559139782</v>
      </c>
      <c r="AB72" s="6">
        <f>Cleaned_MLB_Stats_Dataset__1[[#This Row],[Batting Average]]-_xlfn.XLOOKUP(Cleaned_MLB_Stats_Dataset__1[[#This Row],[Year]],'League Averages'!$A$3:$A$23,'League Averages'!$B$3:$B$23)</f>
        <v>1.7738351254480256E-2</v>
      </c>
      <c r="AC72" s="6">
        <f>Cleaned_MLB_Stats_Dataset__1[[#This Row],[On Base Percentage]]-_xlfn.XLOOKUP(Cleaned_MLB_Stats_Dataset__1[[#This Row],[Year]],'League Averages'!$A$3:$A$23,'League Averages'!$C$3:$C$23)</f>
        <v>7.6536443148688016E-2</v>
      </c>
      <c r="AD72" s="6">
        <f>Cleaned_MLB_Stats_Dataset__1[[#This Row],[Slugging %]]-_xlfn.XLOOKUP(Cleaned_MLB_Stats_Dataset__1[[#This Row],[Year]],'League Averages'!$A$3:$A$23,'League Averages'!$D$3:$D$23)</f>
        <v>0.20420071684587809</v>
      </c>
      <c r="AE72" s="6">
        <f>Cleaned_MLB_Stats_Dataset__1[[#This Row],[OPS (On Base + Slugging)]]-_xlfn.XLOOKUP(Cleaned_MLB_Stats_Dataset__1[[#This Row],[Year]],'League Averages'!$A$3:$A$23,'League Averages'!$E$3:$E$23)</f>
        <v>0.28073715999456605</v>
      </c>
      <c r="AF72" s="6">
        <f>Cleaned_MLB_Stats_Dataset__1[[#This Row],[ISO (Isolated Power]]-_xlfn.XLOOKUP(Cleaned_MLB_Stats_Dataset__1[[#This Row],[Year]],'League Averages'!$A$3:$A$23,'League Averages'!$F$3:$F$23)</f>
        <v>0.18646236559139781</v>
      </c>
    </row>
    <row r="73" spans="1:32" x14ac:dyDescent="0.2">
      <c r="A73" t="s">
        <v>310</v>
      </c>
      <c r="B73">
        <v>2011</v>
      </c>
      <c r="C73" t="s">
        <v>244</v>
      </c>
      <c r="D73" t="s">
        <v>6</v>
      </c>
      <c r="E73" t="s">
        <v>92</v>
      </c>
      <c r="F73" t="str">
        <f>_xlfn.XLOOKUP(Cleaned_MLB_Stats_Dataset__1[[#This Row],[Position'#]],$B$373:$B$382,$A$373:$A$382)</f>
        <v>RF</v>
      </c>
      <c r="G73">
        <v>9</v>
      </c>
      <c r="H73">
        <v>513</v>
      </c>
      <c r="I73">
        <v>155</v>
      </c>
      <c r="J73">
        <v>24</v>
      </c>
      <c r="K73">
        <v>2</v>
      </c>
      <c r="L73">
        <v>43</v>
      </c>
      <c r="M73">
        <v>105</v>
      </c>
      <c r="N73">
        <v>103</v>
      </c>
      <c r="O73">
        <v>111</v>
      </c>
      <c r="P73">
        <v>132</v>
      </c>
      <c r="Q73">
        <v>24</v>
      </c>
      <c r="R73">
        <v>6</v>
      </c>
      <c r="S73">
        <v>4</v>
      </c>
      <c r="T73">
        <v>0</v>
      </c>
      <c r="U73" s="6">
        <f>Cleaned_MLB_Stats_Dataset__1[[#This Row],[Hits]]/Cleaned_MLB_Stats_Dataset__1[[#This Row],[At Bats]]</f>
        <v>0.30214424951267055</v>
      </c>
      <c r="V73" s="6">
        <f>Cleaned_MLB_Stats_Dataset__1[[#This Row],[Strikeouts]]/(Cleaned_MLB_Stats_Dataset__1[[#This Row],[At Bats]]+Cleaned_MLB_Stats_Dataset__1[[#This Row],[Walks]])</f>
        <v>0.17209302325581396</v>
      </c>
      <c r="W7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0.2119815668202765</v>
      </c>
      <c r="X7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0.44732824427480916</v>
      </c>
      <c r="Y7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0.60818713450292394</v>
      </c>
      <c r="Z73" s="6">
        <f>Cleaned_MLB_Stats_Dataset__1[[#This Row],[On Base Percentage]]+Cleaned_MLB_Stats_Dataset__1[[#This Row],[Slugging %]]</f>
        <v>1.0555153787777332</v>
      </c>
      <c r="AA73" s="6">
        <f>Cleaned_MLB_Stats_Dataset__1[[#This Row],[Slugging %]]-Cleaned_MLB_Stats_Dataset__1[[#This Row],[Batting Average]]</f>
        <v>0.30604288499025339</v>
      </c>
      <c r="AB73" s="6">
        <f>Cleaned_MLB_Stats_Dataset__1[[#This Row],[Batting Average]]-_xlfn.XLOOKUP(Cleaned_MLB_Stats_Dataset__1[[#This Row],[Year]],'League Averages'!$A$3:$A$23,'League Averages'!$B$3:$B$23)</f>
        <v>4.7144249512670544E-2</v>
      </c>
      <c r="AC73" s="6">
        <f>Cleaned_MLB_Stats_Dataset__1[[#This Row],[On Base Percentage]]-_xlfn.XLOOKUP(Cleaned_MLB_Stats_Dataset__1[[#This Row],[Year]],'League Averages'!$A$3:$A$23,'League Averages'!$C$3:$C$23)</f>
        <v>0.12632824427480915</v>
      </c>
      <c r="AD73" s="6">
        <f>Cleaned_MLB_Stats_Dataset__1[[#This Row],[Slugging %]]-_xlfn.XLOOKUP(Cleaned_MLB_Stats_Dataset__1[[#This Row],[Year]],'League Averages'!$A$3:$A$23,'League Averages'!$D$3:$D$23)</f>
        <v>0.20918713450292392</v>
      </c>
      <c r="AE73" s="6">
        <f>Cleaned_MLB_Stats_Dataset__1[[#This Row],[OPS (On Base + Slugging)]]-_xlfn.XLOOKUP(Cleaned_MLB_Stats_Dataset__1[[#This Row],[Year]],'League Averages'!$A$3:$A$23,'League Averages'!$E$3:$E$23)</f>
        <v>0.33551537877773319</v>
      </c>
      <c r="AF73" s="6">
        <f>Cleaned_MLB_Stats_Dataset__1[[#This Row],[ISO (Isolated Power]]-_xlfn.XLOOKUP(Cleaned_MLB_Stats_Dataset__1[[#This Row],[Year]],'League Averages'!$A$3:$A$23,'League Averages'!$F$3:$F$23)</f>
        <v>0.16204288499025341</v>
      </c>
    </row>
    <row r="74" spans="1:32" x14ac:dyDescent="0.2">
      <c r="A74" t="s">
        <v>310</v>
      </c>
      <c r="B74">
        <v>2008</v>
      </c>
      <c r="C74" t="s">
        <v>171</v>
      </c>
      <c r="D74" t="s">
        <v>3</v>
      </c>
      <c r="E74" t="s">
        <v>80</v>
      </c>
      <c r="F74" t="str">
        <f>_xlfn.XLOOKUP(Cleaned_MLB_Stats_Dataset__1[[#This Row],[Position'#]],$B$373:$B$382,$A$373:$A$382)</f>
        <v>LF</v>
      </c>
      <c r="G74">
        <v>7</v>
      </c>
      <c r="H74">
        <v>187</v>
      </c>
      <c r="I74">
        <v>74</v>
      </c>
      <c r="J74">
        <v>14</v>
      </c>
      <c r="K74">
        <v>0</v>
      </c>
      <c r="L74">
        <v>17</v>
      </c>
      <c r="M74">
        <v>36</v>
      </c>
      <c r="N74">
        <v>53</v>
      </c>
      <c r="O74">
        <v>38</v>
      </c>
      <c r="P74">
        <v>35</v>
      </c>
      <c r="Q74">
        <v>16</v>
      </c>
      <c r="R74">
        <v>3</v>
      </c>
      <c r="S74">
        <v>4</v>
      </c>
      <c r="T74">
        <v>0</v>
      </c>
      <c r="U74" s="6">
        <f>Cleaned_MLB_Stats_Dataset__1[[#This Row],[Hits]]/Cleaned_MLB_Stats_Dataset__1[[#This Row],[At Bats]]</f>
        <v>0.39572192513368987</v>
      </c>
      <c r="V74" s="6">
        <f>Cleaned_MLB_Stats_Dataset__1[[#This Row],[Strikeouts]]/(Cleaned_MLB_Stats_Dataset__1[[#This Row],[At Bats]]+Cleaned_MLB_Stats_Dataset__1[[#This Row],[Walks]])</f>
        <v>0.17117117117117117</v>
      </c>
      <c r="W7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0.16888888888888889</v>
      </c>
      <c r="X7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0.48908296943231439</v>
      </c>
      <c r="Y7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0.74331550802139035</v>
      </c>
      <c r="Z74" s="6">
        <f>Cleaned_MLB_Stats_Dataset__1[[#This Row],[On Base Percentage]]+Cleaned_MLB_Stats_Dataset__1[[#This Row],[Slugging %]]</f>
        <v>1.2323984774537047</v>
      </c>
      <c r="AA74" s="6">
        <f>Cleaned_MLB_Stats_Dataset__1[[#This Row],[Slugging %]]-Cleaned_MLB_Stats_Dataset__1[[#This Row],[Batting Average]]</f>
        <v>0.34759358288770048</v>
      </c>
      <c r="AB74" s="6">
        <f>Cleaned_MLB_Stats_Dataset__1[[#This Row],[Batting Average]]-_xlfn.XLOOKUP(Cleaned_MLB_Stats_Dataset__1[[#This Row],[Year]],'League Averages'!$A$3:$A$23,'League Averages'!$B$3:$B$23)</f>
        <v>0.13172192513368985</v>
      </c>
      <c r="AC74" s="6">
        <f>Cleaned_MLB_Stats_Dataset__1[[#This Row],[On Base Percentage]]-_xlfn.XLOOKUP(Cleaned_MLB_Stats_Dataset__1[[#This Row],[Year]],'League Averages'!$A$3:$A$23,'League Averages'!$C$3:$C$23)</f>
        <v>0.15608296943231437</v>
      </c>
      <c r="AD74" s="6">
        <f>Cleaned_MLB_Stats_Dataset__1[[#This Row],[Slugging %]]-_xlfn.XLOOKUP(Cleaned_MLB_Stats_Dataset__1[[#This Row],[Year]],'League Averages'!$A$3:$A$23,'League Averages'!$D$3:$D$23)</f>
        <v>0.32731550802139037</v>
      </c>
      <c r="AE74" s="6">
        <f>Cleaned_MLB_Stats_Dataset__1[[#This Row],[OPS (On Base + Slugging)]]-_xlfn.XLOOKUP(Cleaned_MLB_Stats_Dataset__1[[#This Row],[Year]],'League Averages'!$A$3:$A$23,'League Averages'!$E$3:$E$23)</f>
        <v>0.48339847745370468</v>
      </c>
      <c r="AF74" s="6">
        <f>Cleaned_MLB_Stats_Dataset__1[[#This Row],[ISO (Isolated Power]]-_xlfn.XLOOKUP(Cleaned_MLB_Stats_Dataset__1[[#This Row],[Year]],'League Averages'!$A$3:$A$23,'League Averages'!$F$3:$F$23)</f>
        <v>0.19559358288770048</v>
      </c>
    </row>
    <row r="75" spans="1:32" x14ac:dyDescent="0.2">
      <c r="A75" t="s">
        <v>310</v>
      </c>
      <c r="B75">
        <v>2011</v>
      </c>
      <c r="C75" t="s">
        <v>261</v>
      </c>
      <c r="D75" t="s">
        <v>3</v>
      </c>
      <c r="E75" t="s">
        <v>85</v>
      </c>
      <c r="F75" t="str">
        <f>_xlfn.XLOOKUP(Cleaned_MLB_Stats_Dataset__1[[#This Row],[Position'#]],$B$373:$B$382,$A$373:$A$382)</f>
        <v>C</v>
      </c>
      <c r="G75">
        <v>2</v>
      </c>
      <c r="H75">
        <v>466</v>
      </c>
      <c r="I75">
        <v>126</v>
      </c>
      <c r="J75">
        <v>19</v>
      </c>
      <c r="K75">
        <v>0</v>
      </c>
      <c r="L75">
        <v>24</v>
      </c>
      <c r="M75">
        <v>51</v>
      </c>
      <c r="N75">
        <v>71</v>
      </c>
      <c r="O75">
        <v>89</v>
      </c>
      <c r="P75">
        <v>57</v>
      </c>
      <c r="Q75">
        <v>14</v>
      </c>
      <c r="R75">
        <v>2</v>
      </c>
      <c r="S75">
        <v>2</v>
      </c>
      <c r="T75">
        <v>0</v>
      </c>
      <c r="U75" s="6">
        <f>Cleaned_MLB_Stats_Dataset__1[[#This Row],[Hits]]/Cleaned_MLB_Stats_Dataset__1[[#This Row],[At Bats]]</f>
        <v>0.27038626609442062</v>
      </c>
      <c r="V75" s="6">
        <f>Cleaned_MLB_Stats_Dataset__1[[#This Row],[Strikeouts]]/(Cleaned_MLB_Stats_Dataset__1[[#This Row],[At Bats]]+Cleaned_MLB_Stats_Dataset__1[[#This Row],[Walks]])</f>
        <v>0.17017208413001911</v>
      </c>
      <c r="W7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0.11238095238095239</v>
      </c>
      <c r="X7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0.35104364326375709</v>
      </c>
      <c r="Y7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0.46566523605150212</v>
      </c>
      <c r="Z75" s="6">
        <f>Cleaned_MLB_Stats_Dataset__1[[#This Row],[On Base Percentage]]+Cleaned_MLB_Stats_Dataset__1[[#This Row],[Slugging %]]</f>
        <v>0.81670887931525926</v>
      </c>
      <c r="AA75" s="6">
        <f>Cleaned_MLB_Stats_Dataset__1[[#This Row],[Slugging %]]-Cleaned_MLB_Stats_Dataset__1[[#This Row],[Batting Average]]</f>
        <v>0.19527896995708149</v>
      </c>
      <c r="AB75" s="6">
        <f>Cleaned_MLB_Stats_Dataset__1[[#This Row],[Batting Average]]-_xlfn.XLOOKUP(Cleaned_MLB_Stats_Dataset__1[[#This Row],[Year]],'League Averages'!$A$3:$A$23,'League Averages'!$B$3:$B$23)</f>
        <v>1.538626609442062E-2</v>
      </c>
      <c r="AC75" s="6">
        <f>Cleaned_MLB_Stats_Dataset__1[[#This Row],[On Base Percentage]]-_xlfn.XLOOKUP(Cleaned_MLB_Stats_Dataset__1[[#This Row],[Year]],'League Averages'!$A$3:$A$23,'League Averages'!$C$3:$C$23)</f>
        <v>3.004364326375708E-2</v>
      </c>
      <c r="AD75" s="6">
        <f>Cleaned_MLB_Stats_Dataset__1[[#This Row],[Slugging %]]-_xlfn.XLOOKUP(Cleaned_MLB_Stats_Dataset__1[[#This Row],[Year]],'League Averages'!$A$3:$A$23,'League Averages'!$D$3:$D$23)</f>
        <v>6.6665236051502097E-2</v>
      </c>
      <c r="AE75" s="6">
        <f>Cleaned_MLB_Stats_Dataset__1[[#This Row],[OPS (On Base + Slugging)]]-_xlfn.XLOOKUP(Cleaned_MLB_Stats_Dataset__1[[#This Row],[Year]],'League Averages'!$A$3:$A$23,'League Averages'!$E$3:$E$23)</f>
        <v>9.6708879315259288E-2</v>
      </c>
      <c r="AF75" s="6">
        <f>Cleaned_MLB_Stats_Dataset__1[[#This Row],[ISO (Isolated Power]]-_xlfn.XLOOKUP(Cleaned_MLB_Stats_Dataset__1[[#This Row],[Year]],'League Averages'!$A$3:$A$23,'League Averages'!$F$3:$F$23)</f>
        <v>5.1278969957081505E-2</v>
      </c>
    </row>
    <row r="76" spans="1:32" x14ac:dyDescent="0.2">
      <c r="A76" t="s">
        <v>310</v>
      </c>
      <c r="B76">
        <v>2008</v>
      </c>
      <c r="C76" t="s">
        <v>249</v>
      </c>
      <c r="D76" t="s">
        <v>3</v>
      </c>
      <c r="E76" t="s">
        <v>164</v>
      </c>
      <c r="F76" t="str">
        <f>_xlfn.XLOOKUP(Cleaned_MLB_Stats_Dataset__1[[#This Row],[Position'#]],$B$373:$B$382,$A$373:$A$382)</f>
        <v>RF</v>
      </c>
      <c r="G76">
        <v>9</v>
      </c>
      <c r="H76">
        <v>539</v>
      </c>
      <c r="I76">
        <v>173</v>
      </c>
      <c r="J76">
        <v>38</v>
      </c>
      <c r="K76">
        <v>2</v>
      </c>
      <c r="L76">
        <v>25</v>
      </c>
      <c r="M76">
        <v>107</v>
      </c>
      <c r="N76">
        <v>88</v>
      </c>
      <c r="O76">
        <v>104</v>
      </c>
      <c r="P76">
        <v>74</v>
      </c>
      <c r="Q76">
        <v>6</v>
      </c>
      <c r="R76">
        <v>8</v>
      </c>
      <c r="S76">
        <v>2</v>
      </c>
      <c r="T76">
        <v>0</v>
      </c>
      <c r="U76" s="6">
        <f>Cleaned_MLB_Stats_Dataset__1[[#This Row],[Hits]]/Cleaned_MLB_Stats_Dataset__1[[#This Row],[At Bats]]</f>
        <v>0.3209647495361781</v>
      </c>
      <c r="V76" s="6">
        <f>Cleaned_MLB_Stats_Dataset__1[[#This Row],[Strikeouts]]/(Cleaned_MLB_Stats_Dataset__1[[#This Row],[At Bats]]+Cleaned_MLB_Stats_Dataset__1[[#This Row],[Walks]])</f>
        <v>0.16965742251223492</v>
      </c>
      <c r="W7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0.1320450885668277</v>
      </c>
      <c r="X7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0.40930979133226325</v>
      </c>
      <c r="Y7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0.53803339517625237</v>
      </c>
      <c r="Z76" s="6">
        <f>Cleaned_MLB_Stats_Dataset__1[[#This Row],[On Base Percentage]]+Cleaned_MLB_Stats_Dataset__1[[#This Row],[Slugging %]]</f>
        <v>0.94734318650851557</v>
      </c>
      <c r="AA76" s="6">
        <f>Cleaned_MLB_Stats_Dataset__1[[#This Row],[Slugging %]]-Cleaned_MLB_Stats_Dataset__1[[#This Row],[Batting Average]]</f>
        <v>0.21706864564007428</v>
      </c>
      <c r="AB76" s="6">
        <f>Cleaned_MLB_Stats_Dataset__1[[#This Row],[Batting Average]]-_xlfn.XLOOKUP(Cleaned_MLB_Stats_Dataset__1[[#This Row],[Year]],'League Averages'!$A$3:$A$23,'League Averages'!$B$3:$B$23)</f>
        <v>5.6964749536178083E-2</v>
      </c>
      <c r="AC76" s="6">
        <f>Cleaned_MLB_Stats_Dataset__1[[#This Row],[On Base Percentage]]-_xlfn.XLOOKUP(Cleaned_MLB_Stats_Dataset__1[[#This Row],[Year]],'League Averages'!$A$3:$A$23,'League Averages'!$C$3:$C$23)</f>
        <v>7.6309791332263233E-2</v>
      </c>
      <c r="AD76" s="6">
        <f>Cleaned_MLB_Stats_Dataset__1[[#This Row],[Slugging %]]-_xlfn.XLOOKUP(Cleaned_MLB_Stats_Dataset__1[[#This Row],[Year]],'League Averages'!$A$3:$A$23,'League Averages'!$D$3:$D$23)</f>
        <v>0.12203339517625239</v>
      </c>
      <c r="AE76" s="6">
        <f>Cleaned_MLB_Stats_Dataset__1[[#This Row],[OPS (On Base + Slugging)]]-_xlfn.XLOOKUP(Cleaned_MLB_Stats_Dataset__1[[#This Row],[Year]],'League Averages'!$A$3:$A$23,'League Averages'!$E$3:$E$23)</f>
        <v>0.19834318650851557</v>
      </c>
      <c r="AF76" s="6">
        <f>Cleaned_MLB_Stats_Dataset__1[[#This Row],[ISO (Isolated Power]]-_xlfn.XLOOKUP(Cleaned_MLB_Stats_Dataset__1[[#This Row],[Year]],'League Averages'!$A$3:$A$23,'League Averages'!$F$3:$F$23)</f>
        <v>6.506864564007428E-2</v>
      </c>
    </row>
    <row r="77" spans="1:32" x14ac:dyDescent="0.2">
      <c r="A77" t="s">
        <v>310</v>
      </c>
      <c r="B77">
        <v>2010</v>
      </c>
      <c r="C77" t="s">
        <v>278</v>
      </c>
      <c r="D77" t="s">
        <v>6</v>
      </c>
      <c r="E77" t="s">
        <v>90</v>
      </c>
      <c r="F77" t="str">
        <f>_xlfn.XLOOKUP(Cleaned_MLB_Stats_Dataset__1[[#This Row],[Position'#]],$B$373:$B$382,$A$373:$A$382)</f>
        <v>CF</v>
      </c>
      <c r="G77">
        <v>8</v>
      </c>
      <c r="H77">
        <v>518</v>
      </c>
      <c r="I77">
        <v>186</v>
      </c>
      <c r="J77">
        <v>40</v>
      </c>
      <c r="K77">
        <v>3</v>
      </c>
      <c r="L77">
        <v>32</v>
      </c>
      <c r="M77">
        <v>95</v>
      </c>
      <c r="N77">
        <v>100</v>
      </c>
      <c r="O77">
        <v>95</v>
      </c>
      <c r="P77">
        <v>43</v>
      </c>
      <c r="Q77">
        <v>5</v>
      </c>
      <c r="R77">
        <v>5</v>
      </c>
      <c r="S77">
        <v>4</v>
      </c>
      <c r="T77">
        <v>1</v>
      </c>
      <c r="U77" s="6">
        <f>Cleaned_MLB_Stats_Dataset__1[[#This Row],[Hits]]/Cleaned_MLB_Stats_Dataset__1[[#This Row],[At Bats]]</f>
        <v>0.35907335907335908</v>
      </c>
      <c r="V77" s="6">
        <f>Cleaned_MLB_Stats_Dataset__1[[#This Row],[Strikeouts]]/(Cleaned_MLB_Stats_Dataset__1[[#This Row],[At Bats]]+Cleaned_MLB_Stats_Dataset__1[[#This Row],[Walks]])</f>
        <v>0.16934046345811052</v>
      </c>
      <c r="W7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8.4805653710247356E-2</v>
      </c>
      <c r="X7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0.41052631578947368</v>
      </c>
      <c r="Y7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0.63320463320463316</v>
      </c>
      <c r="Z77" s="6">
        <f>Cleaned_MLB_Stats_Dataset__1[[#This Row],[On Base Percentage]]+Cleaned_MLB_Stats_Dataset__1[[#This Row],[Slugging %]]</f>
        <v>1.0437309489941069</v>
      </c>
      <c r="AA77" s="6">
        <f>Cleaned_MLB_Stats_Dataset__1[[#This Row],[Slugging %]]-Cleaned_MLB_Stats_Dataset__1[[#This Row],[Batting Average]]</f>
        <v>0.27413127413127408</v>
      </c>
      <c r="AB77" s="6">
        <f>Cleaned_MLB_Stats_Dataset__1[[#This Row],[Batting Average]]-_xlfn.XLOOKUP(Cleaned_MLB_Stats_Dataset__1[[#This Row],[Year]],'League Averages'!$A$3:$A$23,'League Averages'!$B$3:$B$23)</f>
        <v>0.10207335907335907</v>
      </c>
      <c r="AC77" s="6">
        <f>Cleaned_MLB_Stats_Dataset__1[[#This Row],[On Base Percentage]]-_xlfn.XLOOKUP(Cleaned_MLB_Stats_Dataset__1[[#This Row],[Year]],'League Averages'!$A$3:$A$23,'League Averages'!$C$3:$C$23)</f>
        <v>8.5526315789473673E-2</v>
      </c>
      <c r="AD77" s="6">
        <f>Cleaned_MLB_Stats_Dataset__1[[#This Row],[Slugging %]]-_xlfn.XLOOKUP(Cleaned_MLB_Stats_Dataset__1[[#This Row],[Year]],'League Averages'!$A$3:$A$23,'League Averages'!$D$3:$D$23)</f>
        <v>0.23020463320463314</v>
      </c>
      <c r="AE77" s="6">
        <f>Cleaned_MLB_Stats_Dataset__1[[#This Row],[OPS (On Base + Slugging)]]-_xlfn.XLOOKUP(Cleaned_MLB_Stats_Dataset__1[[#This Row],[Year]],'League Averages'!$A$3:$A$23,'League Averages'!$E$3:$E$23)</f>
        <v>0.31573094899410692</v>
      </c>
      <c r="AF77" s="6">
        <f>Cleaned_MLB_Stats_Dataset__1[[#This Row],[ISO (Isolated Power]]-_xlfn.XLOOKUP(Cleaned_MLB_Stats_Dataset__1[[#This Row],[Year]],'League Averages'!$A$3:$A$23,'League Averages'!$F$3:$F$23)</f>
        <v>0.12813127413127409</v>
      </c>
    </row>
    <row r="78" spans="1:32" x14ac:dyDescent="0.2">
      <c r="A78" t="s">
        <v>310</v>
      </c>
      <c r="B78">
        <v>2011</v>
      </c>
      <c r="C78" t="s">
        <v>246</v>
      </c>
      <c r="D78" t="s">
        <v>6</v>
      </c>
      <c r="E78" t="s">
        <v>68</v>
      </c>
      <c r="F78" t="str">
        <f>_xlfn.XLOOKUP(Cleaned_MLB_Stats_Dataset__1[[#This Row],[Position'#]],$B$373:$B$382,$A$373:$A$382)</f>
        <v>1B</v>
      </c>
      <c r="G78">
        <v>3</v>
      </c>
      <c r="H78">
        <v>630</v>
      </c>
      <c r="I78">
        <v>213</v>
      </c>
      <c r="J78">
        <v>45</v>
      </c>
      <c r="K78">
        <v>3</v>
      </c>
      <c r="L78">
        <v>27</v>
      </c>
      <c r="M78">
        <v>108</v>
      </c>
      <c r="N78">
        <v>117</v>
      </c>
      <c r="O78">
        <v>119</v>
      </c>
      <c r="P78">
        <v>74</v>
      </c>
      <c r="Q78">
        <v>20</v>
      </c>
      <c r="R78">
        <v>6</v>
      </c>
      <c r="S78">
        <v>5</v>
      </c>
      <c r="T78">
        <v>0</v>
      </c>
      <c r="U78" s="6">
        <f>Cleaned_MLB_Stats_Dataset__1[[#This Row],[Hits]]/Cleaned_MLB_Stats_Dataset__1[[#This Row],[At Bats]]</f>
        <v>0.33809523809523812</v>
      </c>
      <c r="V78" s="6">
        <f>Cleaned_MLB_Stats_Dataset__1[[#This Row],[Strikeouts]]/(Cleaned_MLB_Stats_Dataset__1[[#This Row],[At Bats]]+Cleaned_MLB_Stats_Dataset__1[[#This Row],[Walks]])</f>
        <v>0.16903409090909091</v>
      </c>
      <c r="W7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0.11267605633802817</v>
      </c>
      <c r="X7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0.4097902097902098</v>
      </c>
      <c r="Y7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0.54761904761904767</v>
      </c>
      <c r="Z78" s="6">
        <f>Cleaned_MLB_Stats_Dataset__1[[#This Row],[On Base Percentage]]+Cleaned_MLB_Stats_Dataset__1[[#This Row],[Slugging %]]</f>
        <v>0.95740925740925742</v>
      </c>
      <c r="AA78" s="6">
        <f>Cleaned_MLB_Stats_Dataset__1[[#This Row],[Slugging %]]-Cleaned_MLB_Stats_Dataset__1[[#This Row],[Batting Average]]</f>
        <v>0.20952380952380956</v>
      </c>
      <c r="AB78" s="6">
        <f>Cleaned_MLB_Stats_Dataset__1[[#This Row],[Batting Average]]-_xlfn.XLOOKUP(Cleaned_MLB_Stats_Dataset__1[[#This Row],[Year]],'League Averages'!$A$3:$A$23,'League Averages'!$B$3:$B$23)</f>
        <v>8.3095238095238111E-2</v>
      </c>
      <c r="AC78" s="6">
        <f>Cleaned_MLB_Stats_Dataset__1[[#This Row],[On Base Percentage]]-_xlfn.XLOOKUP(Cleaned_MLB_Stats_Dataset__1[[#This Row],[Year]],'League Averages'!$A$3:$A$23,'League Averages'!$C$3:$C$23)</f>
        <v>8.8790209790209795E-2</v>
      </c>
      <c r="AD78" s="6">
        <f>Cleaned_MLB_Stats_Dataset__1[[#This Row],[Slugging %]]-_xlfn.XLOOKUP(Cleaned_MLB_Stats_Dataset__1[[#This Row],[Year]],'League Averages'!$A$3:$A$23,'League Averages'!$D$3:$D$23)</f>
        <v>0.14861904761904765</v>
      </c>
      <c r="AE78" s="6">
        <f>Cleaned_MLB_Stats_Dataset__1[[#This Row],[OPS (On Base + Slugging)]]-_xlfn.XLOOKUP(Cleaned_MLB_Stats_Dataset__1[[#This Row],[Year]],'League Averages'!$A$3:$A$23,'League Averages'!$E$3:$E$23)</f>
        <v>0.23740925740925745</v>
      </c>
      <c r="AF78" s="6">
        <f>Cleaned_MLB_Stats_Dataset__1[[#This Row],[ISO (Isolated Power]]-_xlfn.XLOOKUP(Cleaned_MLB_Stats_Dataset__1[[#This Row],[Year]],'League Averages'!$A$3:$A$23,'League Averages'!$F$3:$F$23)</f>
        <v>6.5523809523809567E-2</v>
      </c>
    </row>
    <row r="79" spans="1:32" x14ac:dyDescent="0.2">
      <c r="A79" t="s">
        <v>310</v>
      </c>
      <c r="B79">
        <v>2013</v>
      </c>
      <c r="C79" t="s">
        <v>273</v>
      </c>
      <c r="D79" t="s">
        <v>3</v>
      </c>
      <c r="E79" t="s">
        <v>164</v>
      </c>
      <c r="F79" t="str">
        <f>_xlfn.XLOOKUP(Cleaned_MLB_Stats_Dataset__1[[#This Row],[Position'#]],$B$373:$B$382,$A$373:$A$382)</f>
        <v>SS</v>
      </c>
      <c r="G79">
        <v>6</v>
      </c>
      <c r="H79">
        <v>446</v>
      </c>
      <c r="I79">
        <v>139</v>
      </c>
      <c r="J79">
        <v>27</v>
      </c>
      <c r="K79">
        <v>0</v>
      </c>
      <c r="L79">
        <v>25</v>
      </c>
      <c r="M79">
        <v>72</v>
      </c>
      <c r="N79">
        <v>82</v>
      </c>
      <c r="O79">
        <v>85</v>
      </c>
      <c r="P79">
        <v>57</v>
      </c>
      <c r="Q79">
        <v>5</v>
      </c>
      <c r="R79">
        <v>4</v>
      </c>
      <c r="S79">
        <v>5</v>
      </c>
      <c r="T79">
        <v>0</v>
      </c>
      <c r="U79" s="6">
        <f>Cleaned_MLB_Stats_Dataset__1[[#This Row],[Hits]]/Cleaned_MLB_Stats_Dataset__1[[#This Row],[At Bats]]</f>
        <v>0.31165919282511212</v>
      </c>
      <c r="V79" s="6">
        <f>Cleaned_MLB_Stats_Dataset__1[[#This Row],[Strikeouts]]/(Cleaned_MLB_Stats_Dataset__1[[#This Row],[At Bats]]+Cleaned_MLB_Stats_Dataset__1[[#This Row],[Walks]])</f>
        <v>0.16898608349900596</v>
      </c>
      <c r="W7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0.1203155818540434</v>
      </c>
      <c r="X7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0.390625</v>
      </c>
      <c r="Y7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0.54035874439461884</v>
      </c>
      <c r="Z79" s="6">
        <f>Cleaned_MLB_Stats_Dataset__1[[#This Row],[On Base Percentage]]+Cleaned_MLB_Stats_Dataset__1[[#This Row],[Slugging %]]</f>
        <v>0.93098374439461884</v>
      </c>
      <c r="AA79" s="6">
        <f>Cleaned_MLB_Stats_Dataset__1[[#This Row],[Slugging %]]-Cleaned_MLB_Stats_Dataset__1[[#This Row],[Batting Average]]</f>
        <v>0.22869955156950672</v>
      </c>
      <c r="AB79" s="6">
        <f>Cleaned_MLB_Stats_Dataset__1[[#This Row],[Batting Average]]-_xlfn.XLOOKUP(Cleaned_MLB_Stats_Dataset__1[[#This Row],[Year]],'League Averages'!$A$3:$A$23,'League Averages'!$B$3:$B$23)</f>
        <v>5.8659192825112116E-2</v>
      </c>
      <c r="AC79" s="6">
        <f>Cleaned_MLB_Stats_Dataset__1[[#This Row],[On Base Percentage]]-_xlfn.XLOOKUP(Cleaned_MLB_Stats_Dataset__1[[#This Row],[Year]],'League Averages'!$A$3:$A$23,'League Averages'!$C$3:$C$23)</f>
        <v>7.2624999999999995E-2</v>
      </c>
      <c r="AD79" s="6">
        <f>Cleaned_MLB_Stats_Dataset__1[[#This Row],[Slugging %]]-_xlfn.XLOOKUP(Cleaned_MLB_Stats_Dataset__1[[#This Row],[Year]],'League Averages'!$A$3:$A$23,'League Averages'!$D$3:$D$23)</f>
        <v>0.14435874439461882</v>
      </c>
      <c r="AE79" s="6">
        <f>Cleaned_MLB_Stats_Dataset__1[[#This Row],[OPS (On Base + Slugging)]]-_xlfn.XLOOKUP(Cleaned_MLB_Stats_Dataset__1[[#This Row],[Year]],'League Averages'!$A$3:$A$23,'League Averages'!$E$3:$E$23)</f>
        <v>0.21698374439461887</v>
      </c>
      <c r="AF79" s="6">
        <f>Cleaned_MLB_Stats_Dataset__1[[#This Row],[ISO (Isolated Power]]-_xlfn.XLOOKUP(Cleaned_MLB_Stats_Dataset__1[[#This Row],[Year]],'League Averages'!$A$3:$A$23,'League Averages'!$F$3:$F$23)</f>
        <v>8.5699551569506732E-2</v>
      </c>
    </row>
    <row r="80" spans="1:32" x14ac:dyDescent="0.2">
      <c r="A80" t="s">
        <v>310</v>
      </c>
      <c r="B80">
        <v>2009</v>
      </c>
      <c r="C80" t="s">
        <v>241</v>
      </c>
      <c r="D80" t="s">
        <v>3</v>
      </c>
      <c r="E80" t="s">
        <v>29</v>
      </c>
      <c r="F80" t="str">
        <f>_xlfn.XLOOKUP(Cleaned_MLB_Stats_Dataset__1[[#This Row],[Position'#]],$B$373:$B$382,$A$373:$A$382)</f>
        <v>2B</v>
      </c>
      <c r="G80">
        <v>4</v>
      </c>
      <c r="H80">
        <v>571</v>
      </c>
      <c r="I80">
        <v>161</v>
      </c>
      <c r="J80">
        <v>28</v>
      </c>
      <c r="K80">
        <v>4</v>
      </c>
      <c r="L80">
        <v>31</v>
      </c>
      <c r="M80">
        <v>112</v>
      </c>
      <c r="N80">
        <v>93</v>
      </c>
      <c r="O80">
        <v>110</v>
      </c>
      <c r="P80">
        <v>88</v>
      </c>
      <c r="Q80">
        <v>3</v>
      </c>
      <c r="R80">
        <v>24</v>
      </c>
      <c r="S80">
        <v>4</v>
      </c>
      <c r="T80">
        <v>0</v>
      </c>
      <c r="U80" s="6">
        <f>Cleaned_MLB_Stats_Dataset__1[[#This Row],[Hits]]/Cleaned_MLB_Stats_Dataset__1[[#This Row],[At Bats]]</f>
        <v>0.28196147110332748</v>
      </c>
      <c r="V80" s="6">
        <f>Cleaned_MLB_Stats_Dataset__1[[#This Row],[Strikeouts]]/(Cleaned_MLB_Stats_Dataset__1[[#This Row],[At Bats]]+Cleaned_MLB_Stats_Dataset__1[[#This Row],[Walks]])</f>
        <v>0.16691957511380881</v>
      </c>
      <c r="W8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0.16398243045387995</v>
      </c>
      <c r="X8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0.39737991266375544</v>
      </c>
      <c r="Y8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0.50788091068301222</v>
      </c>
      <c r="Z80" s="6">
        <f>Cleaned_MLB_Stats_Dataset__1[[#This Row],[On Base Percentage]]+Cleaned_MLB_Stats_Dataset__1[[#This Row],[Slugging %]]</f>
        <v>0.90526082334676761</v>
      </c>
      <c r="AA80" s="6">
        <f>Cleaned_MLB_Stats_Dataset__1[[#This Row],[Slugging %]]-Cleaned_MLB_Stats_Dataset__1[[#This Row],[Batting Average]]</f>
        <v>0.22591943957968474</v>
      </c>
      <c r="AB80" s="6">
        <f>Cleaned_MLB_Stats_Dataset__1[[#This Row],[Batting Average]]-_xlfn.XLOOKUP(Cleaned_MLB_Stats_Dataset__1[[#This Row],[Year]],'League Averages'!$A$3:$A$23,'League Averages'!$B$3:$B$23)</f>
        <v>1.9961471103327466E-2</v>
      </c>
      <c r="AC80" s="6">
        <f>Cleaned_MLB_Stats_Dataset__1[[#This Row],[On Base Percentage]]-_xlfn.XLOOKUP(Cleaned_MLB_Stats_Dataset__1[[#This Row],[Year]],'League Averages'!$A$3:$A$23,'League Averages'!$C$3:$C$23)</f>
        <v>6.4379912663755423E-2</v>
      </c>
      <c r="AD80" s="6">
        <f>Cleaned_MLB_Stats_Dataset__1[[#This Row],[Slugging %]]-_xlfn.XLOOKUP(Cleaned_MLB_Stats_Dataset__1[[#This Row],[Year]],'League Averages'!$A$3:$A$23,'League Averages'!$D$3:$D$23)</f>
        <v>8.9880910683012238E-2</v>
      </c>
      <c r="AE80" s="6">
        <f>Cleaned_MLB_Stats_Dataset__1[[#This Row],[OPS (On Base + Slugging)]]-_xlfn.XLOOKUP(Cleaned_MLB_Stats_Dataset__1[[#This Row],[Year]],'League Averages'!$A$3:$A$23,'League Averages'!$E$3:$E$23)</f>
        <v>0.15426082334676761</v>
      </c>
      <c r="AF80" s="6">
        <f>Cleaned_MLB_Stats_Dataset__1[[#This Row],[ISO (Isolated Power]]-_xlfn.XLOOKUP(Cleaned_MLB_Stats_Dataset__1[[#This Row],[Year]],'League Averages'!$A$3:$A$23,'League Averages'!$F$3:$F$23)</f>
        <v>6.9919439579684745E-2</v>
      </c>
    </row>
    <row r="81" spans="1:32" x14ac:dyDescent="0.2">
      <c r="A81" t="s">
        <v>310</v>
      </c>
      <c r="B81">
        <v>2008</v>
      </c>
      <c r="C81" t="s">
        <v>212</v>
      </c>
      <c r="D81" t="s">
        <v>3</v>
      </c>
      <c r="E81" t="s">
        <v>82</v>
      </c>
      <c r="F81" t="str">
        <f>_xlfn.XLOOKUP(Cleaned_MLB_Stats_Dataset__1[[#This Row],[Position'#]],$B$373:$B$382,$A$373:$A$382)</f>
        <v>1B</v>
      </c>
      <c r="G81">
        <v>3</v>
      </c>
      <c r="H81">
        <v>554</v>
      </c>
      <c r="I81">
        <v>173</v>
      </c>
      <c r="J81">
        <v>46</v>
      </c>
      <c r="K81">
        <v>4</v>
      </c>
      <c r="L81">
        <v>29</v>
      </c>
      <c r="M81">
        <v>114</v>
      </c>
      <c r="N81">
        <v>106</v>
      </c>
      <c r="O81">
        <v>108</v>
      </c>
      <c r="P81">
        <v>99</v>
      </c>
      <c r="Q81">
        <v>18</v>
      </c>
      <c r="R81">
        <v>7</v>
      </c>
      <c r="S81">
        <v>5</v>
      </c>
      <c r="T81">
        <v>0</v>
      </c>
      <c r="U81" s="6">
        <f>Cleaned_MLB_Stats_Dataset__1[[#This Row],[Hits]]/Cleaned_MLB_Stats_Dataset__1[[#This Row],[At Bats]]</f>
        <v>0.31227436823104693</v>
      </c>
      <c r="V81" s="6">
        <f>Cleaned_MLB_Stats_Dataset__1[[#This Row],[Strikeouts]]/(Cleaned_MLB_Stats_Dataset__1[[#This Row],[At Bats]]+Cleaned_MLB_Stats_Dataset__1[[#This Row],[Walks]])</f>
        <v>0.16539050535987748</v>
      </c>
      <c r="W8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0.16060606060606061</v>
      </c>
      <c r="X8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0.41954887218045112</v>
      </c>
      <c r="Y8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0.56678700361010825</v>
      </c>
      <c r="Z81" s="6">
        <f>Cleaned_MLB_Stats_Dataset__1[[#This Row],[On Base Percentage]]+Cleaned_MLB_Stats_Dataset__1[[#This Row],[Slugging %]]</f>
        <v>0.98633587579055937</v>
      </c>
      <c r="AA81" s="6">
        <f>Cleaned_MLB_Stats_Dataset__1[[#This Row],[Slugging %]]-Cleaned_MLB_Stats_Dataset__1[[#This Row],[Batting Average]]</f>
        <v>0.25451263537906132</v>
      </c>
      <c r="AB81" s="6">
        <f>Cleaned_MLB_Stats_Dataset__1[[#This Row],[Batting Average]]-_xlfn.XLOOKUP(Cleaned_MLB_Stats_Dataset__1[[#This Row],[Year]],'League Averages'!$A$3:$A$23,'League Averages'!$B$3:$B$23)</f>
        <v>4.8274368231046916E-2</v>
      </c>
      <c r="AC81" s="6">
        <f>Cleaned_MLB_Stats_Dataset__1[[#This Row],[On Base Percentage]]-_xlfn.XLOOKUP(Cleaned_MLB_Stats_Dataset__1[[#This Row],[Year]],'League Averages'!$A$3:$A$23,'League Averages'!$C$3:$C$23)</f>
        <v>8.6548872180451097E-2</v>
      </c>
      <c r="AD81" s="6">
        <f>Cleaned_MLB_Stats_Dataset__1[[#This Row],[Slugging %]]-_xlfn.XLOOKUP(Cleaned_MLB_Stats_Dataset__1[[#This Row],[Year]],'League Averages'!$A$3:$A$23,'League Averages'!$D$3:$D$23)</f>
        <v>0.15078700361010827</v>
      </c>
      <c r="AE81" s="6">
        <f>Cleaned_MLB_Stats_Dataset__1[[#This Row],[OPS (On Base + Slugging)]]-_xlfn.XLOOKUP(Cleaned_MLB_Stats_Dataset__1[[#This Row],[Year]],'League Averages'!$A$3:$A$23,'League Averages'!$E$3:$E$23)</f>
        <v>0.23733587579055937</v>
      </c>
      <c r="AF81" s="6">
        <f>Cleaned_MLB_Stats_Dataset__1[[#This Row],[ISO (Isolated Power]]-_xlfn.XLOOKUP(Cleaned_MLB_Stats_Dataset__1[[#This Row],[Year]],'League Averages'!$A$3:$A$23,'League Averages'!$F$3:$F$23)</f>
        <v>0.10251263537906133</v>
      </c>
    </row>
    <row r="82" spans="1:32" x14ac:dyDescent="0.2">
      <c r="A82" t="s">
        <v>310</v>
      </c>
      <c r="B82">
        <v>2009</v>
      </c>
      <c r="C82" t="s">
        <v>240</v>
      </c>
      <c r="D82" t="s">
        <v>6</v>
      </c>
      <c r="E82" t="s">
        <v>71</v>
      </c>
      <c r="F82" t="str">
        <f>_xlfn.XLOOKUP(Cleaned_MLB_Stats_Dataset__1[[#This Row],[Position'#]],$B$373:$B$382,$A$373:$A$382)</f>
        <v>1B</v>
      </c>
      <c r="G82">
        <v>3</v>
      </c>
      <c r="H82">
        <v>609</v>
      </c>
      <c r="I82">
        <v>178</v>
      </c>
      <c r="J82">
        <v>43</v>
      </c>
      <c r="K82">
        <v>3</v>
      </c>
      <c r="L82">
        <v>39</v>
      </c>
      <c r="M82">
        <v>103</v>
      </c>
      <c r="N82">
        <v>122</v>
      </c>
      <c r="O82">
        <v>114</v>
      </c>
      <c r="P82">
        <v>81</v>
      </c>
      <c r="Q82">
        <v>9</v>
      </c>
      <c r="R82">
        <v>12</v>
      </c>
      <c r="S82">
        <v>5</v>
      </c>
      <c r="T82">
        <v>0</v>
      </c>
      <c r="U82" s="6">
        <f>Cleaned_MLB_Stats_Dataset__1[[#This Row],[Hits]]/Cleaned_MLB_Stats_Dataset__1[[#This Row],[At Bats]]</f>
        <v>0.29228243021346467</v>
      </c>
      <c r="V82" s="6">
        <f>Cleaned_MLB_Stats_Dataset__1[[#This Row],[Strikeouts]]/(Cleaned_MLB_Stats_Dataset__1[[#This Row],[At Bats]]+Cleaned_MLB_Stats_Dataset__1[[#This Row],[Walks]])</f>
        <v>0.16521739130434782</v>
      </c>
      <c r="W8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0.13247863247863248</v>
      </c>
      <c r="X8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0.38330975954738333</v>
      </c>
      <c r="Y8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0.56486042692939242</v>
      </c>
      <c r="Z82" s="6">
        <f>Cleaned_MLB_Stats_Dataset__1[[#This Row],[On Base Percentage]]+Cleaned_MLB_Stats_Dataset__1[[#This Row],[Slugging %]]</f>
        <v>0.94817018647677576</v>
      </c>
      <c r="AA82" s="6">
        <f>Cleaned_MLB_Stats_Dataset__1[[#This Row],[Slugging %]]-Cleaned_MLB_Stats_Dataset__1[[#This Row],[Batting Average]]</f>
        <v>0.27257799671592775</v>
      </c>
      <c r="AB82" s="6">
        <f>Cleaned_MLB_Stats_Dataset__1[[#This Row],[Batting Average]]-_xlfn.XLOOKUP(Cleaned_MLB_Stats_Dataset__1[[#This Row],[Year]],'League Averages'!$A$3:$A$23,'League Averages'!$B$3:$B$23)</f>
        <v>3.0282430213464662E-2</v>
      </c>
      <c r="AC82" s="6">
        <f>Cleaned_MLB_Stats_Dataset__1[[#This Row],[On Base Percentage]]-_xlfn.XLOOKUP(Cleaned_MLB_Stats_Dataset__1[[#This Row],[Year]],'League Averages'!$A$3:$A$23,'League Averages'!$C$3:$C$23)</f>
        <v>5.0309759547383315E-2</v>
      </c>
      <c r="AD82" s="6">
        <f>Cleaned_MLB_Stats_Dataset__1[[#This Row],[Slugging %]]-_xlfn.XLOOKUP(Cleaned_MLB_Stats_Dataset__1[[#This Row],[Year]],'League Averages'!$A$3:$A$23,'League Averages'!$D$3:$D$23)</f>
        <v>0.14686042692939244</v>
      </c>
      <c r="AE82" s="6">
        <f>Cleaned_MLB_Stats_Dataset__1[[#This Row],[OPS (On Base + Slugging)]]-_xlfn.XLOOKUP(Cleaned_MLB_Stats_Dataset__1[[#This Row],[Year]],'League Averages'!$A$3:$A$23,'League Averages'!$E$3:$E$23)</f>
        <v>0.19717018647677576</v>
      </c>
      <c r="AF82" s="6">
        <f>Cleaned_MLB_Stats_Dataset__1[[#This Row],[ISO (Isolated Power]]-_xlfn.XLOOKUP(Cleaned_MLB_Stats_Dataset__1[[#This Row],[Year]],'League Averages'!$A$3:$A$23,'League Averages'!$F$3:$F$23)</f>
        <v>0.11657799671592775</v>
      </c>
    </row>
    <row r="83" spans="1:32" x14ac:dyDescent="0.2">
      <c r="A83" t="s">
        <v>310</v>
      </c>
      <c r="B83">
        <v>2007</v>
      </c>
      <c r="C83" t="s">
        <v>253</v>
      </c>
      <c r="D83" t="s">
        <v>3</v>
      </c>
      <c r="E83" t="s">
        <v>83</v>
      </c>
      <c r="F83" t="str">
        <f>_xlfn.XLOOKUP(Cleaned_MLB_Stats_Dataset__1[[#This Row],[Position'#]],$B$373:$B$382,$A$373:$A$382)</f>
        <v>3B</v>
      </c>
      <c r="G83">
        <v>5</v>
      </c>
      <c r="H83">
        <v>604</v>
      </c>
      <c r="I83">
        <v>196</v>
      </c>
      <c r="J83">
        <v>42</v>
      </c>
      <c r="K83">
        <v>1</v>
      </c>
      <c r="L83">
        <v>30</v>
      </c>
      <c r="M83">
        <v>113</v>
      </c>
      <c r="N83">
        <v>107</v>
      </c>
      <c r="O83">
        <v>115</v>
      </c>
      <c r="P83">
        <v>94</v>
      </c>
      <c r="Q83">
        <v>6</v>
      </c>
      <c r="R83">
        <v>6</v>
      </c>
      <c r="S83">
        <v>7</v>
      </c>
      <c r="T83">
        <v>0</v>
      </c>
      <c r="U83" s="6">
        <f>Cleaned_MLB_Stats_Dataset__1[[#This Row],[Hits]]/Cleaned_MLB_Stats_Dataset__1[[#This Row],[At Bats]]</f>
        <v>0.32450331125827814</v>
      </c>
      <c r="V83" s="6">
        <f>Cleaned_MLB_Stats_Dataset__1[[#This Row],[Strikeouts]]/(Cleaned_MLB_Stats_Dataset__1[[#This Row],[At Bats]]+Cleaned_MLB_Stats_Dataset__1[[#This Row],[Walks]])</f>
        <v>0.16475644699140402</v>
      </c>
      <c r="W8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0.14204545454545456</v>
      </c>
      <c r="X8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0.41631504922644164</v>
      </c>
      <c r="Y8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0.54635761589403975</v>
      </c>
      <c r="Z83" s="6">
        <f>Cleaned_MLB_Stats_Dataset__1[[#This Row],[On Base Percentage]]+Cleaned_MLB_Stats_Dataset__1[[#This Row],[Slugging %]]</f>
        <v>0.96267266512048133</v>
      </c>
      <c r="AA83" s="6">
        <f>Cleaned_MLB_Stats_Dataset__1[[#This Row],[Slugging %]]-Cleaned_MLB_Stats_Dataset__1[[#This Row],[Batting Average]]</f>
        <v>0.22185430463576161</v>
      </c>
      <c r="AB83" s="6">
        <f>Cleaned_MLB_Stats_Dataset__1[[#This Row],[Batting Average]]-_xlfn.XLOOKUP(Cleaned_MLB_Stats_Dataset__1[[#This Row],[Year]],'League Averages'!$A$3:$A$23,'League Averages'!$B$3:$B$23)</f>
        <v>5.6503311258278122E-2</v>
      </c>
      <c r="AC83" s="6">
        <f>Cleaned_MLB_Stats_Dataset__1[[#This Row],[On Base Percentage]]-_xlfn.XLOOKUP(Cleaned_MLB_Stats_Dataset__1[[#This Row],[Year]],'League Averages'!$A$3:$A$23,'League Averages'!$C$3:$C$23)</f>
        <v>8.0315049226441615E-2</v>
      </c>
      <c r="AD83" s="6">
        <f>Cleaned_MLB_Stats_Dataset__1[[#This Row],[Slugging %]]-_xlfn.XLOOKUP(Cleaned_MLB_Stats_Dataset__1[[#This Row],[Year]],'League Averages'!$A$3:$A$23,'League Averages'!$D$3:$D$23)</f>
        <v>0.12335761589403976</v>
      </c>
      <c r="AE83" s="6">
        <f>Cleaned_MLB_Stats_Dataset__1[[#This Row],[OPS (On Base + Slugging)]]-_xlfn.XLOOKUP(Cleaned_MLB_Stats_Dataset__1[[#This Row],[Year]],'League Averages'!$A$3:$A$23,'League Averages'!$E$3:$E$23)</f>
        <v>0.20467266512048132</v>
      </c>
      <c r="AF83" s="6">
        <f>Cleaned_MLB_Stats_Dataset__1[[#This Row],[ISO (Isolated Power]]-_xlfn.XLOOKUP(Cleaned_MLB_Stats_Dataset__1[[#This Row],[Year]],'League Averages'!$A$3:$A$23,'League Averages'!$F$3:$F$23)</f>
        <v>6.6854304635761613E-2</v>
      </c>
    </row>
    <row r="84" spans="1:32" x14ac:dyDescent="0.2">
      <c r="A84" t="s">
        <v>310</v>
      </c>
      <c r="B84">
        <v>2006</v>
      </c>
      <c r="C84" t="s">
        <v>206</v>
      </c>
      <c r="D84" t="s">
        <v>3</v>
      </c>
      <c r="E84" t="s">
        <v>83</v>
      </c>
      <c r="F84" t="str">
        <f>_xlfn.XLOOKUP(Cleaned_MLB_Stats_Dataset__1[[#This Row],[Position'#]],$B$373:$B$382,$A$373:$A$382)</f>
        <v>CF</v>
      </c>
      <c r="G84">
        <v>8</v>
      </c>
      <c r="H84">
        <v>510</v>
      </c>
      <c r="I84">
        <v>140</v>
      </c>
      <c r="J84">
        <v>38</v>
      </c>
      <c r="K84">
        <v>1</v>
      </c>
      <c r="L84">
        <v>41</v>
      </c>
      <c r="M84">
        <v>127</v>
      </c>
      <c r="N84">
        <v>116</v>
      </c>
      <c r="O84">
        <v>99</v>
      </c>
      <c r="P84">
        <v>95</v>
      </c>
      <c r="Q84">
        <v>6</v>
      </c>
      <c r="R84">
        <v>4</v>
      </c>
      <c r="S84">
        <v>7</v>
      </c>
      <c r="T84">
        <v>1</v>
      </c>
      <c r="U84" s="6">
        <f>Cleaned_MLB_Stats_Dataset__1[[#This Row],[Hits]]/Cleaned_MLB_Stats_Dataset__1[[#This Row],[At Bats]]</f>
        <v>0.27450980392156865</v>
      </c>
      <c r="V84" s="6">
        <f>Cleaned_MLB_Stats_Dataset__1[[#This Row],[Strikeouts]]/(Cleaned_MLB_Stats_Dataset__1[[#This Row],[At Bats]]+Cleaned_MLB_Stats_Dataset__1[[#This Row],[Walks]])</f>
        <v>0.16363636363636364</v>
      </c>
      <c r="W8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0.1625615763546798</v>
      </c>
      <c r="X8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0.38798701298701299</v>
      </c>
      <c r="Y8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0.59411764705882353</v>
      </c>
      <c r="Z84" s="6">
        <f>Cleaned_MLB_Stats_Dataset__1[[#This Row],[On Base Percentage]]+Cleaned_MLB_Stats_Dataset__1[[#This Row],[Slugging %]]</f>
        <v>0.98210466004583652</v>
      </c>
      <c r="AA84" s="6">
        <f>Cleaned_MLB_Stats_Dataset__1[[#This Row],[Slugging %]]-Cleaned_MLB_Stats_Dataset__1[[#This Row],[Batting Average]]</f>
        <v>0.31960784313725488</v>
      </c>
      <c r="AB84" s="6">
        <f>Cleaned_MLB_Stats_Dataset__1[[#This Row],[Batting Average]]-_xlfn.XLOOKUP(Cleaned_MLB_Stats_Dataset__1[[#This Row],[Year]],'League Averages'!$A$3:$A$23,'League Averages'!$B$3:$B$23)</f>
        <v>5.5098039215686345E-3</v>
      </c>
      <c r="AC84" s="6">
        <f>Cleaned_MLB_Stats_Dataset__1[[#This Row],[On Base Percentage]]-_xlfn.XLOOKUP(Cleaned_MLB_Stats_Dataset__1[[#This Row],[Year]],'League Averages'!$A$3:$A$23,'League Averages'!$C$3:$C$23)</f>
        <v>5.198701298701297E-2</v>
      </c>
      <c r="AD84" s="6">
        <f>Cleaned_MLB_Stats_Dataset__1[[#This Row],[Slugging %]]-_xlfn.XLOOKUP(Cleaned_MLB_Stats_Dataset__1[[#This Row],[Year]],'League Averages'!$A$3:$A$23,'League Averages'!$D$3:$D$23)</f>
        <v>0.16211764705882353</v>
      </c>
      <c r="AE84" s="6">
        <f>Cleaned_MLB_Stats_Dataset__1[[#This Row],[OPS (On Base + Slugging)]]-_xlfn.XLOOKUP(Cleaned_MLB_Stats_Dataset__1[[#This Row],[Year]],'League Averages'!$A$3:$A$23,'League Averages'!$E$3:$E$23)</f>
        <v>0.2141046600458365</v>
      </c>
      <c r="AF84" s="6">
        <f>Cleaned_MLB_Stats_Dataset__1[[#This Row],[ISO (Isolated Power]]-_xlfn.XLOOKUP(Cleaned_MLB_Stats_Dataset__1[[#This Row],[Year]],'League Averages'!$A$3:$A$23,'League Averages'!$F$3:$F$23)</f>
        <v>0.15660784313725487</v>
      </c>
    </row>
    <row r="85" spans="1:32" x14ac:dyDescent="0.2">
      <c r="A85" t="s">
        <v>310</v>
      </c>
      <c r="B85">
        <v>2004</v>
      </c>
      <c r="C85" t="s">
        <v>160</v>
      </c>
      <c r="D85" t="s">
        <v>3</v>
      </c>
      <c r="E85" t="s">
        <v>82</v>
      </c>
      <c r="F85" t="str">
        <f>_xlfn.XLOOKUP(Cleaned_MLB_Stats_Dataset__1[[#This Row],[Position'#]],$B$373:$B$382,$A$373:$A$382)</f>
        <v>2B</v>
      </c>
      <c r="G85">
        <v>4</v>
      </c>
      <c r="H85">
        <v>540</v>
      </c>
      <c r="I85">
        <v>156</v>
      </c>
      <c r="J85">
        <v>34</v>
      </c>
      <c r="K85">
        <v>8</v>
      </c>
      <c r="L85">
        <v>27</v>
      </c>
      <c r="M85">
        <v>96</v>
      </c>
      <c r="N85">
        <v>107</v>
      </c>
      <c r="O85">
        <v>96</v>
      </c>
      <c r="P85">
        <v>49</v>
      </c>
      <c r="Q85">
        <v>3</v>
      </c>
      <c r="R85">
        <v>6</v>
      </c>
      <c r="S85">
        <v>11</v>
      </c>
      <c r="T85">
        <v>0</v>
      </c>
      <c r="U85" s="6">
        <f>Cleaned_MLB_Stats_Dataset__1[[#This Row],[Hits]]/Cleaned_MLB_Stats_Dataset__1[[#This Row],[At Bats]]</f>
        <v>0.28888888888888886</v>
      </c>
      <c r="V85" s="6">
        <f>Cleaned_MLB_Stats_Dataset__1[[#This Row],[Strikeouts]]/(Cleaned_MLB_Stats_Dataset__1[[#This Row],[At Bats]]+Cleaned_MLB_Stats_Dataset__1[[#This Row],[Walks]])</f>
        <v>0.16298811544991512</v>
      </c>
      <c r="W8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9.2436974789915971E-2</v>
      </c>
      <c r="X8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0.34818481848184818</v>
      </c>
      <c r="Y8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0.53148148148148144</v>
      </c>
      <c r="Z85" s="6">
        <f>Cleaned_MLB_Stats_Dataset__1[[#This Row],[On Base Percentage]]+Cleaned_MLB_Stats_Dataset__1[[#This Row],[Slugging %]]</f>
        <v>0.87966629996332957</v>
      </c>
      <c r="AA85" s="6">
        <f>Cleaned_MLB_Stats_Dataset__1[[#This Row],[Slugging %]]-Cleaned_MLB_Stats_Dataset__1[[#This Row],[Batting Average]]</f>
        <v>0.24259259259259258</v>
      </c>
      <c r="AB85" s="6">
        <f>Cleaned_MLB_Stats_Dataset__1[[#This Row],[Batting Average]]-_xlfn.XLOOKUP(Cleaned_MLB_Stats_Dataset__1[[#This Row],[Year]],'League Averages'!$A$3:$A$23,'League Averages'!$B$3:$B$23)</f>
        <v>2.2888888888888848E-2</v>
      </c>
      <c r="AC85" s="6">
        <f>Cleaned_MLB_Stats_Dataset__1[[#This Row],[On Base Percentage]]-_xlfn.XLOOKUP(Cleaned_MLB_Stats_Dataset__1[[#This Row],[Year]],'League Averages'!$A$3:$A$23,'League Averages'!$C$3:$C$23)</f>
        <v>1.318481848184816E-2</v>
      </c>
      <c r="AD85" s="6">
        <f>Cleaned_MLB_Stats_Dataset__1[[#This Row],[Slugging %]]-_xlfn.XLOOKUP(Cleaned_MLB_Stats_Dataset__1[[#This Row],[Year]],'League Averages'!$A$3:$A$23,'League Averages'!$D$3:$D$23)</f>
        <v>0.10348148148148145</v>
      </c>
      <c r="AE85" s="6">
        <f>Cleaned_MLB_Stats_Dataset__1[[#This Row],[OPS (On Base + Slugging)]]-_xlfn.XLOOKUP(Cleaned_MLB_Stats_Dataset__1[[#This Row],[Year]],'League Averages'!$A$3:$A$23,'League Averages'!$E$3:$E$23)</f>
        <v>0.11666629996332956</v>
      </c>
      <c r="AF85" s="6">
        <f>Cleaned_MLB_Stats_Dataset__1[[#This Row],[ISO (Isolated Power]]-_xlfn.XLOOKUP(Cleaned_MLB_Stats_Dataset__1[[#This Row],[Year]],'League Averages'!$A$3:$A$23,'League Averages'!$F$3:$F$23)</f>
        <v>8.0592592592592577E-2</v>
      </c>
    </row>
    <row r="86" spans="1:32" x14ac:dyDescent="0.2">
      <c r="A86" t="s">
        <v>310</v>
      </c>
      <c r="B86">
        <v>2013</v>
      </c>
      <c r="C86" t="s">
        <v>253</v>
      </c>
      <c r="D86" t="s">
        <v>3</v>
      </c>
      <c r="E86" t="s">
        <v>83</v>
      </c>
      <c r="F86" t="str">
        <f>_xlfn.XLOOKUP(Cleaned_MLB_Stats_Dataset__1[[#This Row],[Position'#]],$B$373:$B$382,$A$373:$A$382)</f>
        <v>3B</v>
      </c>
      <c r="G86">
        <v>5</v>
      </c>
      <c r="H86">
        <v>430</v>
      </c>
      <c r="I86">
        <v>132</v>
      </c>
      <c r="J86">
        <v>23</v>
      </c>
      <c r="K86">
        <v>6</v>
      </c>
      <c r="L86">
        <v>18</v>
      </c>
      <c r="M86">
        <v>63</v>
      </c>
      <c r="N86">
        <v>58</v>
      </c>
      <c r="O86">
        <v>79</v>
      </c>
      <c r="P86">
        <v>55</v>
      </c>
      <c r="Q86">
        <v>5</v>
      </c>
      <c r="R86">
        <v>5</v>
      </c>
      <c r="S86">
        <v>2</v>
      </c>
      <c r="T86">
        <v>0</v>
      </c>
      <c r="U86" s="6">
        <f>Cleaned_MLB_Stats_Dataset__1[[#This Row],[Hits]]/Cleaned_MLB_Stats_Dataset__1[[#This Row],[At Bats]]</f>
        <v>0.30697674418604654</v>
      </c>
      <c r="V86" s="6">
        <f>Cleaned_MLB_Stats_Dataset__1[[#This Row],[Strikeouts]]/(Cleaned_MLB_Stats_Dataset__1[[#This Row],[At Bats]]+Cleaned_MLB_Stats_Dataset__1[[#This Row],[Walks]])</f>
        <v>0.16288659793814433</v>
      </c>
      <c r="W8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0.12244897959183673</v>
      </c>
      <c r="X8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0.3902439024390244</v>
      </c>
      <c r="Y8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0.51395348837209298</v>
      </c>
      <c r="Z86" s="6">
        <f>Cleaned_MLB_Stats_Dataset__1[[#This Row],[On Base Percentage]]+Cleaned_MLB_Stats_Dataset__1[[#This Row],[Slugging %]]</f>
        <v>0.90419739081111739</v>
      </c>
      <c r="AA86" s="6">
        <f>Cleaned_MLB_Stats_Dataset__1[[#This Row],[Slugging %]]-Cleaned_MLB_Stats_Dataset__1[[#This Row],[Batting Average]]</f>
        <v>0.20697674418604645</v>
      </c>
      <c r="AB86" s="6">
        <f>Cleaned_MLB_Stats_Dataset__1[[#This Row],[Batting Average]]-_xlfn.XLOOKUP(Cleaned_MLB_Stats_Dataset__1[[#This Row],[Year]],'League Averages'!$A$3:$A$23,'League Averages'!$B$3:$B$23)</f>
        <v>5.3976744186046532E-2</v>
      </c>
      <c r="AC86" s="6">
        <f>Cleaned_MLB_Stats_Dataset__1[[#This Row],[On Base Percentage]]-_xlfn.XLOOKUP(Cleaned_MLB_Stats_Dataset__1[[#This Row],[Year]],'League Averages'!$A$3:$A$23,'League Averages'!$C$3:$C$23)</f>
        <v>7.2243902439024399E-2</v>
      </c>
      <c r="AD86" s="6">
        <f>Cleaned_MLB_Stats_Dataset__1[[#This Row],[Slugging %]]-_xlfn.XLOOKUP(Cleaned_MLB_Stats_Dataset__1[[#This Row],[Year]],'League Averages'!$A$3:$A$23,'League Averages'!$D$3:$D$23)</f>
        <v>0.11795348837209296</v>
      </c>
      <c r="AE86" s="6">
        <f>Cleaned_MLB_Stats_Dataset__1[[#This Row],[OPS (On Base + Slugging)]]-_xlfn.XLOOKUP(Cleaned_MLB_Stats_Dataset__1[[#This Row],[Year]],'League Averages'!$A$3:$A$23,'League Averages'!$E$3:$E$23)</f>
        <v>0.19019739081111742</v>
      </c>
      <c r="AF86" s="6">
        <f>Cleaned_MLB_Stats_Dataset__1[[#This Row],[ISO (Isolated Power]]-_xlfn.XLOOKUP(Cleaned_MLB_Stats_Dataset__1[[#This Row],[Year]],'League Averages'!$A$3:$A$23,'League Averages'!$F$3:$F$23)</f>
        <v>6.3976744186046458E-2</v>
      </c>
    </row>
    <row r="87" spans="1:32" x14ac:dyDescent="0.2">
      <c r="A87" t="s">
        <v>310</v>
      </c>
      <c r="B87">
        <v>2003</v>
      </c>
      <c r="C87" t="s">
        <v>190</v>
      </c>
      <c r="D87" t="s">
        <v>3</v>
      </c>
      <c r="E87" t="s">
        <v>60</v>
      </c>
      <c r="F87" t="str">
        <f>_xlfn.XLOOKUP(Cleaned_MLB_Stats_Dataset__1[[#This Row],[Position'#]],$B$373:$B$382,$A$373:$A$382)</f>
        <v>3B</v>
      </c>
      <c r="G87">
        <v>5</v>
      </c>
      <c r="H87">
        <v>559</v>
      </c>
      <c r="I87">
        <v>160</v>
      </c>
      <c r="J87">
        <v>49</v>
      </c>
      <c r="K87">
        <v>1</v>
      </c>
      <c r="L87">
        <v>28</v>
      </c>
      <c r="M87">
        <v>98</v>
      </c>
      <c r="N87">
        <v>104</v>
      </c>
      <c r="O87">
        <v>104</v>
      </c>
      <c r="P87">
        <v>82</v>
      </c>
      <c r="Q87">
        <v>5</v>
      </c>
      <c r="R87">
        <v>9</v>
      </c>
      <c r="S87">
        <v>7</v>
      </c>
      <c r="T87">
        <v>0</v>
      </c>
      <c r="U87" s="6">
        <f>Cleaned_MLB_Stats_Dataset__1[[#This Row],[Hits]]/Cleaned_MLB_Stats_Dataset__1[[#This Row],[At Bats]]</f>
        <v>0.28622540250447226</v>
      </c>
      <c r="V87" s="6">
        <f>Cleaned_MLB_Stats_Dataset__1[[#This Row],[Strikeouts]]/(Cleaned_MLB_Stats_Dataset__1[[#This Row],[At Bats]]+Cleaned_MLB_Stats_Dataset__1[[#This Row],[Walks]])</f>
        <v>0.16224648985959439</v>
      </c>
      <c r="W8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0.14000000000000001</v>
      </c>
      <c r="X8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0.38203957382039572</v>
      </c>
      <c r="Y8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0.52772808586762077</v>
      </c>
      <c r="Z87" s="6">
        <f>Cleaned_MLB_Stats_Dataset__1[[#This Row],[On Base Percentage]]+Cleaned_MLB_Stats_Dataset__1[[#This Row],[Slugging %]]</f>
        <v>0.90976765968801643</v>
      </c>
      <c r="AA87" s="6">
        <f>Cleaned_MLB_Stats_Dataset__1[[#This Row],[Slugging %]]-Cleaned_MLB_Stats_Dataset__1[[#This Row],[Batting Average]]</f>
        <v>0.24150268336314851</v>
      </c>
      <c r="AB87" s="6">
        <f>Cleaned_MLB_Stats_Dataset__1[[#This Row],[Batting Average]]-_xlfn.XLOOKUP(Cleaned_MLB_Stats_Dataset__1[[#This Row],[Year]],'League Averages'!$A$3:$A$23,'League Averages'!$B$3:$B$23)</f>
        <v>2.2225402504472247E-2</v>
      </c>
      <c r="AC87" s="6">
        <f>Cleaned_MLB_Stats_Dataset__1[[#This Row],[On Base Percentage]]-_xlfn.XLOOKUP(Cleaned_MLB_Stats_Dataset__1[[#This Row],[Year]],'League Averages'!$A$3:$A$23,'League Averages'!$C$3:$C$23)</f>
        <v>4.9039573820395699E-2</v>
      </c>
      <c r="AD87" s="6">
        <f>Cleaned_MLB_Stats_Dataset__1[[#This Row],[Slugging %]]-_xlfn.XLOOKUP(Cleaned_MLB_Stats_Dataset__1[[#This Row],[Year]],'League Averages'!$A$3:$A$23,'League Averages'!$D$3:$D$23)</f>
        <v>0.10572808586762078</v>
      </c>
      <c r="AE87" s="6">
        <f>Cleaned_MLB_Stats_Dataset__1[[#This Row],[OPS (On Base + Slugging)]]-_xlfn.XLOOKUP(Cleaned_MLB_Stats_Dataset__1[[#This Row],[Year]],'League Averages'!$A$3:$A$23,'League Averages'!$E$3:$E$23)</f>
        <v>0.15476765968801642</v>
      </c>
      <c r="AF87" s="6">
        <f>Cleaned_MLB_Stats_Dataset__1[[#This Row],[ISO (Isolated Power]]-_xlfn.XLOOKUP(Cleaned_MLB_Stats_Dataset__1[[#This Row],[Year]],'League Averages'!$A$3:$A$23,'League Averages'!$F$3:$F$23)</f>
        <v>8.3502683363148505E-2</v>
      </c>
    </row>
    <row r="88" spans="1:32" x14ac:dyDescent="0.2">
      <c r="A88" t="s">
        <v>310</v>
      </c>
      <c r="B88">
        <v>2007</v>
      </c>
      <c r="C88" t="s">
        <v>138</v>
      </c>
      <c r="D88" t="s">
        <v>3</v>
      </c>
      <c r="E88" t="s">
        <v>53</v>
      </c>
      <c r="F88" t="str">
        <f>_xlfn.XLOOKUP(Cleaned_MLB_Stats_Dataset__1[[#This Row],[Position'#]],$B$373:$B$382,$A$373:$A$382)</f>
        <v>RF</v>
      </c>
      <c r="G88">
        <v>9</v>
      </c>
      <c r="H88">
        <v>528</v>
      </c>
      <c r="I88">
        <v>146</v>
      </c>
      <c r="J88">
        <v>24</v>
      </c>
      <c r="K88">
        <v>1</v>
      </c>
      <c r="L88">
        <v>30</v>
      </c>
      <c r="M88">
        <v>78</v>
      </c>
      <c r="N88">
        <v>93</v>
      </c>
      <c r="O88">
        <v>99</v>
      </c>
      <c r="P88">
        <v>85</v>
      </c>
      <c r="Q88">
        <v>14</v>
      </c>
      <c r="R88">
        <v>1</v>
      </c>
      <c r="S88">
        <v>9</v>
      </c>
      <c r="T88">
        <v>0</v>
      </c>
      <c r="U88" s="6">
        <f>Cleaned_MLB_Stats_Dataset__1[[#This Row],[Hits]]/Cleaned_MLB_Stats_Dataset__1[[#This Row],[At Bats]]</f>
        <v>0.27651515151515149</v>
      </c>
      <c r="V88" s="6">
        <f>Cleaned_MLB_Stats_Dataset__1[[#This Row],[Strikeouts]]/(Cleaned_MLB_Stats_Dataset__1[[#This Row],[At Bats]]+Cleaned_MLB_Stats_Dataset__1[[#This Row],[Walks]])</f>
        <v>0.16150081566068517</v>
      </c>
      <c r="W8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0.14006514657980457</v>
      </c>
      <c r="X8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0.3723916532905297</v>
      </c>
      <c r="Y8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0.49621212121212122</v>
      </c>
      <c r="Z88" s="6">
        <f>Cleaned_MLB_Stats_Dataset__1[[#This Row],[On Base Percentage]]+Cleaned_MLB_Stats_Dataset__1[[#This Row],[Slugging %]]</f>
        <v>0.86860377450265092</v>
      </c>
      <c r="AA88" s="6">
        <f>Cleaned_MLB_Stats_Dataset__1[[#This Row],[Slugging %]]-Cleaned_MLB_Stats_Dataset__1[[#This Row],[Batting Average]]</f>
        <v>0.21969696969696972</v>
      </c>
      <c r="AB88" s="6">
        <f>Cleaned_MLB_Stats_Dataset__1[[#This Row],[Batting Average]]-_xlfn.XLOOKUP(Cleaned_MLB_Stats_Dataset__1[[#This Row],[Year]],'League Averages'!$A$3:$A$23,'League Averages'!$B$3:$B$23)</f>
        <v>8.5151515151514756E-3</v>
      </c>
      <c r="AC88" s="6">
        <f>Cleaned_MLB_Stats_Dataset__1[[#This Row],[On Base Percentage]]-_xlfn.XLOOKUP(Cleaned_MLB_Stats_Dataset__1[[#This Row],[Year]],'League Averages'!$A$3:$A$23,'League Averages'!$C$3:$C$23)</f>
        <v>3.639165329052968E-2</v>
      </c>
      <c r="AD88" s="6">
        <f>Cleaned_MLB_Stats_Dataset__1[[#This Row],[Slugging %]]-_xlfn.XLOOKUP(Cleaned_MLB_Stats_Dataset__1[[#This Row],[Year]],'League Averages'!$A$3:$A$23,'League Averages'!$D$3:$D$23)</f>
        <v>7.3212121212121228E-2</v>
      </c>
      <c r="AE88" s="6">
        <f>Cleaned_MLB_Stats_Dataset__1[[#This Row],[OPS (On Base + Slugging)]]-_xlfn.XLOOKUP(Cleaned_MLB_Stats_Dataset__1[[#This Row],[Year]],'League Averages'!$A$3:$A$23,'League Averages'!$E$3:$E$23)</f>
        <v>0.11060377450265091</v>
      </c>
      <c r="AF88" s="6">
        <f>Cleaned_MLB_Stats_Dataset__1[[#This Row],[ISO (Isolated Power]]-_xlfn.XLOOKUP(Cleaned_MLB_Stats_Dataset__1[[#This Row],[Year]],'League Averages'!$A$3:$A$23,'League Averages'!$F$3:$F$23)</f>
        <v>6.4696969696969725E-2</v>
      </c>
    </row>
    <row r="89" spans="1:32" x14ac:dyDescent="0.2">
      <c r="A89" t="s">
        <v>310</v>
      </c>
      <c r="B89">
        <v>2003</v>
      </c>
      <c r="C89" t="s">
        <v>123</v>
      </c>
      <c r="D89" t="s">
        <v>6</v>
      </c>
      <c r="E89" t="s">
        <v>91</v>
      </c>
      <c r="F89" t="str">
        <f>_xlfn.XLOOKUP(Cleaned_MLB_Stats_Dataset__1[[#This Row],[Position'#]],$B$373:$B$382,$A$373:$A$382)</f>
        <v>DH</v>
      </c>
      <c r="G89">
        <v>10</v>
      </c>
      <c r="H89">
        <v>497</v>
      </c>
      <c r="I89">
        <v>146</v>
      </c>
      <c r="J89">
        <v>25</v>
      </c>
      <c r="K89">
        <v>0</v>
      </c>
      <c r="L89">
        <v>24</v>
      </c>
      <c r="M89">
        <v>72</v>
      </c>
      <c r="N89">
        <v>98</v>
      </c>
      <c r="O89">
        <v>95</v>
      </c>
      <c r="P89">
        <v>92</v>
      </c>
      <c r="Q89">
        <v>7</v>
      </c>
      <c r="R89">
        <v>7</v>
      </c>
      <c r="S89">
        <v>7</v>
      </c>
      <c r="T89">
        <v>0</v>
      </c>
      <c r="U89" s="6">
        <f>Cleaned_MLB_Stats_Dataset__1[[#This Row],[Hits]]/Cleaned_MLB_Stats_Dataset__1[[#This Row],[At Bats]]</f>
        <v>0.29376257545271628</v>
      </c>
      <c r="V89" s="6">
        <f>Cleaned_MLB_Stats_Dataset__1[[#This Row],[Strikeouts]]/(Cleaned_MLB_Stats_Dataset__1[[#This Row],[At Bats]]+Cleaned_MLB_Stats_Dataset__1[[#This Row],[Walks]])</f>
        <v>0.16129032258064516</v>
      </c>
      <c r="W8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0.16610738255033558</v>
      </c>
      <c r="X8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0.40630182421227196</v>
      </c>
      <c r="Y8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0.48893360160965793</v>
      </c>
      <c r="Z89" s="6">
        <f>Cleaned_MLB_Stats_Dataset__1[[#This Row],[On Base Percentage]]+Cleaned_MLB_Stats_Dataset__1[[#This Row],[Slugging %]]</f>
        <v>0.89523542582192994</v>
      </c>
      <c r="AA89" s="6">
        <f>Cleaned_MLB_Stats_Dataset__1[[#This Row],[Slugging %]]-Cleaned_MLB_Stats_Dataset__1[[#This Row],[Batting Average]]</f>
        <v>0.19517102615694165</v>
      </c>
      <c r="AB89" s="6">
        <f>Cleaned_MLB_Stats_Dataset__1[[#This Row],[Batting Average]]-_xlfn.XLOOKUP(Cleaned_MLB_Stats_Dataset__1[[#This Row],[Year]],'League Averages'!$A$3:$A$23,'League Averages'!$B$3:$B$23)</f>
        <v>2.9762575452716267E-2</v>
      </c>
      <c r="AC89" s="6">
        <f>Cleaned_MLB_Stats_Dataset__1[[#This Row],[On Base Percentage]]-_xlfn.XLOOKUP(Cleaned_MLB_Stats_Dataset__1[[#This Row],[Year]],'League Averages'!$A$3:$A$23,'League Averages'!$C$3:$C$23)</f>
        <v>7.3301824212271938E-2</v>
      </c>
      <c r="AD89" s="6">
        <f>Cleaned_MLB_Stats_Dataset__1[[#This Row],[Slugging %]]-_xlfn.XLOOKUP(Cleaned_MLB_Stats_Dataset__1[[#This Row],[Year]],'League Averages'!$A$3:$A$23,'League Averages'!$D$3:$D$23)</f>
        <v>6.6933601609657944E-2</v>
      </c>
      <c r="AE89" s="6">
        <f>Cleaned_MLB_Stats_Dataset__1[[#This Row],[OPS (On Base + Slugging)]]-_xlfn.XLOOKUP(Cleaned_MLB_Stats_Dataset__1[[#This Row],[Year]],'League Averages'!$A$3:$A$23,'League Averages'!$E$3:$E$23)</f>
        <v>0.14023542582192994</v>
      </c>
      <c r="AF89" s="6">
        <f>Cleaned_MLB_Stats_Dataset__1[[#This Row],[ISO (Isolated Power]]-_xlfn.XLOOKUP(Cleaned_MLB_Stats_Dataset__1[[#This Row],[Year]],'League Averages'!$A$3:$A$23,'League Averages'!$F$3:$F$23)</f>
        <v>3.717102615694165E-2</v>
      </c>
    </row>
    <row r="90" spans="1:32" x14ac:dyDescent="0.2">
      <c r="A90" t="s">
        <v>310</v>
      </c>
      <c r="B90">
        <v>2013</v>
      </c>
      <c r="C90" t="s">
        <v>244</v>
      </c>
      <c r="D90" t="s">
        <v>6</v>
      </c>
      <c r="E90" t="s">
        <v>92</v>
      </c>
      <c r="F90" t="str">
        <f>_xlfn.XLOOKUP(Cleaned_MLB_Stats_Dataset__1[[#This Row],[Position'#]],$B$373:$B$382,$A$373:$A$382)</f>
        <v>RF</v>
      </c>
      <c r="G90">
        <v>9</v>
      </c>
      <c r="H90">
        <v>452</v>
      </c>
      <c r="I90">
        <v>117</v>
      </c>
      <c r="J90">
        <v>24</v>
      </c>
      <c r="K90">
        <v>0</v>
      </c>
      <c r="L90">
        <v>28</v>
      </c>
      <c r="M90">
        <v>82</v>
      </c>
      <c r="N90">
        <v>73</v>
      </c>
      <c r="O90">
        <v>84</v>
      </c>
      <c r="P90">
        <v>69</v>
      </c>
      <c r="Q90">
        <v>2</v>
      </c>
      <c r="R90">
        <v>3</v>
      </c>
      <c r="S90">
        <v>4</v>
      </c>
      <c r="T90">
        <v>0</v>
      </c>
      <c r="U90" s="6">
        <f>Cleaned_MLB_Stats_Dataset__1[[#This Row],[Hits]]/Cleaned_MLB_Stats_Dataset__1[[#This Row],[At Bats]]</f>
        <v>0.25884955752212391</v>
      </c>
      <c r="V90" s="6">
        <f>Cleaned_MLB_Stats_Dataset__1[[#This Row],[Strikeouts]]/(Cleaned_MLB_Stats_Dataset__1[[#This Row],[At Bats]]+Cleaned_MLB_Stats_Dataset__1[[#This Row],[Walks]])</f>
        <v>0.16122840690978887</v>
      </c>
      <c r="W9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0.13740458015267176</v>
      </c>
      <c r="X9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0.35795454545454547</v>
      </c>
      <c r="Y9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0.49778761061946902</v>
      </c>
      <c r="Z90" s="6">
        <f>Cleaned_MLB_Stats_Dataset__1[[#This Row],[On Base Percentage]]+Cleaned_MLB_Stats_Dataset__1[[#This Row],[Slugging %]]</f>
        <v>0.85574215607401449</v>
      </c>
      <c r="AA90" s="6">
        <f>Cleaned_MLB_Stats_Dataset__1[[#This Row],[Slugging %]]-Cleaned_MLB_Stats_Dataset__1[[#This Row],[Batting Average]]</f>
        <v>0.23893805309734512</v>
      </c>
      <c r="AB90" s="6">
        <f>Cleaned_MLB_Stats_Dataset__1[[#This Row],[Batting Average]]-_xlfn.XLOOKUP(Cleaned_MLB_Stats_Dataset__1[[#This Row],[Year]],'League Averages'!$A$3:$A$23,'League Averages'!$B$3:$B$23)</f>
        <v>5.8495575221239049E-3</v>
      </c>
      <c r="AC90" s="6">
        <f>Cleaned_MLB_Stats_Dataset__1[[#This Row],[On Base Percentage]]-_xlfn.XLOOKUP(Cleaned_MLB_Stats_Dataset__1[[#This Row],[Year]],'League Averages'!$A$3:$A$23,'League Averages'!$C$3:$C$23)</f>
        <v>3.9954545454545465E-2</v>
      </c>
      <c r="AD90" s="6">
        <f>Cleaned_MLB_Stats_Dataset__1[[#This Row],[Slugging %]]-_xlfn.XLOOKUP(Cleaned_MLB_Stats_Dataset__1[[#This Row],[Year]],'League Averages'!$A$3:$A$23,'League Averages'!$D$3:$D$23)</f>
        <v>0.101787610619469</v>
      </c>
      <c r="AE90" s="6">
        <f>Cleaned_MLB_Stats_Dataset__1[[#This Row],[OPS (On Base + Slugging)]]-_xlfn.XLOOKUP(Cleaned_MLB_Stats_Dataset__1[[#This Row],[Year]],'League Averages'!$A$3:$A$23,'League Averages'!$E$3:$E$23)</f>
        <v>0.14174215607401452</v>
      </c>
      <c r="AF90" s="6">
        <f>Cleaned_MLB_Stats_Dataset__1[[#This Row],[ISO (Isolated Power]]-_xlfn.XLOOKUP(Cleaned_MLB_Stats_Dataset__1[[#This Row],[Year]],'League Averages'!$A$3:$A$23,'League Averages'!$F$3:$F$23)</f>
        <v>9.5938053097345127E-2</v>
      </c>
    </row>
    <row r="91" spans="1:32" x14ac:dyDescent="0.2">
      <c r="A91" t="s">
        <v>310</v>
      </c>
      <c r="B91">
        <v>2012</v>
      </c>
      <c r="C91" t="s">
        <v>244</v>
      </c>
      <c r="D91" t="s">
        <v>6</v>
      </c>
      <c r="E91" t="s">
        <v>92</v>
      </c>
      <c r="F91" t="str">
        <f>_xlfn.XLOOKUP(Cleaned_MLB_Stats_Dataset__1[[#This Row],[Position'#]],$B$373:$B$382,$A$373:$A$382)</f>
        <v>RF</v>
      </c>
      <c r="G91">
        <v>9</v>
      </c>
      <c r="H91">
        <v>332</v>
      </c>
      <c r="I91">
        <v>80</v>
      </c>
      <c r="J91">
        <v>14</v>
      </c>
      <c r="K91">
        <v>0</v>
      </c>
      <c r="L91">
        <v>27</v>
      </c>
      <c r="M91">
        <v>64</v>
      </c>
      <c r="N91">
        <v>65</v>
      </c>
      <c r="O91">
        <v>63</v>
      </c>
      <c r="P91">
        <v>59</v>
      </c>
      <c r="Q91">
        <v>2</v>
      </c>
      <c r="R91">
        <v>4</v>
      </c>
      <c r="S91">
        <v>4</v>
      </c>
      <c r="T91">
        <v>0</v>
      </c>
      <c r="U91" s="6">
        <f>Cleaned_MLB_Stats_Dataset__1[[#This Row],[Hits]]/Cleaned_MLB_Stats_Dataset__1[[#This Row],[At Bats]]</f>
        <v>0.24096385542168675</v>
      </c>
      <c r="V91" s="6">
        <f>Cleaned_MLB_Stats_Dataset__1[[#This Row],[Strikeouts]]/(Cleaned_MLB_Stats_Dataset__1[[#This Row],[At Bats]]+Cleaned_MLB_Stats_Dataset__1[[#This Row],[Walks]])</f>
        <v>0.16112531969309463</v>
      </c>
      <c r="W9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0.15949367088607594</v>
      </c>
      <c r="X9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0.35839598997493732</v>
      </c>
      <c r="Y9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0.52710843373493976</v>
      </c>
      <c r="Z91" s="6">
        <f>Cleaned_MLB_Stats_Dataset__1[[#This Row],[On Base Percentage]]+Cleaned_MLB_Stats_Dataset__1[[#This Row],[Slugging %]]</f>
        <v>0.88550442370987703</v>
      </c>
      <c r="AA91" s="6">
        <f>Cleaned_MLB_Stats_Dataset__1[[#This Row],[Slugging %]]-Cleaned_MLB_Stats_Dataset__1[[#This Row],[Batting Average]]</f>
        <v>0.28614457831325302</v>
      </c>
      <c r="AB91" s="6">
        <f>Cleaned_MLB_Stats_Dataset__1[[#This Row],[Batting Average]]-_xlfn.XLOOKUP(Cleaned_MLB_Stats_Dataset__1[[#This Row],[Year]],'League Averages'!$A$3:$A$23,'League Averages'!$B$3:$B$23)</f>
        <v>-1.4036144578313259E-2</v>
      </c>
      <c r="AC91" s="6">
        <f>Cleaned_MLB_Stats_Dataset__1[[#This Row],[On Base Percentage]]-_xlfn.XLOOKUP(Cleaned_MLB_Stats_Dataset__1[[#This Row],[Year]],'League Averages'!$A$3:$A$23,'League Averages'!$C$3:$C$23)</f>
        <v>3.9395989974937318E-2</v>
      </c>
      <c r="AD91" s="6">
        <f>Cleaned_MLB_Stats_Dataset__1[[#This Row],[Slugging %]]-_xlfn.XLOOKUP(Cleaned_MLB_Stats_Dataset__1[[#This Row],[Year]],'League Averages'!$A$3:$A$23,'League Averages'!$D$3:$D$23)</f>
        <v>0.12210843373493974</v>
      </c>
      <c r="AE91" s="6">
        <f>Cleaned_MLB_Stats_Dataset__1[[#This Row],[OPS (On Base + Slugging)]]-_xlfn.XLOOKUP(Cleaned_MLB_Stats_Dataset__1[[#This Row],[Year]],'League Averages'!$A$3:$A$23,'League Averages'!$E$3:$E$23)</f>
        <v>0.16150442370987705</v>
      </c>
      <c r="AF91" s="6">
        <f>Cleaned_MLB_Stats_Dataset__1[[#This Row],[ISO (Isolated Power]]-_xlfn.XLOOKUP(Cleaned_MLB_Stats_Dataset__1[[#This Row],[Year]],'League Averages'!$A$3:$A$23,'League Averages'!$F$3:$F$23)</f>
        <v>0.13614457831325302</v>
      </c>
    </row>
    <row r="92" spans="1:32" x14ac:dyDescent="0.2">
      <c r="A92" t="s">
        <v>310</v>
      </c>
      <c r="B92">
        <v>2010</v>
      </c>
      <c r="C92" t="s">
        <v>230</v>
      </c>
      <c r="D92" t="s">
        <v>6</v>
      </c>
      <c r="E92" t="s">
        <v>203</v>
      </c>
      <c r="F92" t="str">
        <f>_xlfn.XLOOKUP(Cleaned_MLB_Stats_Dataset__1[[#This Row],[Position'#]],$B$373:$B$382,$A$373:$A$382)</f>
        <v>LF</v>
      </c>
      <c r="G92">
        <v>7</v>
      </c>
      <c r="H92">
        <v>600</v>
      </c>
      <c r="I92">
        <v>184</v>
      </c>
      <c r="J92">
        <v>30</v>
      </c>
      <c r="K92">
        <v>13</v>
      </c>
      <c r="L92">
        <v>19</v>
      </c>
      <c r="M92">
        <v>110</v>
      </c>
      <c r="N92">
        <v>90</v>
      </c>
      <c r="O92">
        <v>104</v>
      </c>
      <c r="P92">
        <v>46</v>
      </c>
      <c r="Q92">
        <v>3</v>
      </c>
      <c r="R92">
        <v>3</v>
      </c>
      <c r="S92">
        <v>5</v>
      </c>
      <c r="T92">
        <v>3</v>
      </c>
      <c r="U92" s="6">
        <f>Cleaned_MLB_Stats_Dataset__1[[#This Row],[Hits]]/Cleaned_MLB_Stats_Dataset__1[[#This Row],[At Bats]]</f>
        <v>0.30666666666666664</v>
      </c>
      <c r="V92" s="6">
        <f>Cleaned_MLB_Stats_Dataset__1[[#This Row],[Strikeouts]]/(Cleaned_MLB_Stats_Dataset__1[[#This Row],[At Bats]]+Cleaned_MLB_Stats_Dataset__1[[#This Row],[Walks]])</f>
        <v>0.1609907120743034</v>
      </c>
      <c r="W9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7.5500770416024654E-2</v>
      </c>
      <c r="X9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0.35626911314984711</v>
      </c>
      <c r="Y9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0.495</v>
      </c>
      <c r="Z92" s="6">
        <f>Cleaned_MLB_Stats_Dataset__1[[#This Row],[On Base Percentage]]+Cleaned_MLB_Stats_Dataset__1[[#This Row],[Slugging %]]</f>
        <v>0.8512691131498471</v>
      </c>
      <c r="AA92" s="6">
        <f>Cleaned_MLB_Stats_Dataset__1[[#This Row],[Slugging %]]-Cleaned_MLB_Stats_Dataset__1[[#This Row],[Batting Average]]</f>
        <v>0.18833333333333335</v>
      </c>
      <c r="AB92" s="6">
        <f>Cleaned_MLB_Stats_Dataset__1[[#This Row],[Batting Average]]-_xlfn.XLOOKUP(Cleaned_MLB_Stats_Dataset__1[[#This Row],[Year]],'League Averages'!$A$3:$A$23,'League Averages'!$B$3:$B$23)</f>
        <v>4.9666666666666637E-2</v>
      </c>
      <c r="AC92" s="6">
        <f>Cleaned_MLB_Stats_Dataset__1[[#This Row],[On Base Percentage]]-_xlfn.XLOOKUP(Cleaned_MLB_Stats_Dataset__1[[#This Row],[Year]],'League Averages'!$A$3:$A$23,'League Averages'!$C$3:$C$23)</f>
        <v>3.1269113149847094E-2</v>
      </c>
      <c r="AD92" s="6">
        <f>Cleaned_MLB_Stats_Dataset__1[[#This Row],[Slugging %]]-_xlfn.XLOOKUP(Cleaned_MLB_Stats_Dataset__1[[#This Row],[Year]],'League Averages'!$A$3:$A$23,'League Averages'!$D$3:$D$23)</f>
        <v>9.1999999999999971E-2</v>
      </c>
      <c r="AE92" s="6">
        <f>Cleaned_MLB_Stats_Dataset__1[[#This Row],[OPS (On Base + Slugging)]]-_xlfn.XLOOKUP(Cleaned_MLB_Stats_Dataset__1[[#This Row],[Year]],'League Averages'!$A$3:$A$23,'League Averages'!$E$3:$E$23)</f>
        <v>0.12326911314984712</v>
      </c>
      <c r="AF92" s="6">
        <f>Cleaned_MLB_Stats_Dataset__1[[#This Row],[ISO (Isolated Power]]-_xlfn.XLOOKUP(Cleaned_MLB_Stats_Dataset__1[[#This Row],[Year]],'League Averages'!$A$3:$A$23,'League Averages'!$F$3:$F$23)</f>
        <v>4.2333333333333362E-2</v>
      </c>
    </row>
    <row r="93" spans="1:32" x14ac:dyDescent="0.2">
      <c r="A93" t="s">
        <v>310</v>
      </c>
      <c r="B93">
        <v>2004</v>
      </c>
      <c r="C93" t="s">
        <v>190</v>
      </c>
      <c r="D93" t="s">
        <v>3</v>
      </c>
      <c r="E93" t="s">
        <v>60</v>
      </c>
      <c r="F93" t="str">
        <f>_xlfn.XLOOKUP(Cleaned_MLB_Stats_Dataset__1[[#This Row],[Position'#]],$B$373:$B$382,$A$373:$A$382)</f>
        <v>3B</v>
      </c>
      <c r="G93">
        <v>5</v>
      </c>
      <c r="H93">
        <v>500</v>
      </c>
      <c r="I93">
        <v>157</v>
      </c>
      <c r="J93">
        <v>32</v>
      </c>
      <c r="K93">
        <v>4</v>
      </c>
      <c r="L93">
        <v>34</v>
      </c>
      <c r="M93">
        <v>109</v>
      </c>
      <c r="N93">
        <v>124</v>
      </c>
      <c r="O93">
        <v>92</v>
      </c>
      <c r="P93">
        <v>72</v>
      </c>
      <c r="Q93">
        <v>5</v>
      </c>
      <c r="R93">
        <v>13</v>
      </c>
      <c r="S93">
        <v>7</v>
      </c>
      <c r="T93">
        <v>1</v>
      </c>
      <c r="U93" s="6">
        <f>Cleaned_MLB_Stats_Dataset__1[[#This Row],[Hits]]/Cleaned_MLB_Stats_Dataset__1[[#This Row],[At Bats]]</f>
        <v>0.314</v>
      </c>
      <c r="V93" s="6">
        <f>Cleaned_MLB_Stats_Dataset__1[[#This Row],[Strikeouts]]/(Cleaned_MLB_Stats_Dataset__1[[#This Row],[At Bats]]+Cleaned_MLB_Stats_Dataset__1[[#This Row],[Walks]])</f>
        <v>0.16083916083916083</v>
      </c>
      <c r="W9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0.14529914529914531</v>
      </c>
      <c r="X9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0.40878378378378377</v>
      </c>
      <c r="Y9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0.59799999999999998</v>
      </c>
      <c r="Z93" s="6">
        <f>Cleaned_MLB_Stats_Dataset__1[[#This Row],[On Base Percentage]]+Cleaned_MLB_Stats_Dataset__1[[#This Row],[Slugging %]]</f>
        <v>1.0067837837837836</v>
      </c>
      <c r="AA93" s="6">
        <f>Cleaned_MLB_Stats_Dataset__1[[#This Row],[Slugging %]]-Cleaned_MLB_Stats_Dataset__1[[#This Row],[Batting Average]]</f>
        <v>0.28399999999999997</v>
      </c>
      <c r="AB93" s="6">
        <f>Cleaned_MLB_Stats_Dataset__1[[#This Row],[Batting Average]]-_xlfn.XLOOKUP(Cleaned_MLB_Stats_Dataset__1[[#This Row],[Year]],'League Averages'!$A$3:$A$23,'League Averages'!$B$3:$B$23)</f>
        <v>4.7999999999999987E-2</v>
      </c>
      <c r="AC93" s="6">
        <f>Cleaned_MLB_Stats_Dataset__1[[#This Row],[On Base Percentage]]-_xlfn.XLOOKUP(Cleaned_MLB_Stats_Dataset__1[[#This Row],[Year]],'League Averages'!$A$3:$A$23,'League Averages'!$C$3:$C$23)</f>
        <v>7.3783783783783752E-2</v>
      </c>
      <c r="AD93" s="6">
        <f>Cleaned_MLB_Stats_Dataset__1[[#This Row],[Slugging %]]-_xlfn.XLOOKUP(Cleaned_MLB_Stats_Dataset__1[[#This Row],[Year]],'League Averages'!$A$3:$A$23,'League Averages'!$D$3:$D$23)</f>
        <v>0.16999999999999998</v>
      </c>
      <c r="AE93" s="6">
        <f>Cleaned_MLB_Stats_Dataset__1[[#This Row],[OPS (On Base + Slugging)]]-_xlfn.XLOOKUP(Cleaned_MLB_Stats_Dataset__1[[#This Row],[Year]],'League Averages'!$A$3:$A$23,'League Averages'!$E$3:$E$23)</f>
        <v>0.24378378378378363</v>
      </c>
      <c r="AF93" s="6">
        <f>Cleaned_MLB_Stats_Dataset__1[[#This Row],[ISO (Isolated Power]]-_xlfn.XLOOKUP(Cleaned_MLB_Stats_Dataset__1[[#This Row],[Year]],'League Averages'!$A$3:$A$23,'League Averages'!$F$3:$F$23)</f>
        <v>0.12199999999999997</v>
      </c>
    </row>
    <row r="94" spans="1:32" x14ac:dyDescent="0.2">
      <c r="A94" t="s">
        <v>310</v>
      </c>
      <c r="B94">
        <v>2005</v>
      </c>
      <c r="C94" t="s">
        <v>195</v>
      </c>
      <c r="D94" t="s">
        <v>3</v>
      </c>
      <c r="E94" t="s">
        <v>27</v>
      </c>
      <c r="F94" t="str">
        <f>_xlfn.XLOOKUP(Cleaned_MLB_Stats_Dataset__1[[#This Row],[Position'#]],$B$373:$B$382,$A$373:$A$382)</f>
        <v>1B</v>
      </c>
      <c r="G94">
        <v>3</v>
      </c>
      <c r="H94">
        <v>594</v>
      </c>
      <c r="I94">
        <v>199</v>
      </c>
      <c r="J94">
        <v>50</v>
      </c>
      <c r="K94">
        <v>3</v>
      </c>
      <c r="L94">
        <v>46</v>
      </c>
      <c r="M94">
        <v>120</v>
      </c>
      <c r="N94">
        <v>107</v>
      </c>
      <c r="O94">
        <v>109</v>
      </c>
      <c r="P94">
        <v>85</v>
      </c>
      <c r="Q94">
        <v>23</v>
      </c>
      <c r="R94">
        <v>5</v>
      </c>
      <c r="S94">
        <v>7</v>
      </c>
      <c r="T94">
        <v>0</v>
      </c>
      <c r="U94" s="6">
        <f>Cleaned_MLB_Stats_Dataset__1[[#This Row],[Hits]]/Cleaned_MLB_Stats_Dataset__1[[#This Row],[At Bats]]</f>
        <v>0.33501683501683499</v>
      </c>
      <c r="V94" s="6">
        <f>Cleaned_MLB_Stats_Dataset__1[[#This Row],[Strikeouts]]/(Cleaned_MLB_Stats_Dataset__1[[#This Row],[At Bats]]+Cleaned_MLB_Stats_Dataset__1[[#This Row],[Walks]])</f>
        <v>0.16053019145802652</v>
      </c>
      <c r="W9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0.13157894736842105</v>
      </c>
      <c r="X9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0.41823444283646888</v>
      </c>
      <c r="Y9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0.66161616161616166</v>
      </c>
      <c r="Z94" s="6">
        <f>Cleaned_MLB_Stats_Dataset__1[[#This Row],[On Base Percentage]]+Cleaned_MLB_Stats_Dataset__1[[#This Row],[Slugging %]]</f>
        <v>1.0798506044526306</v>
      </c>
      <c r="AA94" s="6">
        <f>Cleaned_MLB_Stats_Dataset__1[[#This Row],[Slugging %]]-Cleaned_MLB_Stats_Dataset__1[[#This Row],[Batting Average]]</f>
        <v>0.32659932659932667</v>
      </c>
      <c r="AB94" s="6">
        <f>Cleaned_MLB_Stats_Dataset__1[[#This Row],[Batting Average]]-_xlfn.XLOOKUP(Cleaned_MLB_Stats_Dataset__1[[#This Row],[Year]],'League Averages'!$A$3:$A$23,'League Averages'!$B$3:$B$23)</f>
        <v>7.1016835016834978E-2</v>
      </c>
      <c r="AC94" s="6">
        <f>Cleaned_MLB_Stats_Dataset__1[[#This Row],[On Base Percentage]]-_xlfn.XLOOKUP(Cleaned_MLB_Stats_Dataset__1[[#This Row],[Year]],'League Averages'!$A$3:$A$23,'League Averages'!$C$3:$C$23)</f>
        <v>8.8234442836468863E-2</v>
      </c>
      <c r="AD94" s="6">
        <f>Cleaned_MLB_Stats_Dataset__1[[#This Row],[Slugging %]]-_xlfn.XLOOKUP(Cleaned_MLB_Stats_Dataset__1[[#This Row],[Year]],'League Averages'!$A$3:$A$23,'League Averages'!$D$3:$D$23)</f>
        <v>0.24261616161616167</v>
      </c>
      <c r="AE94" s="6">
        <f>Cleaned_MLB_Stats_Dataset__1[[#This Row],[OPS (On Base + Slugging)]]-_xlfn.XLOOKUP(Cleaned_MLB_Stats_Dataset__1[[#This Row],[Year]],'League Averages'!$A$3:$A$23,'League Averages'!$E$3:$E$23)</f>
        <v>0.33085060445263059</v>
      </c>
      <c r="AF94" s="6">
        <f>Cleaned_MLB_Stats_Dataset__1[[#This Row],[ISO (Isolated Power]]-_xlfn.XLOOKUP(Cleaned_MLB_Stats_Dataset__1[[#This Row],[Year]],'League Averages'!$A$3:$A$23,'League Averages'!$F$3:$F$23)</f>
        <v>0.17159932659932667</v>
      </c>
    </row>
    <row r="95" spans="1:32" x14ac:dyDescent="0.2">
      <c r="A95" t="s">
        <v>310</v>
      </c>
      <c r="B95">
        <v>2011</v>
      </c>
      <c r="C95" t="s">
        <v>212</v>
      </c>
      <c r="D95" t="s">
        <v>3</v>
      </c>
      <c r="E95" t="s">
        <v>60</v>
      </c>
      <c r="F95" t="str">
        <f>_xlfn.XLOOKUP(Cleaned_MLB_Stats_Dataset__1[[#This Row],[Position'#]],$B$373:$B$382,$A$373:$A$382)</f>
        <v>RF</v>
      </c>
      <c r="G95">
        <v>9</v>
      </c>
      <c r="H95">
        <v>488</v>
      </c>
      <c r="I95">
        <v>147</v>
      </c>
      <c r="J95">
        <v>23</v>
      </c>
      <c r="K95">
        <v>2</v>
      </c>
      <c r="L95">
        <v>31</v>
      </c>
      <c r="M95">
        <v>90</v>
      </c>
      <c r="N95">
        <v>94</v>
      </c>
      <c r="O95">
        <v>93</v>
      </c>
      <c r="P95">
        <v>92</v>
      </c>
      <c r="Q95">
        <v>17</v>
      </c>
      <c r="R95">
        <v>3</v>
      </c>
      <c r="S95">
        <v>4</v>
      </c>
      <c r="T95">
        <v>0</v>
      </c>
      <c r="U95" s="6">
        <f>Cleaned_MLB_Stats_Dataset__1[[#This Row],[Hits]]/Cleaned_MLB_Stats_Dataset__1[[#This Row],[At Bats]]</f>
        <v>0.30122950819672129</v>
      </c>
      <c r="V95" s="6">
        <f>Cleaned_MLB_Stats_Dataset__1[[#This Row],[Strikeouts]]/(Cleaned_MLB_Stats_Dataset__1[[#This Row],[At Bats]]+Cleaned_MLB_Stats_Dataset__1[[#This Row],[Walks]])</f>
        <v>0.16034482758620688</v>
      </c>
      <c r="W9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0.16295025728987994</v>
      </c>
      <c r="X9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0.41226575809199317</v>
      </c>
      <c r="Y9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0.54713114754098358</v>
      </c>
      <c r="Z95" s="6">
        <f>Cleaned_MLB_Stats_Dataset__1[[#This Row],[On Base Percentage]]+Cleaned_MLB_Stats_Dataset__1[[#This Row],[Slugging %]]</f>
        <v>0.95939690563297675</v>
      </c>
      <c r="AA95" s="6">
        <f>Cleaned_MLB_Stats_Dataset__1[[#This Row],[Slugging %]]-Cleaned_MLB_Stats_Dataset__1[[#This Row],[Batting Average]]</f>
        <v>0.24590163934426229</v>
      </c>
      <c r="AB95" s="6">
        <f>Cleaned_MLB_Stats_Dataset__1[[#This Row],[Batting Average]]-_xlfn.XLOOKUP(Cleaned_MLB_Stats_Dataset__1[[#This Row],[Year]],'League Averages'!$A$3:$A$23,'League Averages'!$B$3:$B$23)</f>
        <v>4.6229508196721281E-2</v>
      </c>
      <c r="AC95" s="6">
        <f>Cleaned_MLB_Stats_Dataset__1[[#This Row],[On Base Percentage]]-_xlfn.XLOOKUP(Cleaned_MLB_Stats_Dataset__1[[#This Row],[Year]],'League Averages'!$A$3:$A$23,'League Averages'!$C$3:$C$23)</f>
        <v>9.1265758091993165E-2</v>
      </c>
      <c r="AD95" s="6">
        <f>Cleaned_MLB_Stats_Dataset__1[[#This Row],[Slugging %]]-_xlfn.XLOOKUP(Cleaned_MLB_Stats_Dataset__1[[#This Row],[Year]],'League Averages'!$A$3:$A$23,'League Averages'!$D$3:$D$23)</f>
        <v>0.14813114754098355</v>
      </c>
      <c r="AE95" s="6">
        <f>Cleaned_MLB_Stats_Dataset__1[[#This Row],[OPS (On Base + Slugging)]]-_xlfn.XLOOKUP(Cleaned_MLB_Stats_Dataset__1[[#This Row],[Year]],'League Averages'!$A$3:$A$23,'League Averages'!$E$3:$E$23)</f>
        <v>0.23939690563297678</v>
      </c>
      <c r="AF95" s="6">
        <f>Cleaned_MLB_Stats_Dataset__1[[#This Row],[ISO (Isolated Power]]-_xlfn.XLOOKUP(Cleaned_MLB_Stats_Dataset__1[[#This Row],[Year]],'League Averages'!$A$3:$A$23,'League Averages'!$F$3:$F$23)</f>
        <v>0.1019016393442623</v>
      </c>
    </row>
    <row r="96" spans="1:32" x14ac:dyDescent="0.2">
      <c r="A96" t="s">
        <v>310</v>
      </c>
      <c r="B96">
        <v>2012</v>
      </c>
      <c r="C96" t="s">
        <v>289</v>
      </c>
      <c r="D96" t="s">
        <v>3</v>
      </c>
      <c r="E96" t="s">
        <v>79</v>
      </c>
      <c r="F96" t="str">
        <f>_xlfn.XLOOKUP(Cleaned_MLB_Stats_Dataset__1[[#This Row],[Position'#]],$B$373:$B$382,$A$373:$A$382)</f>
        <v>C</v>
      </c>
      <c r="G96">
        <v>2</v>
      </c>
      <c r="H96">
        <v>530</v>
      </c>
      <c r="I96">
        <v>178</v>
      </c>
      <c r="J96">
        <v>39</v>
      </c>
      <c r="K96">
        <v>1</v>
      </c>
      <c r="L96">
        <v>24</v>
      </c>
      <c r="M96">
        <v>78</v>
      </c>
      <c r="N96">
        <v>103</v>
      </c>
      <c r="O96">
        <v>96</v>
      </c>
      <c r="P96">
        <v>69</v>
      </c>
      <c r="Q96">
        <v>7</v>
      </c>
      <c r="R96">
        <v>2</v>
      </c>
      <c r="S96">
        <v>9</v>
      </c>
      <c r="T96">
        <v>0</v>
      </c>
      <c r="U96" s="6">
        <f>Cleaned_MLB_Stats_Dataset__1[[#This Row],[Hits]]/Cleaned_MLB_Stats_Dataset__1[[#This Row],[At Bats]]</f>
        <v>0.33584905660377357</v>
      </c>
      <c r="V96" s="6">
        <f>Cleaned_MLB_Stats_Dataset__1[[#This Row],[Strikeouts]]/(Cleaned_MLB_Stats_Dataset__1[[#This Row],[At Bats]]+Cleaned_MLB_Stats_Dataset__1[[#This Row],[Walks]])</f>
        <v>0.16026711185308848</v>
      </c>
      <c r="W9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0.11813643926788686</v>
      </c>
      <c r="X9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0.40819672131147539</v>
      </c>
      <c r="Y9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0.54905660377358489</v>
      </c>
      <c r="Z96" s="6">
        <f>Cleaned_MLB_Stats_Dataset__1[[#This Row],[On Base Percentage]]+Cleaned_MLB_Stats_Dataset__1[[#This Row],[Slugging %]]</f>
        <v>0.95725332508506034</v>
      </c>
      <c r="AA96" s="6">
        <f>Cleaned_MLB_Stats_Dataset__1[[#This Row],[Slugging %]]-Cleaned_MLB_Stats_Dataset__1[[#This Row],[Batting Average]]</f>
        <v>0.21320754716981133</v>
      </c>
      <c r="AB96" s="6">
        <f>Cleaned_MLB_Stats_Dataset__1[[#This Row],[Batting Average]]-_xlfn.XLOOKUP(Cleaned_MLB_Stats_Dataset__1[[#This Row],[Year]],'League Averages'!$A$3:$A$23,'League Averages'!$B$3:$B$23)</f>
        <v>8.0849056603773561E-2</v>
      </c>
      <c r="AC96" s="6">
        <f>Cleaned_MLB_Stats_Dataset__1[[#This Row],[On Base Percentage]]-_xlfn.XLOOKUP(Cleaned_MLB_Stats_Dataset__1[[#This Row],[Year]],'League Averages'!$A$3:$A$23,'League Averages'!$C$3:$C$23)</f>
        <v>8.919672131147538E-2</v>
      </c>
      <c r="AD96" s="6">
        <f>Cleaned_MLB_Stats_Dataset__1[[#This Row],[Slugging %]]-_xlfn.XLOOKUP(Cleaned_MLB_Stats_Dataset__1[[#This Row],[Year]],'League Averages'!$A$3:$A$23,'League Averages'!$D$3:$D$23)</f>
        <v>0.14405660377358487</v>
      </c>
      <c r="AE96" s="6">
        <f>Cleaned_MLB_Stats_Dataset__1[[#This Row],[OPS (On Base + Slugging)]]-_xlfn.XLOOKUP(Cleaned_MLB_Stats_Dataset__1[[#This Row],[Year]],'League Averages'!$A$3:$A$23,'League Averages'!$E$3:$E$23)</f>
        <v>0.23325332508506036</v>
      </c>
      <c r="AF96" s="6">
        <f>Cleaned_MLB_Stats_Dataset__1[[#This Row],[ISO (Isolated Power]]-_xlfn.XLOOKUP(Cleaned_MLB_Stats_Dataset__1[[#This Row],[Year]],'League Averages'!$A$3:$A$23,'League Averages'!$F$3:$F$23)</f>
        <v>6.3207547169811334E-2</v>
      </c>
    </row>
    <row r="97" spans="1:32" x14ac:dyDescent="0.2">
      <c r="A97" t="s">
        <v>310</v>
      </c>
      <c r="B97">
        <v>2004</v>
      </c>
      <c r="C97" t="s">
        <v>155</v>
      </c>
      <c r="D97" t="s">
        <v>6</v>
      </c>
      <c r="E97" t="s">
        <v>67</v>
      </c>
      <c r="F97" t="str">
        <f>_xlfn.XLOOKUP(Cleaned_MLB_Stats_Dataset__1[[#This Row],[Position'#]],$B$373:$B$382,$A$373:$A$382)</f>
        <v>C</v>
      </c>
      <c r="G97">
        <v>2</v>
      </c>
      <c r="H97">
        <v>527</v>
      </c>
      <c r="I97">
        <v>176</v>
      </c>
      <c r="J97">
        <v>32</v>
      </c>
      <c r="K97">
        <v>2</v>
      </c>
      <c r="L97">
        <v>19</v>
      </c>
      <c r="M97">
        <v>72</v>
      </c>
      <c r="N97">
        <v>86</v>
      </c>
      <c r="O97">
        <v>91</v>
      </c>
      <c r="P97">
        <v>41</v>
      </c>
      <c r="Q97">
        <v>6</v>
      </c>
      <c r="R97">
        <v>3</v>
      </c>
      <c r="S97">
        <v>4</v>
      </c>
      <c r="T97">
        <v>0</v>
      </c>
      <c r="U97" s="6">
        <f>Cleaned_MLB_Stats_Dataset__1[[#This Row],[Hits]]/Cleaned_MLB_Stats_Dataset__1[[#This Row],[At Bats]]</f>
        <v>0.33396584440227706</v>
      </c>
      <c r="V97" s="6">
        <f>Cleaned_MLB_Stats_Dataset__1[[#This Row],[Strikeouts]]/(Cleaned_MLB_Stats_Dataset__1[[#This Row],[At Bats]]+Cleaned_MLB_Stats_Dataset__1[[#This Row],[Walks]])</f>
        <v>0.16021126760563381</v>
      </c>
      <c r="W9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7.7057793345008757E-2</v>
      </c>
      <c r="X9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0.38260869565217392</v>
      </c>
      <c r="Y9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0.5104364326375711</v>
      </c>
      <c r="Z97" s="6">
        <f>Cleaned_MLB_Stats_Dataset__1[[#This Row],[On Base Percentage]]+Cleaned_MLB_Stats_Dataset__1[[#This Row],[Slugging %]]</f>
        <v>0.89304512828974503</v>
      </c>
      <c r="AA97" s="6">
        <f>Cleaned_MLB_Stats_Dataset__1[[#This Row],[Slugging %]]-Cleaned_MLB_Stats_Dataset__1[[#This Row],[Batting Average]]</f>
        <v>0.17647058823529405</v>
      </c>
      <c r="AB97" s="6">
        <f>Cleaned_MLB_Stats_Dataset__1[[#This Row],[Batting Average]]-_xlfn.XLOOKUP(Cleaned_MLB_Stats_Dataset__1[[#This Row],[Year]],'League Averages'!$A$3:$A$23,'League Averages'!$B$3:$B$23)</f>
        <v>6.7965844402277042E-2</v>
      </c>
      <c r="AC97" s="6">
        <f>Cleaned_MLB_Stats_Dataset__1[[#This Row],[On Base Percentage]]-_xlfn.XLOOKUP(Cleaned_MLB_Stats_Dataset__1[[#This Row],[Year]],'League Averages'!$A$3:$A$23,'League Averages'!$C$3:$C$23)</f>
        <v>4.7608695652173905E-2</v>
      </c>
      <c r="AD97" s="6">
        <f>Cleaned_MLB_Stats_Dataset__1[[#This Row],[Slugging %]]-_xlfn.XLOOKUP(Cleaned_MLB_Stats_Dataset__1[[#This Row],[Year]],'League Averages'!$A$3:$A$23,'League Averages'!$D$3:$D$23)</f>
        <v>8.2436432637571111E-2</v>
      </c>
      <c r="AE97" s="6">
        <f>Cleaned_MLB_Stats_Dataset__1[[#This Row],[OPS (On Base + Slugging)]]-_xlfn.XLOOKUP(Cleaned_MLB_Stats_Dataset__1[[#This Row],[Year]],'League Averages'!$A$3:$A$23,'League Averages'!$E$3:$E$23)</f>
        <v>0.13004512828974502</v>
      </c>
      <c r="AF97" s="6">
        <f>Cleaned_MLB_Stats_Dataset__1[[#This Row],[ISO (Isolated Power]]-_xlfn.XLOOKUP(Cleaned_MLB_Stats_Dataset__1[[#This Row],[Year]],'League Averages'!$A$3:$A$23,'League Averages'!$F$3:$F$23)</f>
        <v>1.4470588235294041E-2</v>
      </c>
    </row>
    <row r="98" spans="1:32" x14ac:dyDescent="0.2">
      <c r="A98" t="s">
        <v>310</v>
      </c>
      <c r="B98">
        <v>2009</v>
      </c>
      <c r="C98" t="s">
        <v>262</v>
      </c>
      <c r="D98" t="s">
        <v>3</v>
      </c>
      <c r="E98" t="s">
        <v>165</v>
      </c>
      <c r="F98" t="str">
        <f>_xlfn.XLOOKUP(Cleaned_MLB_Stats_Dataset__1[[#This Row],[Position'#]],$B$373:$B$382,$A$373:$A$382)</f>
        <v>SS</v>
      </c>
      <c r="G98">
        <v>6</v>
      </c>
      <c r="H98">
        <v>576</v>
      </c>
      <c r="I98">
        <v>197</v>
      </c>
      <c r="J98">
        <v>42</v>
      </c>
      <c r="K98">
        <v>1</v>
      </c>
      <c r="L98">
        <v>24</v>
      </c>
      <c r="M98">
        <v>101</v>
      </c>
      <c r="N98">
        <v>106</v>
      </c>
      <c r="O98">
        <v>101</v>
      </c>
      <c r="P98">
        <v>61</v>
      </c>
      <c r="Q98">
        <v>14</v>
      </c>
      <c r="R98">
        <v>9</v>
      </c>
      <c r="S98">
        <v>5</v>
      </c>
      <c r="T98">
        <v>1</v>
      </c>
      <c r="U98" s="6">
        <f>Cleaned_MLB_Stats_Dataset__1[[#This Row],[Hits]]/Cleaned_MLB_Stats_Dataset__1[[#This Row],[At Bats]]</f>
        <v>0.3420138888888889</v>
      </c>
      <c r="V98" s="6">
        <f>Cleaned_MLB_Stats_Dataset__1[[#This Row],[Strikeouts]]/(Cleaned_MLB_Stats_Dataset__1[[#This Row],[At Bats]]+Cleaned_MLB_Stats_Dataset__1[[#This Row],[Walks]])</f>
        <v>0.15855572998430142</v>
      </c>
      <c r="W9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0.10835913312693499</v>
      </c>
      <c r="X9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0.41013824884792627</v>
      </c>
      <c r="Y9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0.54340277777777779</v>
      </c>
      <c r="Z98" s="6">
        <f>Cleaned_MLB_Stats_Dataset__1[[#This Row],[On Base Percentage]]+Cleaned_MLB_Stats_Dataset__1[[#This Row],[Slugging %]]</f>
        <v>0.95354102662570406</v>
      </c>
      <c r="AA98" s="6">
        <f>Cleaned_MLB_Stats_Dataset__1[[#This Row],[Slugging %]]-Cleaned_MLB_Stats_Dataset__1[[#This Row],[Batting Average]]</f>
        <v>0.2013888888888889</v>
      </c>
      <c r="AB98" s="6">
        <f>Cleaned_MLB_Stats_Dataset__1[[#This Row],[Batting Average]]-_xlfn.XLOOKUP(Cleaned_MLB_Stats_Dataset__1[[#This Row],[Year]],'League Averages'!$A$3:$A$23,'League Averages'!$B$3:$B$23)</f>
        <v>8.0013888888888884E-2</v>
      </c>
      <c r="AC98" s="6">
        <f>Cleaned_MLB_Stats_Dataset__1[[#This Row],[On Base Percentage]]-_xlfn.XLOOKUP(Cleaned_MLB_Stats_Dataset__1[[#This Row],[Year]],'League Averages'!$A$3:$A$23,'League Averages'!$C$3:$C$23)</f>
        <v>7.713824884792625E-2</v>
      </c>
      <c r="AD98" s="6">
        <f>Cleaned_MLB_Stats_Dataset__1[[#This Row],[Slugging %]]-_xlfn.XLOOKUP(Cleaned_MLB_Stats_Dataset__1[[#This Row],[Year]],'League Averages'!$A$3:$A$23,'League Averages'!$D$3:$D$23)</f>
        <v>0.12540277777777781</v>
      </c>
      <c r="AE98" s="6">
        <f>Cleaned_MLB_Stats_Dataset__1[[#This Row],[OPS (On Base + Slugging)]]-_xlfn.XLOOKUP(Cleaned_MLB_Stats_Dataset__1[[#This Row],[Year]],'League Averages'!$A$3:$A$23,'League Averages'!$E$3:$E$23)</f>
        <v>0.20254102662570406</v>
      </c>
      <c r="AF98" s="6">
        <f>Cleaned_MLB_Stats_Dataset__1[[#This Row],[ISO (Isolated Power]]-_xlfn.XLOOKUP(Cleaned_MLB_Stats_Dataset__1[[#This Row],[Year]],'League Averages'!$A$3:$A$23,'League Averages'!$F$3:$F$23)</f>
        <v>4.5388888888888895E-2</v>
      </c>
    </row>
    <row r="99" spans="1:32" x14ac:dyDescent="0.2">
      <c r="A99" t="s">
        <v>310</v>
      </c>
      <c r="B99">
        <v>2011</v>
      </c>
      <c r="C99" t="s">
        <v>258</v>
      </c>
      <c r="D99" t="s">
        <v>3</v>
      </c>
      <c r="E99" t="s">
        <v>204</v>
      </c>
      <c r="F99" t="str">
        <f>_xlfn.XLOOKUP(Cleaned_MLB_Stats_Dataset__1[[#This Row],[Position'#]],$B$373:$B$382,$A$373:$A$382)</f>
        <v>1B</v>
      </c>
      <c r="G99">
        <v>3</v>
      </c>
      <c r="H99">
        <v>569</v>
      </c>
      <c r="I99">
        <v>170</v>
      </c>
      <c r="J99">
        <v>36</v>
      </c>
      <c r="K99">
        <v>1</v>
      </c>
      <c r="L99">
        <v>38</v>
      </c>
      <c r="M99">
        <v>95</v>
      </c>
      <c r="N99">
        <v>120</v>
      </c>
      <c r="O99">
        <v>106</v>
      </c>
      <c r="P99">
        <v>107</v>
      </c>
      <c r="Q99">
        <v>32</v>
      </c>
      <c r="R99">
        <v>10</v>
      </c>
      <c r="S99">
        <v>6</v>
      </c>
      <c r="T99">
        <v>0</v>
      </c>
      <c r="U99" s="6">
        <f>Cleaned_MLB_Stats_Dataset__1[[#This Row],[Hits]]/Cleaned_MLB_Stats_Dataset__1[[#This Row],[At Bats]]</f>
        <v>0.29876977152899825</v>
      </c>
      <c r="V99" s="6">
        <f>Cleaned_MLB_Stats_Dataset__1[[#This Row],[Strikeouts]]/(Cleaned_MLB_Stats_Dataset__1[[#This Row],[At Bats]]+Cleaned_MLB_Stats_Dataset__1[[#This Row],[Walks]])</f>
        <v>0.15680473372781065</v>
      </c>
      <c r="W9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0.17055393586005832</v>
      </c>
      <c r="X9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0.41473988439306358</v>
      </c>
      <c r="Y9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0.56590509666080846</v>
      </c>
      <c r="Z99" s="6">
        <f>Cleaned_MLB_Stats_Dataset__1[[#This Row],[On Base Percentage]]+Cleaned_MLB_Stats_Dataset__1[[#This Row],[Slugging %]]</f>
        <v>0.98064498105387199</v>
      </c>
      <c r="AA99" s="6">
        <f>Cleaned_MLB_Stats_Dataset__1[[#This Row],[Slugging %]]-Cleaned_MLB_Stats_Dataset__1[[#This Row],[Batting Average]]</f>
        <v>0.26713532513181021</v>
      </c>
      <c r="AB99" s="6">
        <f>Cleaned_MLB_Stats_Dataset__1[[#This Row],[Batting Average]]-_xlfn.XLOOKUP(Cleaned_MLB_Stats_Dataset__1[[#This Row],[Year]],'League Averages'!$A$3:$A$23,'League Averages'!$B$3:$B$23)</f>
        <v>4.3769771528998247E-2</v>
      </c>
      <c r="AC99" s="6">
        <f>Cleaned_MLB_Stats_Dataset__1[[#This Row],[On Base Percentage]]-_xlfn.XLOOKUP(Cleaned_MLB_Stats_Dataset__1[[#This Row],[Year]],'League Averages'!$A$3:$A$23,'League Averages'!$C$3:$C$23)</f>
        <v>9.3739884393063577E-2</v>
      </c>
      <c r="AD99" s="6">
        <f>Cleaned_MLB_Stats_Dataset__1[[#This Row],[Slugging %]]-_xlfn.XLOOKUP(Cleaned_MLB_Stats_Dataset__1[[#This Row],[Year]],'League Averages'!$A$3:$A$23,'League Averages'!$D$3:$D$23)</f>
        <v>0.16690509666080844</v>
      </c>
      <c r="AE99" s="6">
        <f>Cleaned_MLB_Stats_Dataset__1[[#This Row],[OPS (On Base + Slugging)]]-_xlfn.XLOOKUP(Cleaned_MLB_Stats_Dataset__1[[#This Row],[Year]],'League Averages'!$A$3:$A$23,'League Averages'!$E$3:$E$23)</f>
        <v>0.26064498105387202</v>
      </c>
      <c r="AF99" s="6">
        <f>Cleaned_MLB_Stats_Dataset__1[[#This Row],[ISO (Isolated Power]]-_xlfn.XLOOKUP(Cleaned_MLB_Stats_Dataset__1[[#This Row],[Year]],'League Averages'!$A$3:$A$23,'League Averages'!$F$3:$F$23)</f>
        <v>0.12313532513181022</v>
      </c>
    </row>
    <row r="100" spans="1:32" x14ac:dyDescent="0.2">
      <c r="A100" t="s">
        <v>310</v>
      </c>
      <c r="B100">
        <v>2007</v>
      </c>
      <c r="C100" t="s">
        <v>198</v>
      </c>
      <c r="D100" t="s">
        <v>6</v>
      </c>
      <c r="E100" t="s">
        <v>68</v>
      </c>
      <c r="F100" t="str">
        <f>_xlfn.XLOOKUP(Cleaned_MLB_Stats_Dataset__1[[#This Row],[Position'#]],$B$373:$B$382,$A$373:$A$382)</f>
        <v>1B</v>
      </c>
      <c r="G100">
        <v>3</v>
      </c>
      <c r="H100">
        <v>549</v>
      </c>
      <c r="I100">
        <v>182</v>
      </c>
      <c r="J100">
        <v>52</v>
      </c>
      <c r="K100">
        <v>1</v>
      </c>
      <c r="L100">
        <v>35</v>
      </c>
      <c r="M100">
        <v>116</v>
      </c>
      <c r="N100">
        <v>117</v>
      </c>
      <c r="O100">
        <v>103</v>
      </c>
      <c r="P100">
        <v>111</v>
      </c>
      <c r="Q100">
        <v>12</v>
      </c>
      <c r="R100">
        <v>4</v>
      </c>
      <c r="S100">
        <v>3</v>
      </c>
      <c r="T100">
        <v>0</v>
      </c>
      <c r="U100" s="6">
        <f>Cleaned_MLB_Stats_Dataset__1[[#This Row],[Hits]]/Cleaned_MLB_Stats_Dataset__1[[#This Row],[At Bats]]</f>
        <v>0.33151183970856102</v>
      </c>
      <c r="V100" s="6">
        <f>Cleaned_MLB_Stats_Dataset__1[[#This Row],[Strikeouts]]/(Cleaned_MLB_Stats_Dataset__1[[#This Row],[At Bats]]+Cleaned_MLB_Stats_Dataset__1[[#This Row],[Walks]])</f>
        <v>0.15606060606060607</v>
      </c>
      <c r="W10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0.17319277108433734</v>
      </c>
      <c r="X10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0.44527736131934031</v>
      </c>
      <c r="Y10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0.62112932604735882</v>
      </c>
      <c r="Z100" s="6">
        <f>Cleaned_MLB_Stats_Dataset__1[[#This Row],[On Base Percentage]]+Cleaned_MLB_Stats_Dataset__1[[#This Row],[Slugging %]]</f>
        <v>1.0664066873666991</v>
      </c>
      <c r="AA100" s="6">
        <f>Cleaned_MLB_Stats_Dataset__1[[#This Row],[Slugging %]]-Cleaned_MLB_Stats_Dataset__1[[#This Row],[Batting Average]]</f>
        <v>0.2896174863387978</v>
      </c>
      <c r="AB100" s="6">
        <f>Cleaned_MLB_Stats_Dataset__1[[#This Row],[Batting Average]]-_xlfn.XLOOKUP(Cleaned_MLB_Stats_Dataset__1[[#This Row],[Year]],'League Averages'!$A$3:$A$23,'League Averages'!$B$3:$B$23)</f>
        <v>6.3511839708561002E-2</v>
      </c>
      <c r="AC100" s="6">
        <f>Cleaned_MLB_Stats_Dataset__1[[#This Row],[On Base Percentage]]-_xlfn.XLOOKUP(Cleaned_MLB_Stats_Dataset__1[[#This Row],[Year]],'League Averages'!$A$3:$A$23,'League Averages'!$C$3:$C$23)</f>
        <v>0.10927736131934029</v>
      </c>
      <c r="AD100" s="6">
        <f>Cleaned_MLB_Stats_Dataset__1[[#This Row],[Slugging %]]-_xlfn.XLOOKUP(Cleaned_MLB_Stats_Dataset__1[[#This Row],[Year]],'League Averages'!$A$3:$A$23,'League Averages'!$D$3:$D$23)</f>
        <v>0.19812932604735883</v>
      </c>
      <c r="AE100" s="6">
        <f>Cleaned_MLB_Stats_Dataset__1[[#This Row],[OPS (On Base + Slugging)]]-_xlfn.XLOOKUP(Cleaned_MLB_Stats_Dataset__1[[#This Row],[Year]],'League Averages'!$A$3:$A$23,'League Averages'!$E$3:$E$23)</f>
        <v>0.30840668736669907</v>
      </c>
      <c r="AF100" s="6">
        <f>Cleaned_MLB_Stats_Dataset__1[[#This Row],[ISO (Isolated Power]]-_xlfn.XLOOKUP(Cleaned_MLB_Stats_Dataset__1[[#This Row],[Year]],'League Averages'!$A$3:$A$23,'League Averages'!$F$3:$F$23)</f>
        <v>0.1346174863387978</v>
      </c>
    </row>
    <row r="101" spans="1:32" x14ac:dyDescent="0.2">
      <c r="A101" t="s">
        <v>310</v>
      </c>
      <c r="B101">
        <v>2010</v>
      </c>
      <c r="C101" t="s">
        <v>276</v>
      </c>
      <c r="D101" t="s">
        <v>3</v>
      </c>
      <c r="E101" t="s">
        <v>204</v>
      </c>
      <c r="F101" t="str">
        <f>_xlfn.XLOOKUP(Cleaned_MLB_Stats_Dataset__1[[#This Row],[Position'#]],$B$373:$B$382,$A$373:$A$382)</f>
        <v>LF</v>
      </c>
      <c r="G101">
        <v>7</v>
      </c>
      <c r="H101">
        <v>619</v>
      </c>
      <c r="I101">
        <v>188</v>
      </c>
      <c r="J101">
        <v>45</v>
      </c>
      <c r="K101">
        <v>1</v>
      </c>
      <c r="L101">
        <v>25</v>
      </c>
      <c r="M101">
        <v>101</v>
      </c>
      <c r="N101">
        <v>103</v>
      </c>
      <c r="O101">
        <v>105</v>
      </c>
      <c r="P101">
        <v>56</v>
      </c>
      <c r="Q101">
        <v>1</v>
      </c>
      <c r="R101">
        <v>6</v>
      </c>
      <c r="S101">
        <v>3</v>
      </c>
      <c r="T101">
        <v>0</v>
      </c>
      <c r="U101" s="6">
        <f>Cleaned_MLB_Stats_Dataset__1[[#This Row],[Hits]]/Cleaned_MLB_Stats_Dataset__1[[#This Row],[At Bats]]</f>
        <v>0.30371567043618741</v>
      </c>
      <c r="V101" s="6">
        <f>Cleaned_MLB_Stats_Dataset__1[[#This Row],[Strikeouts]]/(Cleaned_MLB_Stats_Dataset__1[[#This Row],[At Bats]]+Cleaned_MLB_Stats_Dataset__1[[#This Row],[Walks]])</f>
        <v>0.15555555555555556</v>
      </c>
      <c r="W10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9.1042584434654919E-2</v>
      </c>
      <c r="X10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0.36549707602339182</v>
      </c>
      <c r="Y10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0.50080775444264947</v>
      </c>
      <c r="Z101" s="6">
        <f>Cleaned_MLB_Stats_Dataset__1[[#This Row],[On Base Percentage]]+Cleaned_MLB_Stats_Dataset__1[[#This Row],[Slugging %]]</f>
        <v>0.86630483046604123</v>
      </c>
      <c r="AA101" s="6">
        <f>Cleaned_MLB_Stats_Dataset__1[[#This Row],[Slugging %]]-Cleaned_MLB_Stats_Dataset__1[[#This Row],[Batting Average]]</f>
        <v>0.19709208400646205</v>
      </c>
      <c r="AB101" s="6">
        <f>Cleaned_MLB_Stats_Dataset__1[[#This Row],[Batting Average]]-_xlfn.XLOOKUP(Cleaned_MLB_Stats_Dataset__1[[#This Row],[Year]],'League Averages'!$A$3:$A$23,'League Averages'!$B$3:$B$23)</f>
        <v>4.6715670436187406E-2</v>
      </c>
      <c r="AC101" s="6">
        <f>Cleaned_MLB_Stats_Dataset__1[[#This Row],[On Base Percentage]]-_xlfn.XLOOKUP(Cleaned_MLB_Stats_Dataset__1[[#This Row],[Year]],'League Averages'!$A$3:$A$23,'League Averages'!$C$3:$C$23)</f>
        <v>4.0497076023391809E-2</v>
      </c>
      <c r="AD101" s="6">
        <f>Cleaned_MLB_Stats_Dataset__1[[#This Row],[Slugging %]]-_xlfn.XLOOKUP(Cleaned_MLB_Stats_Dataset__1[[#This Row],[Year]],'League Averages'!$A$3:$A$23,'League Averages'!$D$3:$D$23)</f>
        <v>9.7807754442649442E-2</v>
      </c>
      <c r="AE101" s="6">
        <f>Cleaned_MLB_Stats_Dataset__1[[#This Row],[OPS (On Base + Slugging)]]-_xlfn.XLOOKUP(Cleaned_MLB_Stats_Dataset__1[[#This Row],[Year]],'League Averages'!$A$3:$A$23,'League Averages'!$E$3:$E$23)</f>
        <v>0.13830483046604125</v>
      </c>
      <c r="AF101" s="6">
        <f>Cleaned_MLB_Stats_Dataset__1[[#This Row],[ISO (Isolated Power]]-_xlfn.XLOOKUP(Cleaned_MLB_Stats_Dataset__1[[#This Row],[Year]],'League Averages'!$A$3:$A$23,'League Averages'!$F$3:$F$23)</f>
        <v>5.1092084006462063E-2</v>
      </c>
    </row>
    <row r="102" spans="1:32" x14ac:dyDescent="0.2">
      <c r="A102" t="s">
        <v>310</v>
      </c>
      <c r="B102">
        <v>2008</v>
      </c>
      <c r="C102" t="s">
        <v>241</v>
      </c>
      <c r="D102" t="s">
        <v>3</v>
      </c>
      <c r="E102" t="s">
        <v>29</v>
      </c>
      <c r="F102" t="str">
        <f>_xlfn.XLOOKUP(Cleaned_MLB_Stats_Dataset__1[[#This Row],[Position'#]],$B$373:$B$382,$A$373:$A$382)</f>
        <v>2B</v>
      </c>
      <c r="G102">
        <v>4</v>
      </c>
      <c r="H102">
        <v>607</v>
      </c>
      <c r="I102">
        <v>177</v>
      </c>
      <c r="J102">
        <v>41</v>
      </c>
      <c r="K102">
        <v>4</v>
      </c>
      <c r="L102">
        <v>33</v>
      </c>
      <c r="M102">
        <v>113</v>
      </c>
      <c r="N102">
        <v>104</v>
      </c>
      <c r="O102">
        <v>104</v>
      </c>
      <c r="P102">
        <v>64</v>
      </c>
      <c r="Q102">
        <v>14</v>
      </c>
      <c r="R102">
        <v>27</v>
      </c>
      <c r="S102">
        <v>8</v>
      </c>
      <c r="T102">
        <v>1</v>
      </c>
      <c r="U102" s="6">
        <f>Cleaned_MLB_Stats_Dataset__1[[#This Row],[Hits]]/Cleaned_MLB_Stats_Dataset__1[[#This Row],[At Bats]]</f>
        <v>0.29159802306425042</v>
      </c>
      <c r="V102" s="6">
        <f>Cleaned_MLB_Stats_Dataset__1[[#This Row],[Strikeouts]]/(Cleaned_MLB_Stats_Dataset__1[[#This Row],[At Bats]]+Cleaned_MLB_Stats_Dataset__1[[#This Row],[Walks]])</f>
        <v>0.15499254843517138</v>
      </c>
      <c r="W10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0.13037249283667621</v>
      </c>
      <c r="X10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0.37960339943342775</v>
      </c>
      <c r="Y10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0.53542009884678743</v>
      </c>
      <c r="Z102" s="6">
        <f>Cleaned_MLB_Stats_Dataset__1[[#This Row],[On Base Percentage]]+Cleaned_MLB_Stats_Dataset__1[[#This Row],[Slugging %]]</f>
        <v>0.91502349828021523</v>
      </c>
      <c r="AA102" s="6">
        <f>Cleaned_MLB_Stats_Dataset__1[[#This Row],[Slugging %]]-Cleaned_MLB_Stats_Dataset__1[[#This Row],[Batting Average]]</f>
        <v>0.24382207578253701</v>
      </c>
      <c r="AB102" s="6">
        <f>Cleaned_MLB_Stats_Dataset__1[[#This Row],[Batting Average]]-_xlfn.XLOOKUP(Cleaned_MLB_Stats_Dataset__1[[#This Row],[Year]],'League Averages'!$A$3:$A$23,'League Averages'!$B$3:$B$23)</f>
        <v>2.759802306425041E-2</v>
      </c>
      <c r="AC102" s="6">
        <f>Cleaned_MLB_Stats_Dataset__1[[#This Row],[On Base Percentage]]-_xlfn.XLOOKUP(Cleaned_MLB_Stats_Dataset__1[[#This Row],[Year]],'League Averages'!$A$3:$A$23,'League Averages'!$C$3:$C$23)</f>
        <v>4.6603399433427728E-2</v>
      </c>
      <c r="AD102" s="6">
        <f>Cleaned_MLB_Stats_Dataset__1[[#This Row],[Slugging %]]-_xlfn.XLOOKUP(Cleaned_MLB_Stats_Dataset__1[[#This Row],[Year]],'League Averages'!$A$3:$A$23,'League Averages'!$D$3:$D$23)</f>
        <v>0.11942009884678745</v>
      </c>
      <c r="AE102" s="6">
        <f>Cleaned_MLB_Stats_Dataset__1[[#This Row],[OPS (On Base + Slugging)]]-_xlfn.XLOOKUP(Cleaned_MLB_Stats_Dataset__1[[#This Row],[Year]],'League Averages'!$A$3:$A$23,'League Averages'!$E$3:$E$23)</f>
        <v>0.16602349828021523</v>
      </c>
      <c r="AF102" s="6">
        <f>Cleaned_MLB_Stats_Dataset__1[[#This Row],[ISO (Isolated Power]]-_xlfn.XLOOKUP(Cleaned_MLB_Stats_Dataset__1[[#This Row],[Year]],'League Averages'!$A$3:$A$23,'League Averages'!$F$3:$F$23)</f>
        <v>9.182207578253701E-2</v>
      </c>
    </row>
    <row r="103" spans="1:32" x14ac:dyDescent="0.2">
      <c r="A103" t="s">
        <v>310</v>
      </c>
      <c r="B103">
        <v>2007</v>
      </c>
      <c r="C103" t="s">
        <v>241</v>
      </c>
      <c r="D103" t="s">
        <v>3</v>
      </c>
      <c r="E103" t="s">
        <v>29</v>
      </c>
      <c r="F103" t="str">
        <f>_xlfn.XLOOKUP(Cleaned_MLB_Stats_Dataset__1[[#This Row],[Position'#]],$B$373:$B$382,$A$373:$A$382)</f>
        <v>2B</v>
      </c>
      <c r="G103">
        <v>4</v>
      </c>
      <c r="H103">
        <v>530</v>
      </c>
      <c r="I103">
        <v>176</v>
      </c>
      <c r="J103">
        <v>48</v>
      </c>
      <c r="K103">
        <v>5</v>
      </c>
      <c r="L103">
        <v>22</v>
      </c>
      <c r="M103">
        <v>104</v>
      </c>
      <c r="N103">
        <v>103</v>
      </c>
      <c r="O103">
        <v>89</v>
      </c>
      <c r="P103">
        <v>50</v>
      </c>
      <c r="Q103">
        <v>1</v>
      </c>
      <c r="R103">
        <v>25</v>
      </c>
      <c r="S103">
        <v>7</v>
      </c>
      <c r="T103">
        <v>1</v>
      </c>
      <c r="U103" s="6">
        <f>Cleaned_MLB_Stats_Dataset__1[[#This Row],[Hits]]/Cleaned_MLB_Stats_Dataset__1[[#This Row],[At Bats]]</f>
        <v>0.33207547169811319</v>
      </c>
      <c r="V103" s="6">
        <f>Cleaned_MLB_Stats_Dataset__1[[#This Row],[Strikeouts]]/(Cleaned_MLB_Stats_Dataset__1[[#This Row],[At Bats]]+Cleaned_MLB_Stats_Dataset__1[[#This Row],[Walks]])</f>
        <v>0.15344827586206897</v>
      </c>
      <c r="W10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0.12396694214876033</v>
      </c>
      <c r="X10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0.41013071895424835</v>
      </c>
      <c r="Y10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0.56603773584905659</v>
      </c>
      <c r="Z103" s="6">
        <f>Cleaned_MLB_Stats_Dataset__1[[#This Row],[On Base Percentage]]+Cleaned_MLB_Stats_Dataset__1[[#This Row],[Slugging %]]</f>
        <v>0.97616845480330494</v>
      </c>
      <c r="AA103" s="6">
        <f>Cleaned_MLB_Stats_Dataset__1[[#This Row],[Slugging %]]-Cleaned_MLB_Stats_Dataset__1[[#This Row],[Batting Average]]</f>
        <v>0.2339622641509434</v>
      </c>
      <c r="AB103" s="6">
        <f>Cleaned_MLB_Stats_Dataset__1[[#This Row],[Batting Average]]-_xlfn.XLOOKUP(Cleaned_MLB_Stats_Dataset__1[[#This Row],[Year]],'League Averages'!$A$3:$A$23,'League Averages'!$B$3:$B$23)</f>
        <v>6.4075471698113173E-2</v>
      </c>
      <c r="AC103" s="6">
        <f>Cleaned_MLB_Stats_Dataset__1[[#This Row],[On Base Percentage]]-_xlfn.XLOOKUP(Cleaned_MLB_Stats_Dataset__1[[#This Row],[Year]],'League Averages'!$A$3:$A$23,'League Averages'!$C$3:$C$23)</f>
        <v>7.4130718954248331E-2</v>
      </c>
      <c r="AD103" s="6">
        <f>Cleaned_MLB_Stats_Dataset__1[[#This Row],[Slugging %]]-_xlfn.XLOOKUP(Cleaned_MLB_Stats_Dataset__1[[#This Row],[Year]],'League Averages'!$A$3:$A$23,'League Averages'!$D$3:$D$23)</f>
        <v>0.1430377358490566</v>
      </c>
      <c r="AE103" s="6">
        <f>Cleaned_MLB_Stats_Dataset__1[[#This Row],[OPS (On Base + Slugging)]]-_xlfn.XLOOKUP(Cleaned_MLB_Stats_Dataset__1[[#This Row],[Year]],'League Averages'!$A$3:$A$23,'League Averages'!$E$3:$E$23)</f>
        <v>0.21816845480330493</v>
      </c>
      <c r="AF103" s="6">
        <f>Cleaned_MLB_Stats_Dataset__1[[#This Row],[ISO (Isolated Power]]-_xlfn.XLOOKUP(Cleaned_MLB_Stats_Dataset__1[[#This Row],[Year]],'League Averages'!$A$3:$A$23,'League Averages'!$F$3:$F$23)</f>
        <v>7.8962264150943401E-2</v>
      </c>
    </row>
    <row r="104" spans="1:32" x14ac:dyDescent="0.2">
      <c r="A104" t="s">
        <v>310</v>
      </c>
      <c r="B104">
        <v>2010</v>
      </c>
      <c r="C104" t="s">
        <v>262</v>
      </c>
      <c r="D104" t="s">
        <v>3</v>
      </c>
      <c r="E104" t="s">
        <v>165</v>
      </c>
      <c r="F104" t="str">
        <f>_xlfn.XLOOKUP(Cleaned_MLB_Stats_Dataset__1[[#This Row],[Position'#]],$B$373:$B$382,$A$373:$A$382)</f>
        <v>SS</v>
      </c>
      <c r="G104">
        <v>6</v>
      </c>
      <c r="H104">
        <v>543</v>
      </c>
      <c r="I104">
        <v>163</v>
      </c>
      <c r="J104">
        <v>28</v>
      </c>
      <c r="K104">
        <v>2</v>
      </c>
      <c r="L104">
        <v>21</v>
      </c>
      <c r="M104">
        <v>92</v>
      </c>
      <c r="N104">
        <v>76</v>
      </c>
      <c r="O104">
        <v>93</v>
      </c>
      <c r="P104">
        <v>64</v>
      </c>
      <c r="Q104">
        <v>12</v>
      </c>
      <c r="R104">
        <v>7</v>
      </c>
      <c r="S104">
        <v>5</v>
      </c>
      <c r="T104">
        <v>0</v>
      </c>
      <c r="U104" s="6">
        <f>Cleaned_MLB_Stats_Dataset__1[[#This Row],[Hits]]/Cleaned_MLB_Stats_Dataset__1[[#This Row],[At Bats]]</f>
        <v>0.30018416206261511</v>
      </c>
      <c r="V104" s="6">
        <f>Cleaned_MLB_Stats_Dataset__1[[#This Row],[Strikeouts]]/(Cleaned_MLB_Stats_Dataset__1[[#This Row],[At Bats]]+Cleaned_MLB_Stats_Dataset__1[[#This Row],[Walks]])</f>
        <v>0.15321252059308071</v>
      </c>
      <c r="W10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0.11563517915309446</v>
      </c>
      <c r="X10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0.37802907915993539</v>
      </c>
      <c r="Y10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0.47513812154696133</v>
      </c>
      <c r="Z104" s="6">
        <f>Cleaned_MLB_Stats_Dataset__1[[#This Row],[On Base Percentage]]+Cleaned_MLB_Stats_Dataset__1[[#This Row],[Slugging %]]</f>
        <v>0.85316720070689667</v>
      </c>
      <c r="AA104" s="6">
        <f>Cleaned_MLB_Stats_Dataset__1[[#This Row],[Slugging %]]-Cleaned_MLB_Stats_Dataset__1[[#This Row],[Batting Average]]</f>
        <v>0.17495395948434622</v>
      </c>
      <c r="AB104" s="6">
        <f>Cleaned_MLB_Stats_Dataset__1[[#This Row],[Batting Average]]-_xlfn.XLOOKUP(Cleaned_MLB_Stats_Dataset__1[[#This Row],[Year]],'League Averages'!$A$3:$A$23,'League Averages'!$B$3:$B$23)</f>
        <v>4.3184162062615106E-2</v>
      </c>
      <c r="AC104" s="6">
        <f>Cleaned_MLB_Stats_Dataset__1[[#This Row],[On Base Percentage]]-_xlfn.XLOOKUP(Cleaned_MLB_Stats_Dataset__1[[#This Row],[Year]],'League Averages'!$A$3:$A$23,'League Averages'!$C$3:$C$23)</f>
        <v>5.3029079159935377E-2</v>
      </c>
      <c r="AD104" s="6">
        <f>Cleaned_MLB_Stats_Dataset__1[[#This Row],[Slugging %]]-_xlfn.XLOOKUP(Cleaned_MLB_Stats_Dataset__1[[#This Row],[Year]],'League Averages'!$A$3:$A$23,'League Averages'!$D$3:$D$23)</f>
        <v>7.2138121546961309E-2</v>
      </c>
      <c r="AE104" s="6">
        <f>Cleaned_MLB_Stats_Dataset__1[[#This Row],[OPS (On Base + Slugging)]]-_xlfn.XLOOKUP(Cleaned_MLB_Stats_Dataset__1[[#This Row],[Year]],'League Averages'!$A$3:$A$23,'League Averages'!$E$3:$E$23)</f>
        <v>0.12516720070689669</v>
      </c>
      <c r="AF104" s="6">
        <f>Cleaned_MLB_Stats_Dataset__1[[#This Row],[ISO (Isolated Power]]-_xlfn.XLOOKUP(Cleaned_MLB_Stats_Dataset__1[[#This Row],[Year]],'League Averages'!$A$3:$A$23,'League Averages'!$F$3:$F$23)</f>
        <v>2.8953959484346231E-2</v>
      </c>
    </row>
    <row r="105" spans="1:32" x14ac:dyDescent="0.2">
      <c r="A105" t="s">
        <v>310</v>
      </c>
      <c r="B105">
        <v>2009</v>
      </c>
      <c r="C105" t="s">
        <v>221</v>
      </c>
      <c r="D105" t="s">
        <v>6</v>
      </c>
      <c r="E105" t="s">
        <v>90</v>
      </c>
      <c r="F105" t="str">
        <f>_xlfn.XLOOKUP(Cleaned_MLB_Stats_Dataset__1[[#This Row],[Position'#]],$B$373:$B$382,$A$373:$A$382)</f>
        <v>3B</v>
      </c>
      <c r="G105">
        <v>5</v>
      </c>
      <c r="H105">
        <v>541</v>
      </c>
      <c r="I105">
        <v>174</v>
      </c>
      <c r="J105">
        <v>36</v>
      </c>
      <c r="K105">
        <v>2</v>
      </c>
      <c r="L105">
        <v>22</v>
      </c>
      <c r="M105">
        <v>76</v>
      </c>
      <c r="N105">
        <v>68</v>
      </c>
      <c r="O105">
        <v>90</v>
      </c>
      <c r="P105">
        <v>47</v>
      </c>
      <c r="Q105">
        <v>2</v>
      </c>
      <c r="R105">
        <v>1</v>
      </c>
      <c r="S105">
        <v>4</v>
      </c>
      <c r="T105">
        <v>0</v>
      </c>
      <c r="U105" s="6">
        <f>Cleaned_MLB_Stats_Dataset__1[[#This Row],[Hits]]/Cleaned_MLB_Stats_Dataset__1[[#This Row],[At Bats]]</f>
        <v>0.32162661737523107</v>
      </c>
      <c r="V105" s="6">
        <f>Cleaned_MLB_Stats_Dataset__1[[#This Row],[Strikeouts]]/(Cleaned_MLB_Stats_Dataset__1[[#This Row],[At Bats]]+Cleaned_MLB_Stats_Dataset__1[[#This Row],[Walks]])</f>
        <v>0.15306122448979592</v>
      </c>
      <c r="W10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8.1494057724957561E-2</v>
      </c>
      <c r="X10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0.37436762225969644</v>
      </c>
      <c r="Y10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0.51756007393715342</v>
      </c>
      <c r="Z105" s="6">
        <f>Cleaned_MLB_Stats_Dataset__1[[#This Row],[On Base Percentage]]+Cleaned_MLB_Stats_Dataset__1[[#This Row],[Slugging %]]</f>
        <v>0.89192769619684986</v>
      </c>
      <c r="AA105" s="6">
        <f>Cleaned_MLB_Stats_Dataset__1[[#This Row],[Slugging %]]-Cleaned_MLB_Stats_Dataset__1[[#This Row],[Batting Average]]</f>
        <v>0.19593345656192235</v>
      </c>
      <c r="AB105" s="6">
        <f>Cleaned_MLB_Stats_Dataset__1[[#This Row],[Batting Average]]-_xlfn.XLOOKUP(Cleaned_MLB_Stats_Dataset__1[[#This Row],[Year]],'League Averages'!$A$3:$A$23,'League Averages'!$B$3:$B$23)</f>
        <v>5.9626617375231061E-2</v>
      </c>
      <c r="AC105" s="6">
        <f>Cleaned_MLB_Stats_Dataset__1[[#This Row],[On Base Percentage]]-_xlfn.XLOOKUP(Cleaned_MLB_Stats_Dataset__1[[#This Row],[Year]],'League Averages'!$A$3:$A$23,'League Averages'!$C$3:$C$23)</f>
        <v>4.1367622259696424E-2</v>
      </c>
      <c r="AD105" s="6">
        <f>Cleaned_MLB_Stats_Dataset__1[[#This Row],[Slugging %]]-_xlfn.XLOOKUP(Cleaned_MLB_Stats_Dataset__1[[#This Row],[Year]],'League Averages'!$A$3:$A$23,'League Averages'!$D$3:$D$23)</f>
        <v>9.9560073937153437E-2</v>
      </c>
      <c r="AE105" s="6">
        <f>Cleaned_MLB_Stats_Dataset__1[[#This Row],[OPS (On Base + Slugging)]]-_xlfn.XLOOKUP(Cleaned_MLB_Stats_Dataset__1[[#This Row],[Year]],'League Averages'!$A$3:$A$23,'League Averages'!$E$3:$E$23)</f>
        <v>0.14092769619684986</v>
      </c>
      <c r="AF105" s="6">
        <f>Cleaned_MLB_Stats_Dataset__1[[#This Row],[ISO (Isolated Power]]-_xlfn.XLOOKUP(Cleaned_MLB_Stats_Dataset__1[[#This Row],[Year]],'League Averages'!$A$3:$A$23,'League Averages'!$F$3:$F$23)</f>
        <v>3.9933456561922348E-2</v>
      </c>
    </row>
    <row r="106" spans="1:32" x14ac:dyDescent="0.2">
      <c r="A106" t="s">
        <v>310</v>
      </c>
      <c r="B106">
        <v>2005</v>
      </c>
      <c r="C106" t="s">
        <v>163</v>
      </c>
      <c r="D106" t="s">
        <v>3</v>
      </c>
      <c r="E106" t="s">
        <v>83</v>
      </c>
      <c r="F106" t="str">
        <f>_xlfn.XLOOKUP(Cleaned_MLB_Stats_Dataset__1[[#This Row],[Position'#]],$B$373:$B$382,$A$373:$A$382)</f>
        <v>C</v>
      </c>
      <c r="G106">
        <v>2</v>
      </c>
      <c r="H106">
        <v>398</v>
      </c>
      <c r="I106">
        <v>100</v>
      </c>
      <c r="J106">
        <v>23</v>
      </c>
      <c r="K106">
        <v>0</v>
      </c>
      <c r="L106">
        <v>19</v>
      </c>
      <c r="M106">
        <v>41</v>
      </c>
      <c r="N106">
        <v>62</v>
      </c>
      <c r="O106">
        <v>67</v>
      </c>
      <c r="P106">
        <v>41</v>
      </c>
      <c r="Q106">
        <v>6</v>
      </c>
      <c r="R106">
        <v>3</v>
      </c>
      <c r="S106">
        <v>0</v>
      </c>
      <c r="T106">
        <v>0</v>
      </c>
      <c r="U106" s="6">
        <f>Cleaned_MLB_Stats_Dataset__1[[#This Row],[Hits]]/Cleaned_MLB_Stats_Dataset__1[[#This Row],[At Bats]]</f>
        <v>0.25125628140703515</v>
      </c>
      <c r="V106" s="6">
        <f>Cleaned_MLB_Stats_Dataset__1[[#This Row],[Strikeouts]]/(Cleaned_MLB_Stats_Dataset__1[[#This Row],[At Bats]]+Cleaned_MLB_Stats_Dataset__1[[#This Row],[Walks]])</f>
        <v>0.15261958997722094</v>
      </c>
      <c r="W10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9.9547511312217188E-2</v>
      </c>
      <c r="X10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0.32579185520361992</v>
      </c>
      <c r="Y10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0.45226130653266333</v>
      </c>
      <c r="Z106" s="6">
        <f>Cleaned_MLB_Stats_Dataset__1[[#This Row],[On Base Percentage]]+Cleaned_MLB_Stats_Dataset__1[[#This Row],[Slugging %]]</f>
        <v>0.77805316173628325</v>
      </c>
      <c r="AA106" s="6">
        <f>Cleaned_MLB_Stats_Dataset__1[[#This Row],[Slugging %]]-Cleaned_MLB_Stats_Dataset__1[[#This Row],[Batting Average]]</f>
        <v>0.20100502512562818</v>
      </c>
      <c r="AB106" s="6">
        <f>Cleaned_MLB_Stats_Dataset__1[[#This Row],[Batting Average]]-_xlfn.XLOOKUP(Cleaned_MLB_Stats_Dataset__1[[#This Row],[Year]],'League Averages'!$A$3:$A$23,'League Averages'!$B$3:$B$23)</f>
        <v>-1.2743718592964859E-2</v>
      </c>
      <c r="AC106" s="6">
        <f>Cleaned_MLB_Stats_Dataset__1[[#This Row],[On Base Percentage]]-_xlfn.XLOOKUP(Cleaned_MLB_Stats_Dataset__1[[#This Row],[Year]],'League Averages'!$A$3:$A$23,'League Averages'!$C$3:$C$23)</f>
        <v>-4.2081447963800978E-3</v>
      </c>
      <c r="AD106" s="6">
        <f>Cleaned_MLB_Stats_Dataset__1[[#This Row],[Slugging %]]-_xlfn.XLOOKUP(Cleaned_MLB_Stats_Dataset__1[[#This Row],[Year]],'League Averages'!$A$3:$A$23,'League Averages'!$D$3:$D$23)</f>
        <v>3.3261306532663348E-2</v>
      </c>
      <c r="AE106" s="6">
        <f>Cleaned_MLB_Stats_Dataset__1[[#This Row],[OPS (On Base + Slugging)]]-_xlfn.XLOOKUP(Cleaned_MLB_Stats_Dataset__1[[#This Row],[Year]],'League Averages'!$A$3:$A$23,'League Averages'!$E$3:$E$23)</f>
        <v>2.9053161736283251E-2</v>
      </c>
      <c r="AF106" s="6">
        <f>Cleaned_MLB_Stats_Dataset__1[[#This Row],[ISO (Isolated Power]]-_xlfn.XLOOKUP(Cleaned_MLB_Stats_Dataset__1[[#This Row],[Year]],'League Averages'!$A$3:$A$23,'League Averages'!$F$3:$F$23)</f>
        <v>4.6005025125628179E-2</v>
      </c>
    </row>
    <row r="107" spans="1:32" x14ac:dyDescent="0.2">
      <c r="A107" t="s">
        <v>310</v>
      </c>
      <c r="B107">
        <v>2013</v>
      </c>
      <c r="C107" t="s">
        <v>206</v>
      </c>
      <c r="D107" t="s">
        <v>3</v>
      </c>
      <c r="E107" t="s">
        <v>60</v>
      </c>
      <c r="F107" t="str">
        <f>_xlfn.XLOOKUP(Cleaned_MLB_Stats_Dataset__1[[#This Row],[Position'#]],$B$373:$B$382,$A$373:$A$382)</f>
        <v>RF</v>
      </c>
      <c r="G107">
        <v>9</v>
      </c>
      <c r="H107">
        <v>554</v>
      </c>
      <c r="I107">
        <v>164</v>
      </c>
      <c r="J107">
        <v>30</v>
      </c>
      <c r="K107">
        <v>3</v>
      </c>
      <c r="L107">
        <v>24</v>
      </c>
      <c r="M107">
        <v>79</v>
      </c>
      <c r="N107">
        <v>84</v>
      </c>
      <c r="O107">
        <v>90</v>
      </c>
      <c r="P107">
        <v>38</v>
      </c>
      <c r="Q107">
        <v>1</v>
      </c>
      <c r="R107">
        <v>1</v>
      </c>
      <c r="S107">
        <v>6</v>
      </c>
      <c r="T107">
        <v>1</v>
      </c>
      <c r="U107" s="6">
        <f>Cleaned_MLB_Stats_Dataset__1[[#This Row],[Hits]]/Cleaned_MLB_Stats_Dataset__1[[#This Row],[At Bats]]</f>
        <v>0.29602888086642598</v>
      </c>
      <c r="V107" s="6">
        <f>Cleaned_MLB_Stats_Dataset__1[[#This Row],[Strikeouts]]/(Cleaned_MLB_Stats_Dataset__1[[#This Row],[At Bats]]+Cleaned_MLB_Stats_Dataset__1[[#This Row],[Walks]])</f>
        <v>0.15202702702702703</v>
      </c>
      <c r="W10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6.5767284991568295E-2</v>
      </c>
      <c r="X10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0.33889816360600999</v>
      </c>
      <c r="Y10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0.49097472924187724</v>
      </c>
      <c r="Z107" s="6">
        <f>Cleaned_MLB_Stats_Dataset__1[[#This Row],[On Base Percentage]]+Cleaned_MLB_Stats_Dataset__1[[#This Row],[Slugging %]]</f>
        <v>0.82987289284788723</v>
      </c>
      <c r="AA107" s="6">
        <f>Cleaned_MLB_Stats_Dataset__1[[#This Row],[Slugging %]]-Cleaned_MLB_Stats_Dataset__1[[#This Row],[Batting Average]]</f>
        <v>0.19494584837545126</v>
      </c>
      <c r="AB107" s="6">
        <f>Cleaned_MLB_Stats_Dataset__1[[#This Row],[Batting Average]]-_xlfn.XLOOKUP(Cleaned_MLB_Stats_Dataset__1[[#This Row],[Year]],'League Averages'!$A$3:$A$23,'League Averages'!$B$3:$B$23)</f>
        <v>4.3028880866425978E-2</v>
      </c>
      <c r="AC107" s="6">
        <f>Cleaned_MLB_Stats_Dataset__1[[#This Row],[On Base Percentage]]-_xlfn.XLOOKUP(Cleaned_MLB_Stats_Dataset__1[[#This Row],[Year]],'League Averages'!$A$3:$A$23,'League Averages'!$C$3:$C$23)</f>
        <v>2.089816360600999E-2</v>
      </c>
      <c r="AD107" s="6">
        <f>Cleaned_MLB_Stats_Dataset__1[[#This Row],[Slugging %]]-_xlfn.XLOOKUP(Cleaned_MLB_Stats_Dataset__1[[#This Row],[Year]],'League Averages'!$A$3:$A$23,'League Averages'!$D$3:$D$23)</f>
        <v>9.497472924187722E-2</v>
      </c>
      <c r="AE107" s="6">
        <f>Cleaned_MLB_Stats_Dataset__1[[#This Row],[OPS (On Base + Slugging)]]-_xlfn.XLOOKUP(Cleaned_MLB_Stats_Dataset__1[[#This Row],[Year]],'League Averages'!$A$3:$A$23,'League Averages'!$E$3:$E$23)</f>
        <v>0.11587289284788727</v>
      </c>
      <c r="AF107" s="6">
        <f>Cleaned_MLB_Stats_Dataset__1[[#This Row],[ISO (Isolated Power]]-_xlfn.XLOOKUP(Cleaned_MLB_Stats_Dataset__1[[#This Row],[Year]],'League Averages'!$A$3:$A$23,'League Averages'!$F$3:$F$23)</f>
        <v>5.194584837545127E-2</v>
      </c>
    </row>
    <row r="108" spans="1:32" x14ac:dyDescent="0.2">
      <c r="A108" t="s">
        <v>310</v>
      </c>
      <c r="B108">
        <v>2013</v>
      </c>
      <c r="C108" t="s">
        <v>233</v>
      </c>
      <c r="D108" t="s">
        <v>3</v>
      </c>
      <c r="E108" t="s">
        <v>53</v>
      </c>
      <c r="F108" t="str">
        <f>_xlfn.XLOOKUP(Cleaned_MLB_Stats_Dataset__1[[#This Row],[Position'#]],$B$373:$B$382,$A$373:$A$382)</f>
        <v>2B</v>
      </c>
      <c r="G108">
        <v>4</v>
      </c>
      <c r="H108">
        <v>606</v>
      </c>
      <c r="I108">
        <v>158</v>
      </c>
      <c r="J108">
        <v>24</v>
      </c>
      <c r="K108">
        <v>2</v>
      </c>
      <c r="L108">
        <v>18</v>
      </c>
      <c r="M108">
        <v>80</v>
      </c>
      <c r="N108">
        <v>103</v>
      </c>
      <c r="O108">
        <v>98</v>
      </c>
      <c r="P108">
        <v>39</v>
      </c>
      <c r="Q108">
        <v>6</v>
      </c>
      <c r="R108">
        <v>8</v>
      </c>
      <c r="S108">
        <v>9</v>
      </c>
      <c r="T108">
        <v>4</v>
      </c>
      <c r="U108" s="6">
        <f>Cleaned_MLB_Stats_Dataset__1[[#This Row],[Hits]]/Cleaned_MLB_Stats_Dataset__1[[#This Row],[At Bats]]</f>
        <v>0.26072607260726072</v>
      </c>
      <c r="V108" s="6">
        <f>Cleaned_MLB_Stats_Dataset__1[[#This Row],[Strikeouts]]/(Cleaned_MLB_Stats_Dataset__1[[#This Row],[At Bats]]+Cleaned_MLB_Stats_Dataset__1[[#This Row],[Walks]])</f>
        <v>0.15193798449612403</v>
      </c>
      <c r="W10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7.1975497702909647E-2</v>
      </c>
      <c r="X10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0.30966767371601206</v>
      </c>
      <c r="Y10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0.39603960396039606</v>
      </c>
      <c r="Z108" s="6">
        <f>Cleaned_MLB_Stats_Dataset__1[[#This Row],[On Base Percentage]]+Cleaned_MLB_Stats_Dataset__1[[#This Row],[Slugging %]]</f>
        <v>0.70570727767640817</v>
      </c>
      <c r="AA108" s="6">
        <f>Cleaned_MLB_Stats_Dataset__1[[#This Row],[Slugging %]]-Cleaned_MLB_Stats_Dataset__1[[#This Row],[Batting Average]]</f>
        <v>0.13531353135313534</v>
      </c>
      <c r="AB108" s="6">
        <f>Cleaned_MLB_Stats_Dataset__1[[#This Row],[Batting Average]]-_xlfn.XLOOKUP(Cleaned_MLB_Stats_Dataset__1[[#This Row],[Year]],'League Averages'!$A$3:$A$23,'League Averages'!$B$3:$B$23)</f>
        <v>7.7260726072607144E-3</v>
      </c>
      <c r="AC108" s="6">
        <f>Cleaned_MLB_Stats_Dataset__1[[#This Row],[On Base Percentage]]-_xlfn.XLOOKUP(Cleaned_MLB_Stats_Dataset__1[[#This Row],[Year]],'League Averages'!$A$3:$A$23,'League Averages'!$C$3:$C$23)</f>
        <v>-8.3323262839879453E-3</v>
      </c>
      <c r="AD108" s="6">
        <f>Cleaned_MLB_Stats_Dataset__1[[#This Row],[Slugging %]]-_xlfn.XLOOKUP(Cleaned_MLB_Stats_Dataset__1[[#This Row],[Year]],'League Averages'!$A$3:$A$23,'League Averages'!$D$3:$D$23)</f>
        <v>3.9603960396039639E-5</v>
      </c>
      <c r="AE108" s="6">
        <f>Cleaned_MLB_Stats_Dataset__1[[#This Row],[OPS (On Base + Slugging)]]-_xlfn.XLOOKUP(Cleaned_MLB_Stats_Dataset__1[[#This Row],[Year]],'League Averages'!$A$3:$A$23,'League Averages'!$E$3:$E$23)</f>
        <v>-8.2927223235917946E-3</v>
      </c>
      <c r="AF108" s="6">
        <f>Cleaned_MLB_Stats_Dataset__1[[#This Row],[ISO (Isolated Power]]-_xlfn.XLOOKUP(Cleaned_MLB_Stats_Dataset__1[[#This Row],[Year]],'League Averages'!$A$3:$A$23,'League Averages'!$F$3:$F$23)</f>
        <v>-7.686468646864647E-3</v>
      </c>
    </row>
    <row r="109" spans="1:32" x14ac:dyDescent="0.2">
      <c r="A109" t="s">
        <v>310</v>
      </c>
      <c r="B109">
        <v>2011</v>
      </c>
      <c r="C109" t="s">
        <v>206</v>
      </c>
      <c r="D109" t="s">
        <v>3</v>
      </c>
      <c r="E109" t="s">
        <v>79</v>
      </c>
      <c r="F109" t="str">
        <f>_xlfn.XLOOKUP(Cleaned_MLB_Stats_Dataset__1[[#This Row],[Position'#]],$B$373:$B$382,$A$373:$A$382)</f>
        <v>DH</v>
      </c>
      <c r="G109">
        <v>10</v>
      </c>
      <c r="H109">
        <v>167</v>
      </c>
      <c r="I109">
        <v>54</v>
      </c>
      <c r="J109">
        <v>9</v>
      </c>
      <c r="K109">
        <v>4</v>
      </c>
      <c r="L109">
        <v>7</v>
      </c>
      <c r="M109">
        <v>17</v>
      </c>
      <c r="N109">
        <v>18</v>
      </c>
      <c r="O109">
        <v>27</v>
      </c>
      <c r="P109">
        <v>11</v>
      </c>
      <c r="Q109">
        <v>1</v>
      </c>
      <c r="R109">
        <v>1</v>
      </c>
      <c r="S109">
        <v>0</v>
      </c>
      <c r="T109">
        <v>0</v>
      </c>
      <c r="U109" s="6">
        <f>Cleaned_MLB_Stats_Dataset__1[[#This Row],[Hits]]/Cleaned_MLB_Stats_Dataset__1[[#This Row],[At Bats]]</f>
        <v>0.32335329341317365</v>
      </c>
      <c r="V109" s="6">
        <f>Cleaned_MLB_Stats_Dataset__1[[#This Row],[Strikeouts]]/(Cleaned_MLB_Stats_Dataset__1[[#This Row],[At Bats]]+Cleaned_MLB_Stats_Dataset__1[[#This Row],[Walks]])</f>
        <v>0.15168539325842698</v>
      </c>
      <c r="W10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6.7039106145251395E-2</v>
      </c>
      <c r="X10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0.36871508379888268</v>
      </c>
      <c r="Y10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0.55089820359281438</v>
      </c>
      <c r="Z109" s="6">
        <f>Cleaned_MLB_Stats_Dataset__1[[#This Row],[On Base Percentage]]+Cleaned_MLB_Stats_Dataset__1[[#This Row],[Slugging %]]</f>
        <v>0.91961328739169712</v>
      </c>
      <c r="AA109" s="6">
        <f>Cleaned_MLB_Stats_Dataset__1[[#This Row],[Slugging %]]-Cleaned_MLB_Stats_Dataset__1[[#This Row],[Batting Average]]</f>
        <v>0.22754491017964074</v>
      </c>
      <c r="AB109" s="6">
        <f>Cleaned_MLB_Stats_Dataset__1[[#This Row],[Batting Average]]-_xlfn.XLOOKUP(Cleaned_MLB_Stats_Dataset__1[[#This Row],[Year]],'League Averages'!$A$3:$A$23,'League Averages'!$B$3:$B$23)</f>
        <v>6.8353293413173644E-2</v>
      </c>
      <c r="AC109" s="6">
        <f>Cleaned_MLB_Stats_Dataset__1[[#This Row],[On Base Percentage]]-_xlfn.XLOOKUP(Cleaned_MLB_Stats_Dataset__1[[#This Row],[Year]],'League Averages'!$A$3:$A$23,'League Averages'!$C$3:$C$23)</f>
        <v>4.7715083798882674E-2</v>
      </c>
      <c r="AD109" s="6">
        <f>Cleaned_MLB_Stats_Dataset__1[[#This Row],[Slugging %]]-_xlfn.XLOOKUP(Cleaned_MLB_Stats_Dataset__1[[#This Row],[Year]],'League Averages'!$A$3:$A$23,'League Averages'!$D$3:$D$23)</f>
        <v>0.15189820359281436</v>
      </c>
      <c r="AE109" s="6">
        <f>Cleaned_MLB_Stats_Dataset__1[[#This Row],[OPS (On Base + Slugging)]]-_xlfn.XLOOKUP(Cleaned_MLB_Stats_Dataset__1[[#This Row],[Year]],'League Averages'!$A$3:$A$23,'League Averages'!$E$3:$E$23)</f>
        <v>0.19961328739169715</v>
      </c>
      <c r="AF109" s="6">
        <f>Cleaned_MLB_Stats_Dataset__1[[#This Row],[ISO (Isolated Power]]-_xlfn.XLOOKUP(Cleaned_MLB_Stats_Dataset__1[[#This Row],[Year]],'League Averages'!$A$3:$A$23,'League Averages'!$F$3:$F$23)</f>
        <v>8.3544910179640747E-2</v>
      </c>
    </row>
    <row r="110" spans="1:32" x14ac:dyDescent="0.2">
      <c r="A110" t="s">
        <v>310</v>
      </c>
      <c r="B110">
        <v>2004</v>
      </c>
      <c r="C110" t="s">
        <v>212</v>
      </c>
      <c r="D110" t="s">
        <v>3</v>
      </c>
      <c r="E110" t="s">
        <v>82</v>
      </c>
      <c r="F110" t="str">
        <f>_xlfn.XLOOKUP(Cleaned_MLB_Stats_Dataset__1[[#This Row],[Position'#]],$B$373:$B$382,$A$373:$A$382)</f>
        <v>CF</v>
      </c>
      <c r="G110">
        <v>8</v>
      </c>
      <c r="H110">
        <v>544</v>
      </c>
      <c r="I110">
        <v>172</v>
      </c>
      <c r="J110">
        <v>40</v>
      </c>
      <c r="K110">
        <v>3</v>
      </c>
      <c r="L110">
        <v>30</v>
      </c>
      <c r="M110">
        <v>104</v>
      </c>
      <c r="N110">
        <v>106</v>
      </c>
      <c r="O110">
        <v>101</v>
      </c>
      <c r="P110">
        <v>127</v>
      </c>
      <c r="Q110">
        <v>14</v>
      </c>
      <c r="R110">
        <v>10</v>
      </c>
      <c r="S110">
        <v>6</v>
      </c>
      <c r="T110">
        <v>0</v>
      </c>
      <c r="U110" s="6">
        <f>Cleaned_MLB_Stats_Dataset__1[[#This Row],[Hits]]/Cleaned_MLB_Stats_Dataset__1[[#This Row],[At Bats]]</f>
        <v>0.31617647058823528</v>
      </c>
      <c r="V110" s="6">
        <f>Cleaned_MLB_Stats_Dataset__1[[#This Row],[Strikeouts]]/(Cleaned_MLB_Stats_Dataset__1[[#This Row],[At Bats]]+Cleaned_MLB_Stats_Dataset__1[[#This Row],[Walks]])</f>
        <v>0.15052160953800298</v>
      </c>
      <c r="W11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0.2011747430249633</v>
      </c>
      <c r="X11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0.44978165938864628</v>
      </c>
      <c r="Y11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0.56617647058823528</v>
      </c>
      <c r="Z110" s="6">
        <f>Cleaned_MLB_Stats_Dataset__1[[#This Row],[On Base Percentage]]+Cleaned_MLB_Stats_Dataset__1[[#This Row],[Slugging %]]</f>
        <v>1.0159581299768816</v>
      </c>
      <c r="AA110" s="6">
        <f>Cleaned_MLB_Stats_Dataset__1[[#This Row],[Slugging %]]-Cleaned_MLB_Stats_Dataset__1[[#This Row],[Batting Average]]</f>
        <v>0.25</v>
      </c>
      <c r="AB110" s="6">
        <f>Cleaned_MLB_Stats_Dataset__1[[#This Row],[Batting Average]]-_xlfn.XLOOKUP(Cleaned_MLB_Stats_Dataset__1[[#This Row],[Year]],'League Averages'!$A$3:$A$23,'League Averages'!$B$3:$B$23)</f>
        <v>5.0176470588235267E-2</v>
      </c>
      <c r="AC110" s="6">
        <f>Cleaned_MLB_Stats_Dataset__1[[#This Row],[On Base Percentage]]-_xlfn.XLOOKUP(Cleaned_MLB_Stats_Dataset__1[[#This Row],[Year]],'League Averages'!$A$3:$A$23,'League Averages'!$C$3:$C$23)</f>
        <v>0.11478165938864626</v>
      </c>
      <c r="AD110" s="6">
        <f>Cleaned_MLB_Stats_Dataset__1[[#This Row],[Slugging %]]-_xlfn.XLOOKUP(Cleaned_MLB_Stats_Dataset__1[[#This Row],[Year]],'League Averages'!$A$3:$A$23,'League Averages'!$D$3:$D$23)</f>
        <v>0.13817647058823529</v>
      </c>
      <c r="AE110" s="6">
        <f>Cleaned_MLB_Stats_Dataset__1[[#This Row],[OPS (On Base + Slugging)]]-_xlfn.XLOOKUP(Cleaned_MLB_Stats_Dataset__1[[#This Row],[Year]],'League Averages'!$A$3:$A$23,'League Averages'!$E$3:$E$23)</f>
        <v>0.25295812997688161</v>
      </c>
      <c r="AF110" s="6">
        <f>Cleaned_MLB_Stats_Dataset__1[[#This Row],[ISO (Isolated Power]]-_xlfn.XLOOKUP(Cleaned_MLB_Stats_Dataset__1[[#This Row],[Year]],'League Averages'!$A$3:$A$23,'League Averages'!$F$3:$F$23)</f>
        <v>8.7999999999999995E-2</v>
      </c>
    </row>
    <row r="111" spans="1:32" x14ac:dyDescent="0.2">
      <c r="A111" t="s">
        <v>310</v>
      </c>
      <c r="B111">
        <v>2005</v>
      </c>
      <c r="C111" t="s">
        <v>206</v>
      </c>
      <c r="D111" t="s">
        <v>3</v>
      </c>
      <c r="E111" t="s">
        <v>83</v>
      </c>
      <c r="F111" t="str">
        <f>_xlfn.XLOOKUP(Cleaned_MLB_Stats_Dataset__1[[#This Row],[Position'#]],$B$373:$B$382,$A$373:$A$382)</f>
        <v>LF</v>
      </c>
      <c r="G111">
        <v>7</v>
      </c>
      <c r="H111">
        <v>582</v>
      </c>
      <c r="I111">
        <v>155</v>
      </c>
      <c r="J111">
        <v>34</v>
      </c>
      <c r="K111">
        <v>2</v>
      </c>
      <c r="L111">
        <v>16</v>
      </c>
      <c r="M111">
        <v>83</v>
      </c>
      <c r="N111">
        <v>78</v>
      </c>
      <c r="O111">
        <v>96</v>
      </c>
      <c r="P111">
        <v>56</v>
      </c>
      <c r="Q111">
        <v>5</v>
      </c>
      <c r="R111">
        <v>2</v>
      </c>
      <c r="S111">
        <v>6</v>
      </c>
      <c r="T111">
        <v>4</v>
      </c>
      <c r="U111" s="6">
        <f>Cleaned_MLB_Stats_Dataset__1[[#This Row],[Hits]]/Cleaned_MLB_Stats_Dataset__1[[#This Row],[At Bats]]</f>
        <v>0.26632302405498282</v>
      </c>
      <c r="V111" s="6">
        <f>Cleaned_MLB_Stats_Dataset__1[[#This Row],[Strikeouts]]/(Cleaned_MLB_Stats_Dataset__1[[#This Row],[At Bats]]+Cleaned_MLB_Stats_Dataset__1[[#This Row],[Walks]])</f>
        <v>0.15047021943573669</v>
      </c>
      <c r="W11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9.0624999999999997E-2</v>
      </c>
      <c r="X11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0.32972136222910214</v>
      </c>
      <c r="Y11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0.41408934707903783</v>
      </c>
      <c r="Z111" s="6">
        <f>Cleaned_MLB_Stats_Dataset__1[[#This Row],[On Base Percentage]]+Cleaned_MLB_Stats_Dataset__1[[#This Row],[Slugging %]]</f>
        <v>0.74381070930813997</v>
      </c>
      <c r="AA111" s="6">
        <f>Cleaned_MLB_Stats_Dataset__1[[#This Row],[Slugging %]]-Cleaned_MLB_Stats_Dataset__1[[#This Row],[Batting Average]]</f>
        <v>0.14776632302405501</v>
      </c>
      <c r="AB111" s="6">
        <f>Cleaned_MLB_Stats_Dataset__1[[#This Row],[Batting Average]]-_xlfn.XLOOKUP(Cleaned_MLB_Stats_Dataset__1[[#This Row],[Year]],'League Averages'!$A$3:$A$23,'League Averages'!$B$3:$B$23)</f>
        <v>2.323024054982803E-3</v>
      </c>
      <c r="AC111" s="6">
        <f>Cleaned_MLB_Stats_Dataset__1[[#This Row],[On Base Percentage]]-_xlfn.XLOOKUP(Cleaned_MLB_Stats_Dataset__1[[#This Row],[Year]],'League Averages'!$A$3:$A$23,'League Averages'!$C$3:$C$23)</f>
        <v>-2.7863777089787156E-4</v>
      </c>
      <c r="AD111" s="6">
        <f>Cleaned_MLB_Stats_Dataset__1[[#This Row],[Slugging %]]-_xlfn.XLOOKUP(Cleaned_MLB_Stats_Dataset__1[[#This Row],[Year]],'League Averages'!$A$3:$A$23,'League Averages'!$D$3:$D$23)</f>
        <v>-4.9106529209621552E-3</v>
      </c>
      <c r="AE111" s="6">
        <f>Cleaned_MLB_Stats_Dataset__1[[#This Row],[OPS (On Base + Slugging)]]-_xlfn.XLOOKUP(Cleaned_MLB_Stats_Dataset__1[[#This Row],[Year]],'League Averages'!$A$3:$A$23,'League Averages'!$E$3:$E$23)</f>
        <v>-5.1892906918600268E-3</v>
      </c>
      <c r="AF111" s="6">
        <f>Cleaned_MLB_Stats_Dataset__1[[#This Row],[ISO (Isolated Power]]-_xlfn.XLOOKUP(Cleaned_MLB_Stats_Dataset__1[[#This Row],[Year]],'League Averages'!$A$3:$A$23,'League Averages'!$F$3:$F$23)</f>
        <v>-7.2336769759449859E-3</v>
      </c>
    </row>
    <row r="112" spans="1:32" x14ac:dyDescent="0.2">
      <c r="A112" t="s">
        <v>310</v>
      </c>
      <c r="B112">
        <v>2006</v>
      </c>
      <c r="C112" t="s">
        <v>155</v>
      </c>
      <c r="D112" t="s">
        <v>6</v>
      </c>
      <c r="E112" t="s">
        <v>67</v>
      </c>
      <c r="F112" t="str">
        <f>_xlfn.XLOOKUP(Cleaned_MLB_Stats_Dataset__1[[#This Row],[Position'#]],$B$373:$B$382,$A$373:$A$382)</f>
        <v>C</v>
      </c>
      <c r="G112">
        <v>2</v>
      </c>
      <c r="H112">
        <v>547</v>
      </c>
      <c r="I112">
        <v>164</v>
      </c>
      <c r="J112">
        <v>28</v>
      </c>
      <c r="K112">
        <v>4</v>
      </c>
      <c r="L112">
        <v>13</v>
      </c>
      <c r="M112">
        <v>74</v>
      </c>
      <c r="N112">
        <v>69</v>
      </c>
      <c r="O112">
        <v>86</v>
      </c>
      <c r="P112">
        <v>26</v>
      </c>
      <c r="Q112">
        <v>4</v>
      </c>
      <c r="R112">
        <v>1</v>
      </c>
      <c r="S112">
        <v>2</v>
      </c>
      <c r="T112">
        <v>4</v>
      </c>
      <c r="U112" s="6">
        <f>Cleaned_MLB_Stats_Dataset__1[[#This Row],[Hits]]/Cleaned_MLB_Stats_Dataset__1[[#This Row],[At Bats]]</f>
        <v>0.29981718464351004</v>
      </c>
      <c r="V112" s="6">
        <f>Cleaned_MLB_Stats_Dataset__1[[#This Row],[Strikeouts]]/(Cleaned_MLB_Stats_Dataset__1[[#This Row],[At Bats]]+Cleaned_MLB_Stats_Dataset__1[[#This Row],[Walks]])</f>
        <v>0.15008726003490402</v>
      </c>
      <c r="W11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4.7038327526132406E-2</v>
      </c>
      <c r="X11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0.33159722222222221</v>
      </c>
      <c r="Y11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0.43692870201096889</v>
      </c>
      <c r="Z112" s="6">
        <f>Cleaned_MLB_Stats_Dataset__1[[#This Row],[On Base Percentage]]+Cleaned_MLB_Stats_Dataset__1[[#This Row],[Slugging %]]</f>
        <v>0.7685259242331911</v>
      </c>
      <c r="AA112" s="6">
        <f>Cleaned_MLB_Stats_Dataset__1[[#This Row],[Slugging %]]-Cleaned_MLB_Stats_Dataset__1[[#This Row],[Batting Average]]</f>
        <v>0.13711151736745886</v>
      </c>
      <c r="AB112" s="6">
        <f>Cleaned_MLB_Stats_Dataset__1[[#This Row],[Batting Average]]-_xlfn.XLOOKUP(Cleaned_MLB_Stats_Dataset__1[[#This Row],[Year]],'League Averages'!$A$3:$A$23,'League Averages'!$B$3:$B$23)</f>
        <v>3.0817184643510021E-2</v>
      </c>
      <c r="AC112" s="6">
        <f>Cleaned_MLB_Stats_Dataset__1[[#This Row],[On Base Percentage]]-_xlfn.XLOOKUP(Cleaned_MLB_Stats_Dataset__1[[#This Row],[Year]],'League Averages'!$A$3:$A$23,'League Averages'!$C$3:$C$23)</f>
        <v>-4.402777777777811E-3</v>
      </c>
      <c r="AD112" s="6">
        <f>Cleaned_MLB_Stats_Dataset__1[[#This Row],[Slugging %]]-_xlfn.XLOOKUP(Cleaned_MLB_Stats_Dataset__1[[#This Row],[Year]],'League Averages'!$A$3:$A$23,'League Averages'!$D$3:$D$23)</f>
        <v>4.9287020109688995E-3</v>
      </c>
      <c r="AE112" s="6">
        <f>Cleaned_MLB_Stats_Dataset__1[[#This Row],[OPS (On Base + Slugging)]]-_xlfn.XLOOKUP(Cleaned_MLB_Stats_Dataset__1[[#This Row],[Year]],'League Averages'!$A$3:$A$23,'League Averages'!$E$3:$E$23)</f>
        <v>5.259242331910885E-4</v>
      </c>
      <c r="AF112" s="6">
        <f>Cleaned_MLB_Stats_Dataset__1[[#This Row],[ISO (Isolated Power]]-_xlfn.XLOOKUP(Cleaned_MLB_Stats_Dataset__1[[#This Row],[Year]],'League Averages'!$A$3:$A$23,'League Averages'!$F$3:$F$23)</f>
        <v>-2.5888482632541149E-2</v>
      </c>
    </row>
    <row r="113" spans="1:32" x14ac:dyDescent="0.2">
      <c r="A113" t="s">
        <v>310</v>
      </c>
      <c r="B113">
        <v>2004</v>
      </c>
      <c r="C113" t="s">
        <v>163</v>
      </c>
      <c r="D113" t="s">
        <v>3</v>
      </c>
      <c r="E113" t="s">
        <v>83</v>
      </c>
      <c r="F113" t="str">
        <f>_xlfn.XLOOKUP(Cleaned_MLB_Stats_Dataset__1[[#This Row],[Position'#]],$B$373:$B$382,$A$373:$A$382)</f>
        <v>C</v>
      </c>
      <c r="G113">
        <v>2</v>
      </c>
      <c r="H113">
        <v>455</v>
      </c>
      <c r="I113">
        <v>121</v>
      </c>
      <c r="J113">
        <v>21</v>
      </c>
      <c r="K113">
        <v>0</v>
      </c>
      <c r="L113">
        <v>20</v>
      </c>
      <c r="M113">
        <v>47</v>
      </c>
      <c r="N113">
        <v>54</v>
      </c>
      <c r="O113">
        <v>78</v>
      </c>
      <c r="P113">
        <v>68</v>
      </c>
      <c r="Q113">
        <v>14</v>
      </c>
      <c r="R113">
        <v>2</v>
      </c>
      <c r="S113">
        <v>3</v>
      </c>
      <c r="T113">
        <v>0</v>
      </c>
      <c r="U113" s="6">
        <f>Cleaned_MLB_Stats_Dataset__1[[#This Row],[Hits]]/Cleaned_MLB_Stats_Dataset__1[[#This Row],[At Bats]]</f>
        <v>0.26593406593406593</v>
      </c>
      <c r="V113" s="6">
        <f>Cleaned_MLB_Stats_Dataset__1[[#This Row],[Strikeouts]]/(Cleaned_MLB_Stats_Dataset__1[[#This Row],[At Bats]]+Cleaned_MLB_Stats_Dataset__1[[#This Row],[Walks]])</f>
        <v>0.14913957934990441</v>
      </c>
      <c r="W11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0.13333333333333333</v>
      </c>
      <c r="X11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0.36174242424242425</v>
      </c>
      <c r="Y11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0.44395604395604393</v>
      </c>
      <c r="Z113" s="6">
        <f>Cleaned_MLB_Stats_Dataset__1[[#This Row],[On Base Percentage]]+Cleaned_MLB_Stats_Dataset__1[[#This Row],[Slugging %]]</f>
        <v>0.80569846819846824</v>
      </c>
      <c r="AA113" s="6">
        <f>Cleaned_MLB_Stats_Dataset__1[[#This Row],[Slugging %]]-Cleaned_MLB_Stats_Dataset__1[[#This Row],[Batting Average]]</f>
        <v>0.178021978021978</v>
      </c>
      <c r="AB113" s="6">
        <f>Cleaned_MLB_Stats_Dataset__1[[#This Row],[Batting Average]]-_xlfn.XLOOKUP(Cleaned_MLB_Stats_Dataset__1[[#This Row],[Year]],'League Averages'!$A$3:$A$23,'League Averages'!$B$3:$B$23)</f>
        <v>-6.5934065934081243E-5</v>
      </c>
      <c r="AC113" s="6">
        <f>Cleaned_MLB_Stats_Dataset__1[[#This Row],[On Base Percentage]]-_xlfn.XLOOKUP(Cleaned_MLB_Stats_Dataset__1[[#This Row],[Year]],'League Averages'!$A$3:$A$23,'League Averages'!$C$3:$C$23)</f>
        <v>2.6742424242424234E-2</v>
      </c>
      <c r="AD113" s="6">
        <f>Cleaned_MLB_Stats_Dataset__1[[#This Row],[Slugging %]]-_xlfn.XLOOKUP(Cleaned_MLB_Stats_Dataset__1[[#This Row],[Year]],'League Averages'!$A$3:$A$23,'League Averages'!$D$3:$D$23)</f>
        <v>1.5956043956043942E-2</v>
      </c>
      <c r="AE113" s="6">
        <f>Cleaned_MLB_Stats_Dataset__1[[#This Row],[OPS (On Base + Slugging)]]-_xlfn.XLOOKUP(Cleaned_MLB_Stats_Dataset__1[[#This Row],[Year]],'League Averages'!$A$3:$A$23,'League Averages'!$E$3:$E$23)</f>
        <v>4.2698468198468231E-2</v>
      </c>
      <c r="AF113" s="6">
        <f>Cleaned_MLB_Stats_Dataset__1[[#This Row],[ISO (Isolated Power]]-_xlfn.XLOOKUP(Cleaned_MLB_Stats_Dataset__1[[#This Row],[Year]],'League Averages'!$A$3:$A$23,'League Averages'!$F$3:$F$23)</f>
        <v>1.6021978021977995E-2</v>
      </c>
    </row>
    <row r="114" spans="1:32" x14ac:dyDescent="0.2">
      <c r="A114" t="s">
        <v>310</v>
      </c>
      <c r="B114">
        <v>2010</v>
      </c>
      <c r="C114" t="s">
        <v>236</v>
      </c>
      <c r="D114" t="s">
        <v>6</v>
      </c>
      <c r="E114" t="s">
        <v>67</v>
      </c>
      <c r="F114" t="str">
        <f>_xlfn.XLOOKUP(Cleaned_MLB_Stats_Dataset__1[[#This Row],[Position'#]],$B$373:$B$382,$A$373:$A$382)</f>
        <v>1B</v>
      </c>
      <c r="G114">
        <v>3</v>
      </c>
      <c r="H114">
        <v>548</v>
      </c>
      <c r="I114">
        <v>180</v>
      </c>
      <c r="J114">
        <v>45</v>
      </c>
      <c r="K114">
        <v>1</v>
      </c>
      <c r="L114">
        <v>38</v>
      </c>
      <c r="M114">
        <v>111</v>
      </c>
      <c r="N114">
        <v>126</v>
      </c>
      <c r="O114">
        <v>95</v>
      </c>
      <c r="P114">
        <v>89</v>
      </c>
      <c r="Q114">
        <v>32</v>
      </c>
      <c r="R114">
        <v>3</v>
      </c>
      <c r="S114">
        <v>8</v>
      </c>
      <c r="T114">
        <v>0</v>
      </c>
      <c r="U114" s="6">
        <f>Cleaned_MLB_Stats_Dataset__1[[#This Row],[Hits]]/Cleaned_MLB_Stats_Dataset__1[[#This Row],[At Bats]]</f>
        <v>0.32846715328467152</v>
      </c>
      <c r="V114" s="6">
        <f>Cleaned_MLB_Stats_Dataset__1[[#This Row],[Strikeouts]]/(Cleaned_MLB_Stats_Dataset__1[[#This Row],[At Bats]]+Cleaned_MLB_Stats_Dataset__1[[#This Row],[Walks]])</f>
        <v>0.14913657770800628</v>
      </c>
      <c r="W11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0.14374999999999999</v>
      </c>
      <c r="X11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0.41975308641975306</v>
      </c>
      <c r="Y11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0.62226277372262773</v>
      </c>
      <c r="Z114" s="6">
        <f>Cleaned_MLB_Stats_Dataset__1[[#This Row],[On Base Percentage]]+Cleaned_MLB_Stats_Dataset__1[[#This Row],[Slugging %]]</f>
        <v>1.0420158601423808</v>
      </c>
      <c r="AA114" s="6">
        <f>Cleaned_MLB_Stats_Dataset__1[[#This Row],[Slugging %]]-Cleaned_MLB_Stats_Dataset__1[[#This Row],[Batting Average]]</f>
        <v>0.29379562043795621</v>
      </c>
      <c r="AB114" s="6">
        <f>Cleaned_MLB_Stats_Dataset__1[[#This Row],[Batting Average]]-_xlfn.XLOOKUP(Cleaned_MLB_Stats_Dataset__1[[#This Row],[Year]],'League Averages'!$A$3:$A$23,'League Averages'!$B$3:$B$23)</f>
        <v>7.1467153284671514E-2</v>
      </c>
      <c r="AC114" s="6">
        <f>Cleaned_MLB_Stats_Dataset__1[[#This Row],[On Base Percentage]]-_xlfn.XLOOKUP(Cleaned_MLB_Stats_Dataset__1[[#This Row],[Year]],'League Averages'!$A$3:$A$23,'League Averages'!$C$3:$C$23)</f>
        <v>9.4753086419753052E-2</v>
      </c>
      <c r="AD114" s="6">
        <f>Cleaned_MLB_Stats_Dataset__1[[#This Row],[Slugging %]]-_xlfn.XLOOKUP(Cleaned_MLB_Stats_Dataset__1[[#This Row],[Year]],'League Averages'!$A$3:$A$23,'League Averages'!$D$3:$D$23)</f>
        <v>0.2192627737226277</v>
      </c>
      <c r="AE114" s="6">
        <f>Cleaned_MLB_Stats_Dataset__1[[#This Row],[OPS (On Base + Slugging)]]-_xlfn.XLOOKUP(Cleaned_MLB_Stats_Dataset__1[[#This Row],[Year]],'League Averages'!$A$3:$A$23,'League Averages'!$E$3:$E$23)</f>
        <v>0.31401586014238081</v>
      </c>
      <c r="AF114" s="6">
        <f>Cleaned_MLB_Stats_Dataset__1[[#This Row],[ISO (Isolated Power]]-_xlfn.XLOOKUP(Cleaned_MLB_Stats_Dataset__1[[#This Row],[Year]],'League Averages'!$A$3:$A$23,'League Averages'!$F$3:$F$23)</f>
        <v>0.14779562043795622</v>
      </c>
    </row>
    <row r="115" spans="1:32" x14ac:dyDescent="0.2">
      <c r="A115" t="s">
        <v>310</v>
      </c>
      <c r="B115">
        <v>2013</v>
      </c>
      <c r="C115" t="s">
        <v>198</v>
      </c>
      <c r="D115" t="s">
        <v>6</v>
      </c>
      <c r="E115" t="s">
        <v>68</v>
      </c>
      <c r="F115" t="str">
        <f>_xlfn.XLOOKUP(Cleaned_MLB_Stats_Dataset__1[[#This Row],[Position'#]],$B$373:$B$382,$A$373:$A$382)</f>
        <v>DH</v>
      </c>
      <c r="G115">
        <v>10</v>
      </c>
      <c r="H115">
        <v>518</v>
      </c>
      <c r="I115">
        <v>160</v>
      </c>
      <c r="J115">
        <v>38</v>
      </c>
      <c r="K115">
        <v>2</v>
      </c>
      <c r="L115">
        <v>30</v>
      </c>
      <c r="M115">
        <v>84</v>
      </c>
      <c r="N115">
        <v>103</v>
      </c>
      <c r="O115">
        <v>88</v>
      </c>
      <c r="P115">
        <v>76</v>
      </c>
      <c r="Q115">
        <v>27</v>
      </c>
      <c r="R115">
        <v>1</v>
      </c>
      <c r="S115">
        <v>5</v>
      </c>
      <c r="T115">
        <v>0</v>
      </c>
      <c r="U115" s="6">
        <f>Cleaned_MLB_Stats_Dataset__1[[#This Row],[Hits]]/Cleaned_MLB_Stats_Dataset__1[[#This Row],[At Bats]]</f>
        <v>0.30888030888030887</v>
      </c>
      <c r="V115" s="6">
        <f>Cleaned_MLB_Stats_Dataset__1[[#This Row],[Strikeouts]]/(Cleaned_MLB_Stats_Dataset__1[[#This Row],[At Bats]]+Cleaned_MLB_Stats_Dataset__1[[#This Row],[Walks]])</f>
        <v>0.14814814814814814</v>
      </c>
      <c r="W11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0.12941176470588237</v>
      </c>
      <c r="X11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0.39500000000000002</v>
      </c>
      <c r="Y11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0.56370656370656369</v>
      </c>
      <c r="Z115" s="6">
        <f>Cleaned_MLB_Stats_Dataset__1[[#This Row],[On Base Percentage]]+Cleaned_MLB_Stats_Dataset__1[[#This Row],[Slugging %]]</f>
        <v>0.95870656370656371</v>
      </c>
      <c r="AA115" s="6">
        <f>Cleaned_MLB_Stats_Dataset__1[[#This Row],[Slugging %]]-Cleaned_MLB_Stats_Dataset__1[[#This Row],[Batting Average]]</f>
        <v>0.25482625482625482</v>
      </c>
      <c r="AB115" s="6">
        <f>Cleaned_MLB_Stats_Dataset__1[[#This Row],[Batting Average]]-_xlfn.XLOOKUP(Cleaned_MLB_Stats_Dataset__1[[#This Row],[Year]],'League Averages'!$A$3:$A$23,'League Averages'!$B$3:$B$23)</f>
        <v>5.5880308880308871E-2</v>
      </c>
      <c r="AC115" s="6">
        <f>Cleaned_MLB_Stats_Dataset__1[[#This Row],[On Base Percentage]]-_xlfn.XLOOKUP(Cleaned_MLB_Stats_Dataset__1[[#This Row],[Year]],'League Averages'!$A$3:$A$23,'League Averages'!$C$3:$C$23)</f>
        <v>7.7000000000000013E-2</v>
      </c>
      <c r="AD115" s="6">
        <f>Cleaned_MLB_Stats_Dataset__1[[#This Row],[Slugging %]]-_xlfn.XLOOKUP(Cleaned_MLB_Stats_Dataset__1[[#This Row],[Year]],'League Averages'!$A$3:$A$23,'League Averages'!$D$3:$D$23)</f>
        <v>0.16770656370656367</v>
      </c>
      <c r="AE115" s="6">
        <f>Cleaned_MLB_Stats_Dataset__1[[#This Row],[OPS (On Base + Slugging)]]-_xlfn.XLOOKUP(Cleaned_MLB_Stats_Dataset__1[[#This Row],[Year]],'League Averages'!$A$3:$A$23,'League Averages'!$E$3:$E$23)</f>
        <v>0.24470656370656374</v>
      </c>
      <c r="AF115" s="6">
        <f>Cleaned_MLB_Stats_Dataset__1[[#This Row],[ISO (Isolated Power]]-_xlfn.XLOOKUP(Cleaned_MLB_Stats_Dataset__1[[#This Row],[Year]],'League Averages'!$A$3:$A$23,'League Averages'!$F$3:$F$23)</f>
        <v>0.11182625482625483</v>
      </c>
    </row>
    <row r="116" spans="1:32" x14ac:dyDescent="0.2">
      <c r="A116" t="s">
        <v>310</v>
      </c>
      <c r="B116">
        <v>2011</v>
      </c>
      <c r="C116" t="s">
        <v>206</v>
      </c>
      <c r="D116" t="s">
        <v>3</v>
      </c>
      <c r="E116" t="s">
        <v>83</v>
      </c>
      <c r="F116" t="str">
        <f>_xlfn.XLOOKUP(Cleaned_MLB_Stats_Dataset__1[[#This Row],[Position'#]],$B$373:$B$382,$A$373:$A$382)</f>
        <v>DH</v>
      </c>
      <c r="G116">
        <v>10</v>
      </c>
      <c r="H116">
        <v>353</v>
      </c>
      <c r="I116">
        <v>102</v>
      </c>
      <c r="J116">
        <v>30</v>
      </c>
      <c r="K116">
        <v>2</v>
      </c>
      <c r="L116">
        <v>15</v>
      </c>
      <c r="M116">
        <v>61</v>
      </c>
      <c r="N116">
        <v>66</v>
      </c>
      <c r="O116">
        <v>61</v>
      </c>
      <c r="P116">
        <v>60</v>
      </c>
      <c r="Q116">
        <v>6</v>
      </c>
      <c r="R116">
        <v>2</v>
      </c>
      <c r="S116">
        <v>4</v>
      </c>
      <c r="T116">
        <v>0</v>
      </c>
      <c r="U116" s="6">
        <f>Cleaned_MLB_Stats_Dataset__1[[#This Row],[Hits]]/Cleaned_MLB_Stats_Dataset__1[[#This Row],[At Bats]]</f>
        <v>0.28895184135977336</v>
      </c>
      <c r="V116" s="6">
        <f>Cleaned_MLB_Stats_Dataset__1[[#This Row],[Strikeouts]]/(Cleaned_MLB_Stats_Dataset__1[[#This Row],[At Bats]]+Cleaned_MLB_Stats_Dataset__1[[#This Row],[Walks]])</f>
        <v>0.14769975786924938</v>
      </c>
      <c r="W11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0.14939759036144579</v>
      </c>
      <c r="X11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0.39140811455847258</v>
      </c>
      <c r="Y11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0.5127478753541076</v>
      </c>
      <c r="Z116" s="6">
        <f>Cleaned_MLB_Stats_Dataset__1[[#This Row],[On Base Percentage]]+Cleaned_MLB_Stats_Dataset__1[[#This Row],[Slugging %]]</f>
        <v>0.90415598991258017</v>
      </c>
      <c r="AA116" s="6">
        <f>Cleaned_MLB_Stats_Dataset__1[[#This Row],[Slugging %]]-Cleaned_MLB_Stats_Dataset__1[[#This Row],[Batting Average]]</f>
        <v>0.22379603399433423</v>
      </c>
      <c r="AB116" s="6">
        <f>Cleaned_MLB_Stats_Dataset__1[[#This Row],[Batting Average]]-_xlfn.XLOOKUP(Cleaned_MLB_Stats_Dataset__1[[#This Row],[Year]],'League Averages'!$A$3:$A$23,'League Averages'!$B$3:$B$23)</f>
        <v>3.395184135977336E-2</v>
      </c>
      <c r="AC116" s="6">
        <f>Cleaned_MLB_Stats_Dataset__1[[#This Row],[On Base Percentage]]-_xlfn.XLOOKUP(Cleaned_MLB_Stats_Dataset__1[[#This Row],[Year]],'League Averages'!$A$3:$A$23,'League Averages'!$C$3:$C$23)</f>
        <v>7.0408114558472568E-2</v>
      </c>
      <c r="AD116" s="6">
        <f>Cleaned_MLB_Stats_Dataset__1[[#This Row],[Slugging %]]-_xlfn.XLOOKUP(Cleaned_MLB_Stats_Dataset__1[[#This Row],[Year]],'League Averages'!$A$3:$A$23,'League Averages'!$D$3:$D$23)</f>
        <v>0.11374787535410757</v>
      </c>
      <c r="AE116" s="6">
        <f>Cleaned_MLB_Stats_Dataset__1[[#This Row],[OPS (On Base + Slugging)]]-_xlfn.XLOOKUP(Cleaned_MLB_Stats_Dataset__1[[#This Row],[Year]],'League Averages'!$A$3:$A$23,'League Averages'!$E$3:$E$23)</f>
        <v>0.1841559899125802</v>
      </c>
      <c r="AF116" s="6">
        <f>Cleaned_MLB_Stats_Dataset__1[[#This Row],[ISO (Isolated Power]]-_xlfn.XLOOKUP(Cleaned_MLB_Stats_Dataset__1[[#This Row],[Year]],'League Averages'!$A$3:$A$23,'League Averages'!$F$3:$F$23)</f>
        <v>7.9796033994334242E-2</v>
      </c>
    </row>
    <row r="117" spans="1:32" x14ac:dyDescent="0.2">
      <c r="A117" t="s">
        <v>310</v>
      </c>
      <c r="B117">
        <v>2006</v>
      </c>
      <c r="C117" t="s">
        <v>177</v>
      </c>
      <c r="D117" t="s">
        <v>6</v>
      </c>
      <c r="E117" t="s">
        <v>71</v>
      </c>
      <c r="F117" t="str">
        <f>_xlfn.XLOOKUP(Cleaned_MLB_Stats_Dataset__1[[#This Row],[Position'#]],$B$373:$B$382,$A$373:$A$382)</f>
        <v>SS</v>
      </c>
      <c r="G117">
        <v>6</v>
      </c>
      <c r="H117">
        <v>623</v>
      </c>
      <c r="I117">
        <v>214</v>
      </c>
      <c r="J117">
        <v>39</v>
      </c>
      <c r="K117">
        <v>3</v>
      </c>
      <c r="L117">
        <v>14</v>
      </c>
      <c r="M117">
        <v>118</v>
      </c>
      <c r="N117">
        <v>97</v>
      </c>
      <c r="O117">
        <v>102</v>
      </c>
      <c r="P117">
        <v>69</v>
      </c>
      <c r="Q117">
        <v>4</v>
      </c>
      <c r="R117">
        <v>12</v>
      </c>
      <c r="S117">
        <v>4</v>
      </c>
      <c r="T117">
        <v>7</v>
      </c>
      <c r="U117" s="6">
        <f>Cleaned_MLB_Stats_Dataset__1[[#This Row],[Hits]]/Cleaned_MLB_Stats_Dataset__1[[#This Row],[At Bats]]</f>
        <v>0.3434991974317817</v>
      </c>
      <c r="V117" s="6">
        <f>Cleaned_MLB_Stats_Dataset__1[[#This Row],[Strikeouts]]/(Cleaned_MLB_Stats_Dataset__1[[#This Row],[At Bats]]+Cleaned_MLB_Stats_Dataset__1[[#This Row],[Walks]])</f>
        <v>0.14739884393063585</v>
      </c>
      <c r="W11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0.11505681818181818</v>
      </c>
      <c r="X11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0.41666666666666669</v>
      </c>
      <c r="Y11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0.48314606741573035</v>
      </c>
      <c r="Z117" s="6">
        <f>Cleaned_MLB_Stats_Dataset__1[[#This Row],[On Base Percentage]]+Cleaned_MLB_Stats_Dataset__1[[#This Row],[Slugging %]]</f>
        <v>0.89981273408239704</v>
      </c>
      <c r="AA117" s="6">
        <f>Cleaned_MLB_Stats_Dataset__1[[#This Row],[Slugging %]]-Cleaned_MLB_Stats_Dataset__1[[#This Row],[Batting Average]]</f>
        <v>0.13964686998394865</v>
      </c>
      <c r="AB117" s="6">
        <f>Cleaned_MLB_Stats_Dataset__1[[#This Row],[Batting Average]]-_xlfn.XLOOKUP(Cleaned_MLB_Stats_Dataset__1[[#This Row],[Year]],'League Averages'!$A$3:$A$23,'League Averages'!$B$3:$B$23)</f>
        <v>7.4499197431781683E-2</v>
      </c>
      <c r="AC117" s="6">
        <f>Cleaned_MLB_Stats_Dataset__1[[#This Row],[On Base Percentage]]-_xlfn.XLOOKUP(Cleaned_MLB_Stats_Dataset__1[[#This Row],[Year]],'League Averages'!$A$3:$A$23,'League Averages'!$C$3:$C$23)</f>
        <v>8.0666666666666664E-2</v>
      </c>
      <c r="AD117" s="6">
        <f>Cleaned_MLB_Stats_Dataset__1[[#This Row],[Slugging %]]-_xlfn.XLOOKUP(Cleaned_MLB_Stats_Dataset__1[[#This Row],[Year]],'League Averages'!$A$3:$A$23,'League Averages'!$D$3:$D$23)</f>
        <v>5.1146067415730356E-2</v>
      </c>
      <c r="AE117" s="6">
        <f>Cleaned_MLB_Stats_Dataset__1[[#This Row],[OPS (On Base + Slugging)]]-_xlfn.XLOOKUP(Cleaned_MLB_Stats_Dataset__1[[#This Row],[Year]],'League Averages'!$A$3:$A$23,'League Averages'!$E$3:$E$23)</f>
        <v>0.13181273408239702</v>
      </c>
      <c r="AF117" s="6">
        <f>Cleaned_MLB_Stats_Dataset__1[[#This Row],[ISO (Isolated Power]]-_xlfn.XLOOKUP(Cleaned_MLB_Stats_Dataset__1[[#This Row],[Year]],'League Averages'!$A$3:$A$23,'League Averages'!$F$3:$F$23)</f>
        <v>-2.3353130016051354E-2</v>
      </c>
    </row>
    <row r="118" spans="1:32" x14ac:dyDescent="0.2">
      <c r="A118" t="s">
        <v>310</v>
      </c>
      <c r="B118">
        <v>2007</v>
      </c>
      <c r="C118" t="s">
        <v>269</v>
      </c>
      <c r="D118" t="s">
        <v>3</v>
      </c>
      <c r="E118" t="s">
        <v>80</v>
      </c>
      <c r="F118" t="str">
        <f>_xlfn.XLOOKUP(Cleaned_MLB_Stats_Dataset__1[[#This Row],[Position'#]],$B$373:$B$382,$A$373:$A$382)</f>
        <v>C</v>
      </c>
      <c r="G118">
        <v>2</v>
      </c>
      <c r="H118">
        <v>540</v>
      </c>
      <c r="I118">
        <v>158</v>
      </c>
      <c r="J118">
        <v>32</v>
      </c>
      <c r="K118">
        <v>3</v>
      </c>
      <c r="L118">
        <v>19</v>
      </c>
      <c r="M118">
        <v>87</v>
      </c>
      <c r="N118">
        <v>87</v>
      </c>
      <c r="O118">
        <v>89</v>
      </c>
      <c r="P118">
        <v>67</v>
      </c>
      <c r="Q118">
        <v>1</v>
      </c>
      <c r="R118">
        <v>7</v>
      </c>
      <c r="S118">
        <v>6</v>
      </c>
      <c r="T118">
        <v>0</v>
      </c>
      <c r="U118" s="6">
        <f>Cleaned_MLB_Stats_Dataset__1[[#This Row],[Hits]]/Cleaned_MLB_Stats_Dataset__1[[#This Row],[At Bats]]</f>
        <v>0.29259259259259257</v>
      </c>
      <c r="V118" s="6">
        <f>Cleaned_MLB_Stats_Dataset__1[[#This Row],[Strikeouts]]/(Cleaned_MLB_Stats_Dataset__1[[#This Row],[At Bats]]+Cleaned_MLB_Stats_Dataset__1[[#This Row],[Walks]])</f>
        <v>0.14662273476112025</v>
      </c>
      <c r="W11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0.12052117263843648</v>
      </c>
      <c r="X11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0.37419354838709679</v>
      </c>
      <c r="Y11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0.4685185185185185</v>
      </c>
      <c r="Z118" s="6">
        <f>Cleaned_MLB_Stats_Dataset__1[[#This Row],[On Base Percentage]]+Cleaned_MLB_Stats_Dataset__1[[#This Row],[Slugging %]]</f>
        <v>0.84271206690561529</v>
      </c>
      <c r="AA118" s="6">
        <f>Cleaned_MLB_Stats_Dataset__1[[#This Row],[Slugging %]]-Cleaned_MLB_Stats_Dataset__1[[#This Row],[Batting Average]]</f>
        <v>0.17592592592592593</v>
      </c>
      <c r="AB118" s="6">
        <f>Cleaned_MLB_Stats_Dataset__1[[#This Row],[Batting Average]]-_xlfn.XLOOKUP(Cleaned_MLB_Stats_Dataset__1[[#This Row],[Year]],'League Averages'!$A$3:$A$23,'League Averages'!$B$3:$B$23)</f>
        <v>2.4592592592592555E-2</v>
      </c>
      <c r="AC118" s="6">
        <f>Cleaned_MLB_Stats_Dataset__1[[#This Row],[On Base Percentage]]-_xlfn.XLOOKUP(Cleaned_MLB_Stats_Dataset__1[[#This Row],[Year]],'League Averages'!$A$3:$A$23,'League Averages'!$C$3:$C$23)</f>
        <v>3.8193548387096765E-2</v>
      </c>
      <c r="AD118" s="6">
        <f>Cleaned_MLB_Stats_Dataset__1[[#This Row],[Slugging %]]-_xlfn.XLOOKUP(Cleaned_MLB_Stats_Dataset__1[[#This Row],[Year]],'League Averages'!$A$3:$A$23,'League Averages'!$D$3:$D$23)</f>
        <v>4.5518518518518514E-2</v>
      </c>
      <c r="AE118" s="6">
        <f>Cleaned_MLB_Stats_Dataset__1[[#This Row],[OPS (On Base + Slugging)]]-_xlfn.XLOOKUP(Cleaned_MLB_Stats_Dataset__1[[#This Row],[Year]],'League Averages'!$A$3:$A$23,'League Averages'!$E$3:$E$23)</f>
        <v>8.471206690561528E-2</v>
      </c>
      <c r="AF118" s="6">
        <f>Cleaned_MLB_Stats_Dataset__1[[#This Row],[ISO (Isolated Power]]-_xlfn.XLOOKUP(Cleaned_MLB_Stats_Dataset__1[[#This Row],[Year]],'League Averages'!$A$3:$A$23,'League Averages'!$F$3:$F$23)</f>
        <v>2.0925925925925931E-2</v>
      </c>
    </row>
    <row r="119" spans="1:32" x14ac:dyDescent="0.2">
      <c r="A119" t="s">
        <v>310</v>
      </c>
      <c r="B119">
        <v>2010</v>
      </c>
      <c r="C119" t="s">
        <v>177</v>
      </c>
      <c r="D119" t="s">
        <v>6</v>
      </c>
      <c r="E119" t="s">
        <v>71</v>
      </c>
      <c r="F119" t="str">
        <f>_xlfn.XLOOKUP(Cleaned_MLB_Stats_Dataset__1[[#This Row],[Position'#]],$B$373:$B$382,$A$373:$A$382)</f>
        <v>SS</v>
      </c>
      <c r="G119">
        <v>6</v>
      </c>
      <c r="H119">
        <v>663</v>
      </c>
      <c r="I119">
        <v>179</v>
      </c>
      <c r="J119">
        <v>30</v>
      </c>
      <c r="K119">
        <v>3</v>
      </c>
      <c r="L119">
        <v>10</v>
      </c>
      <c r="M119">
        <v>111</v>
      </c>
      <c r="N119">
        <v>67</v>
      </c>
      <c r="O119">
        <v>106</v>
      </c>
      <c r="P119">
        <v>63</v>
      </c>
      <c r="Q119">
        <v>4</v>
      </c>
      <c r="R119">
        <v>9</v>
      </c>
      <c r="S119">
        <v>3</v>
      </c>
      <c r="T119">
        <v>1</v>
      </c>
      <c r="U119" s="6">
        <f>Cleaned_MLB_Stats_Dataset__1[[#This Row],[Hits]]/Cleaned_MLB_Stats_Dataset__1[[#This Row],[At Bats]]</f>
        <v>0.26998491704374056</v>
      </c>
      <c r="V119" s="6">
        <f>Cleaned_MLB_Stats_Dataset__1[[#This Row],[Strikeouts]]/(Cleaned_MLB_Stats_Dataset__1[[#This Row],[At Bats]]+Cleaned_MLB_Stats_Dataset__1[[#This Row],[Walks]])</f>
        <v>0.14600550964187328</v>
      </c>
      <c r="W11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9.7959183673469383E-2</v>
      </c>
      <c r="X11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0.34010840108401086</v>
      </c>
      <c r="Y11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0.36953242835595779</v>
      </c>
      <c r="Z119" s="6">
        <f>Cleaned_MLB_Stats_Dataset__1[[#This Row],[On Base Percentage]]+Cleaned_MLB_Stats_Dataset__1[[#This Row],[Slugging %]]</f>
        <v>0.70964082943996865</v>
      </c>
      <c r="AA119" s="6">
        <f>Cleaned_MLB_Stats_Dataset__1[[#This Row],[Slugging %]]-Cleaned_MLB_Stats_Dataset__1[[#This Row],[Batting Average]]</f>
        <v>9.9547511312217229E-2</v>
      </c>
      <c r="AB119" s="6">
        <f>Cleaned_MLB_Stats_Dataset__1[[#This Row],[Batting Average]]-_xlfn.XLOOKUP(Cleaned_MLB_Stats_Dataset__1[[#This Row],[Year]],'League Averages'!$A$3:$A$23,'League Averages'!$B$3:$B$23)</f>
        <v>1.2984917043740551E-2</v>
      </c>
      <c r="AC119" s="6">
        <f>Cleaned_MLB_Stats_Dataset__1[[#This Row],[On Base Percentage]]-_xlfn.XLOOKUP(Cleaned_MLB_Stats_Dataset__1[[#This Row],[Year]],'League Averages'!$A$3:$A$23,'League Averages'!$C$3:$C$23)</f>
        <v>1.5108401084010847E-2</v>
      </c>
      <c r="AD119" s="6">
        <f>Cleaned_MLB_Stats_Dataset__1[[#This Row],[Slugging %]]-_xlfn.XLOOKUP(Cleaned_MLB_Stats_Dataset__1[[#This Row],[Year]],'League Averages'!$A$3:$A$23,'League Averages'!$D$3:$D$23)</f>
        <v>-3.3467571644042238E-2</v>
      </c>
      <c r="AE119" s="6">
        <f>Cleaned_MLB_Stats_Dataset__1[[#This Row],[OPS (On Base + Slugging)]]-_xlfn.XLOOKUP(Cleaned_MLB_Stats_Dataset__1[[#This Row],[Year]],'League Averages'!$A$3:$A$23,'League Averages'!$E$3:$E$23)</f>
        <v>-1.8359170560031335E-2</v>
      </c>
      <c r="AF119" s="6">
        <f>Cleaned_MLB_Stats_Dataset__1[[#This Row],[ISO (Isolated Power]]-_xlfn.XLOOKUP(Cleaned_MLB_Stats_Dataset__1[[#This Row],[Year]],'League Averages'!$A$3:$A$23,'League Averages'!$F$3:$F$23)</f>
        <v>-4.6452488687782761E-2</v>
      </c>
    </row>
    <row r="120" spans="1:32" x14ac:dyDescent="0.2">
      <c r="A120" t="s">
        <v>310</v>
      </c>
      <c r="B120">
        <v>2013</v>
      </c>
      <c r="C120" t="s">
        <v>236</v>
      </c>
      <c r="D120" t="s">
        <v>6</v>
      </c>
      <c r="E120" t="s">
        <v>67</v>
      </c>
      <c r="F120" t="str">
        <f>_xlfn.XLOOKUP(Cleaned_MLB_Stats_Dataset__1[[#This Row],[Position'#]],$B$373:$B$382,$A$373:$A$382)</f>
        <v>3B</v>
      </c>
      <c r="G120">
        <v>5</v>
      </c>
      <c r="H120">
        <v>555</v>
      </c>
      <c r="I120">
        <v>193</v>
      </c>
      <c r="J120">
        <v>26</v>
      </c>
      <c r="K120">
        <v>1</v>
      </c>
      <c r="L120">
        <v>44</v>
      </c>
      <c r="M120">
        <v>103</v>
      </c>
      <c r="N120">
        <v>137</v>
      </c>
      <c r="O120">
        <v>94</v>
      </c>
      <c r="P120">
        <v>90</v>
      </c>
      <c r="Q120">
        <v>19</v>
      </c>
      <c r="R120">
        <v>5</v>
      </c>
      <c r="S120">
        <v>2</v>
      </c>
      <c r="T120">
        <v>0</v>
      </c>
      <c r="U120" s="6">
        <f>Cleaned_MLB_Stats_Dataset__1[[#This Row],[Hits]]/Cleaned_MLB_Stats_Dataset__1[[#This Row],[At Bats]]</f>
        <v>0.34774774774774775</v>
      </c>
      <c r="V120" s="6">
        <f>Cleaned_MLB_Stats_Dataset__1[[#This Row],[Strikeouts]]/(Cleaned_MLB_Stats_Dataset__1[[#This Row],[At Bats]]+Cleaned_MLB_Stats_Dataset__1[[#This Row],[Walks]])</f>
        <v>0.14573643410852713</v>
      </c>
      <c r="W12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0.14615384615384616</v>
      </c>
      <c r="X12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0.44171779141104295</v>
      </c>
      <c r="Y12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0.63603603603603609</v>
      </c>
      <c r="Z120" s="6">
        <f>Cleaned_MLB_Stats_Dataset__1[[#This Row],[On Base Percentage]]+Cleaned_MLB_Stats_Dataset__1[[#This Row],[Slugging %]]</f>
        <v>1.077753827447079</v>
      </c>
      <c r="AA120" s="6">
        <f>Cleaned_MLB_Stats_Dataset__1[[#This Row],[Slugging %]]-Cleaned_MLB_Stats_Dataset__1[[#This Row],[Batting Average]]</f>
        <v>0.28828828828828834</v>
      </c>
      <c r="AB120" s="6">
        <f>Cleaned_MLB_Stats_Dataset__1[[#This Row],[Batting Average]]-_xlfn.XLOOKUP(Cleaned_MLB_Stats_Dataset__1[[#This Row],[Year]],'League Averages'!$A$3:$A$23,'League Averages'!$B$3:$B$23)</f>
        <v>9.4747747747747746E-2</v>
      </c>
      <c r="AC120" s="6">
        <f>Cleaned_MLB_Stats_Dataset__1[[#This Row],[On Base Percentage]]-_xlfn.XLOOKUP(Cleaned_MLB_Stats_Dataset__1[[#This Row],[Year]],'League Averages'!$A$3:$A$23,'League Averages'!$C$3:$C$23)</f>
        <v>0.12371779141104294</v>
      </c>
      <c r="AD120" s="6">
        <f>Cleaned_MLB_Stats_Dataset__1[[#This Row],[Slugging %]]-_xlfn.XLOOKUP(Cleaned_MLB_Stats_Dataset__1[[#This Row],[Year]],'League Averages'!$A$3:$A$23,'League Averages'!$D$3:$D$23)</f>
        <v>0.24003603603603607</v>
      </c>
      <c r="AE120" s="6">
        <f>Cleaned_MLB_Stats_Dataset__1[[#This Row],[OPS (On Base + Slugging)]]-_xlfn.XLOOKUP(Cleaned_MLB_Stats_Dataset__1[[#This Row],[Year]],'League Averages'!$A$3:$A$23,'League Averages'!$E$3:$E$23)</f>
        <v>0.36375382744707907</v>
      </c>
      <c r="AF120" s="6">
        <f>Cleaned_MLB_Stats_Dataset__1[[#This Row],[ISO (Isolated Power]]-_xlfn.XLOOKUP(Cleaned_MLB_Stats_Dataset__1[[#This Row],[Year]],'League Averages'!$A$3:$A$23,'League Averages'!$F$3:$F$23)</f>
        <v>0.14528828828828835</v>
      </c>
    </row>
    <row r="121" spans="1:32" x14ac:dyDescent="0.2">
      <c r="A121" t="s">
        <v>310</v>
      </c>
      <c r="B121">
        <v>2011</v>
      </c>
      <c r="C121" t="s">
        <v>257</v>
      </c>
      <c r="D121" t="s">
        <v>6</v>
      </c>
      <c r="E121" t="s">
        <v>71</v>
      </c>
      <c r="F121" t="str">
        <f>_xlfn.XLOOKUP(Cleaned_MLB_Stats_Dataset__1[[#This Row],[Position'#]],$B$373:$B$382,$A$373:$A$382)</f>
        <v>2B</v>
      </c>
      <c r="G121">
        <v>4</v>
      </c>
      <c r="H121">
        <v>623</v>
      </c>
      <c r="I121">
        <v>188</v>
      </c>
      <c r="J121">
        <v>46</v>
      </c>
      <c r="K121">
        <v>7</v>
      </c>
      <c r="L121">
        <v>28</v>
      </c>
      <c r="M121">
        <v>104</v>
      </c>
      <c r="N121">
        <v>118</v>
      </c>
      <c r="O121">
        <v>96</v>
      </c>
      <c r="P121">
        <v>38</v>
      </c>
      <c r="Q121">
        <v>11</v>
      </c>
      <c r="R121">
        <v>12</v>
      </c>
      <c r="S121">
        <v>8</v>
      </c>
      <c r="T121">
        <v>0</v>
      </c>
      <c r="U121" s="6">
        <f>Cleaned_MLB_Stats_Dataset__1[[#This Row],[Hits]]/Cleaned_MLB_Stats_Dataset__1[[#This Row],[At Bats]]</f>
        <v>0.3017656500802568</v>
      </c>
      <c r="V121" s="6">
        <f>Cleaned_MLB_Stats_Dataset__1[[#This Row],[Strikeouts]]/(Cleaned_MLB_Stats_Dataset__1[[#This Row],[At Bats]]+Cleaned_MLB_Stats_Dataset__1[[#This Row],[Walks]])</f>
        <v>0.14523449319213314</v>
      </c>
      <c r="W12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7.4294205052005943E-2</v>
      </c>
      <c r="X12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0.34948604992657856</v>
      </c>
      <c r="Y12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0.5329052969502408</v>
      </c>
      <c r="Z121" s="6">
        <f>Cleaned_MLB_Stats_Dataset__1[[#This Row],[On Base Percentage]]+Cleaned_MLB_Stats_Dataset__1[[#This Row],[Slugging %]]</f>
        <v>0.88239134687681942</v>
      </c>
      <c r="AA121" s="6">
        <f>Cleaned_MLB_Stats_Dataset__1[[#This Row],[Slugging %]]-Cleaned_MLB_Stats_Dataset__1[[#This Row],[Batting Average]]</f>
        <v>0.23113964686998401</v>
      </c>
      <c r="AB121" s="6">
        <f>Cleaned_MLB_Stats_Dataset__1[[#This Row],[Batting Average]]-_xlfn.XLOOKUP(Cleaned_MLB_Stats_Dataset__1[[#This Row],[Year]],'League Averages'!$A$3:$A$23,'League Averages'!$B$3:$B$23)</f>
        <v>4.6765650080256793E-2</v>
      </c>
      <c r="AC121" s="6">
        <f>Cleaned_MLB_Stats_Dataset__1[[#This Row],[On Base Percentage]]-_xlfn.XLOOKUP(Cleaned_MLB_Stats_Dataset__1[[#This Row],[Year]],'League Averages'!$A$3:$A$23,'League Averages'!$C$3:$C$23)</f>
        <v>2.8486049926578549E-2</v>
      </c>
      <c r="AD121" s="6">
        <f>Cleaned_MLB_Stats_Dataset__1[[#This Row],[Slugging %]]-_xlfn.XLOOKUP(Cleaned_MLB_Stats_Dataset__1[[#This Row],[Year]],'League Averages'!$A$3:$A$23,'League Averages'!$D$3:$D$23)</f>
        <v>0.13390529695024078</v>
      </c>
      <c r="AE121" s="6">
        <f>Cleaned_MLB_Stats_Dataset__1[[#This Row],[OPS (On Base + Slugging)]]-_xlfn.XLOOKUP(Cleaned_MLB_Stats_Dataset__1[[#This Row],[Year]],'League Averages'!$A$3:$A$23,'League Averages'!$E$3:$E$23)</f>
        <v>0.16239134687681944</v>
      </c>
      <c r="AF121" s="6">
        <f>Cleaned_MLB_Stats_Dataset__1[[#This Row],[ISO (Isolated Power]]-_xlfn.XLOOKUP(Cleaned_MLB_Stats_Dataset__1[[#This Row],[Year]],'League Averages'!$A$3:$A$23,'League Averages'!$F$3:$F$23)</f>
        <v>8.7139646869984017E-2</v>
      </c>
    </row>
    <row r="122" spans="1:32" x14ac:dyDescent="0.2">
      <c r="A122" t="s">
        <v>310</v>
      </c>
      <c r="B122">
        <v>2007</v>
      </c>
      <c r="C122" t="s">
        <v>177</v>
      </c>
      <c r="D122" t="s">
        <v>6</v>
      </c>
      <c r="E122" t="s">
        <v>71</v>
      </c>
      <c r="F122" t="str">
        <f>_xlfn.XLOOKUP(Cleaned_MLB_Stats_Dataset__1[[#This Row],[Position'#]],$B$373:$B$382,$A$373:$A$382)</f>
        <v>SS</v>
      </c>
      <c r="G122">
        <v>6</v>
      </c>
      <c r="H122">
        <v>639</v>
      </c>
      <c r="I122">
        <v>206</v>
      </c>
      <c r="J122">
        <v>39</v>
      </c>
      <c r="K122">
        <v>4</v>
      </c>
      <c r="L122">
        <v>12</v>
      </c>
      <c r="M122">
        <v>102</v>
      </c>
      <c r="N122">
        <v>73</v>
      </c>
      <c r="O122">
        <v>100</v>
      </c>
      <c r="P122">
        <v>56</v>
      </c>
      <c r="Q122">
        <v>3</v>
      </c>
      <c r="R122">
        <v>14</v>
      </c>
      <c r="S122">
        <v>2</v>
      </c>
      <c r="T122">
        <v>3</v>
      </c>
      <c r="U122" s="6">
        <f>Cleaned_MLB_Stats_Dataset__1[[#This Row],[Hits]]/Cleaned_MLB_Stats_Dataset__1[[#This Row],[At Bats]]</f>
        <v>0.32237871674491392</v>
      </c>
      <c r="V122" s="6">
        <f>Cleaned_MLB_Stats_Dataset__1[[#This Row],[Strikeouts]]/(Cleaned_MLB_Stats_Dataset__1[[#This Row],[At Bats]]+Cleaned_MLB_Stats_Dataset__1[[#This Row],[Walks]])</f>
        <v>0.14388489208633093</v>
      </c>
      <c r="W12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9.8730606488011283E-2</v>
      </c>
      <c r="X12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0.3881856540084388</v>
      </c>
      <c r="Y12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0.45226917057902971</v>
      </c>
      <c r="Z122" s="6">
        <f>Cleaned_MLB_Stats_Dataset__1[[#This Row],[On Base Percentage]]+Cleaned_MLB_Stats_Dataset__1[[#This Row],[Slugging %]]</f>
        <v>0.84045482458746856</v>
      </c>
      <c r="AA122" s="6">
        <f>Cleaned_MLB_Stats_Dataset__1[[#This Row],[Slugging %]]-Cleaned_MLB_Stats_Dataset__1[[#This Row],[Batting Average]]</f>
        <v>0.12989045383411579</v>
      </c>
      <c r="AB122" s="6">
        <f>Cleaned_MLB_Stats_Dataset__1[[#This Row],[Batting Average]]-_xlfn.XLOOKUP(Cleaned_MLB_Stats_Dataset__1[[#This Row],[Year]],'League Averages'!$A$3:$A$23,'League Averages'!$B$3:$B$23)</f>
        <v>5.4378716744913902E-2</v>
      </c>
      <c r="AC122" s="6">
        <f>Cleaned_MLB_Stats_Dataset__1[[#This Row],[On Base Percentage]]-_xlfn.XLOOKUP(Cleaned_MLB_Stats_Dataset__1[[#This Row],[Year]],'League Averages'!$A$3:$A$23,'League Averages'!$C$3:$C$23)</f>
        <v>5.2185654008438775E-2</v>
      </c>
      <c r="AD122" s="6">
        <f>Cleaned_MLB_Stats_Dataset__1[[#This Row],[Slugging %]]-_xlfn.XLOOKUP(Cleaned_MLB_Stats_Dataset__1[[#This Row],[Year]],'League Averages'!$A$3:$A$23,'League Averages'!$D$3:$D$23)</f>
        <v>2.9269170579029724E-2</v>
      </c>
      <c r="AE122" s="6">
        <f>Cleaned_MLB_Stats_Dataset__1[[#This Row],[OPS (On Base + Slugging)]]-_xlfn.XLOOKUP(Cleaned_MLB_Stats_Dataset__1[[#This Row],[Year]],'League Averages'!$A$3:$A$23,'League Averages'!$E$3:$E$23)</f>
        <v>8.2454824587468556E-2</v>
      </c>
      <c r="AF122" s="6">
        <f>Cleaned_MLB_Stats_Dataset__1[[#This Row],[ISO (Isolated Power]]-_xlfn.XLOOKUP(Cleaned_MLB_Stats_Dataset__1[[#This Row],[Year]],'League Averages'!$A$3:$A$23,'League Averages'!$F$3:$F$23)</f>
        <v>-2.5109546165884206E-2</v>
      </c>
    </row>
    <row r="123" spans="1:32" x14ac:dyDescent="0.2">
      <c r="A123" t="s">
        <v>310</v>
      </c>
      <c r="B123">
        <v>2004</v>
      </c>
      <c r="C123" t="s">
        <v>177</v>
      </c>
      <c r="D123" t="s">
        <v>6</v>
      </c>
      <c r="E123" t="s">
        <v>71</v>
      </c>
      <c r="F123" t="str">
        <f>_xlfn.XLOOKUP(Cleaned_MLB_Stats_Dataset__1[[#This Row],[Position'#]],$B$373:$B$382,$A$373:$A$382)</f>
        <v>SS</v>
      </c>
      <c r="G123">
        <v>6</v>
      </c>
      <c r="H123">
        <v>643</v>
      </c>
      <c r="I123">
        <v>188</v>
      </c>
      <c r="J123">
        <v>44</v>
      </c>
      <c r="K123">
        <v>1</v>
      </c>
      <c r="L123">
        <v>23</v>
      </c>
      <c r="M123">
        <v>111</v>
      </c>
      <c r="N123">
        <v>78</v>
      </c>
      <c r="O123">
        <v>99</v>
      </c>
      <c r="P123">
        <v>46</v>
      </c>
      <c r="Q123">
        <v>1</v>
      </c>
      <c r="R123">
        <v>14</v>
      </c>
      <c r="S123">
        <v>2</v>
      </c>
      <c r="T123">
        <v>16</v>
      </c>
      <c r="U123" s="6">
        <f>Cleaned_MLB_Stats_Dataset__1[[#This Row],[Hits]]/Cleaned_MLB_Stats_Dataset__1[[#This Row],[At Bats]]</f>
        <v>0.29237947122861585</v>
      </c>
      <c r="V123" s="6">
        <f>Cleaned_MLB_Stats_Dataset__1[[#This Row],[Strikeouts]]/(Cleaned_MLB_Stats_Dataset__1[[#This Row],[At Bats]]+Cleaned_MLB_Stats_Dataset__1[[#This Row],[Walks]])</f>
        <v>0.14368650217706821</v>
      </c>
      <c r="W12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8.5348506401137975E-2</v>
      </c>
      <c r="X12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0.35177304964539008</v>
      </c>
      <c r="Y12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0.47122861586314152</v>
      </c>
      <c r="Z123" s="6">
        <f>Cleaned_MLB_Stats_Dataset__1[[#This Row],[On Base Percentage]]+Cleaned_MLB_Stats_Dataset__1[[#This Row],[Slugging %]]</f>
        <v>0.8230016655085316</v>
      </c>
      <c r="AA123" s="6">
        <f>Cleaned_MLB_Stats_Dataset__1[[#This Row],[Slugging %]]-Cleaned_MLB_Stats_Dataset__1[[#This Row],[Batting Average]]</f>
        <v>0.17884914463452567</v>
      </c>
      <c r="AB123" s="6">
        <f>Cleaned_MLB_Stats_Dataset__1[[#This Row],[Batting Average]]-_xlfn.XLOOKUP(Cleaned_MLB_Stats_Dataset__1[[#This Row],[Year]],'League Averages'!$A$3:$A$23,'League Averages'!$B$3:$B$23)</f>
        <v>2.6379471228615836E-2</v>
      </c>
      <c r="AC123" s="6">
        <f>Cleaned_MLB_Stats_Dataset__1[[#This Row],[On Base Percentage]]-_xlfn.XLOOKUP(Cleaned_MLB_Stats_Dataset__1[[#This Row],[Year]],'League Averages'!$A$3:$A$23,'League Averages'!$C$3:$C$23)</f>
        <v>1.6773049645390059E-2</v>
      </c>
      <c r="AD123" s="6">
        <f>Cleaned_MLB_Stats_Dataset__1[[#This Row],[Slugging %]]-_xlfn.XLOOKUP(Cleaned_MLB_Stats_Dataset__1[[#This Row],[Year]],'League Averages'!$A$3:$A$23,'League Averages'!$D$3:$D$23)</f>
        <v>4.3228615863141528E-2</v>
      </c>
      <c r="AE123" s="6">
        <f>Cleaned_MLB_Stats_Dataset__1[[#This Row],[OPS (On Base + Slugging)]]-_xlfn.XLOOKUP(Cleaned_MLB_Stats_Dataset__1[[#This Row],[Year]],'League Averages'!$A$3:$A$23,'League Averages'!$E$3:$E$23)</f>
        <v>6.0001665508531588E-2</v>
      </c>
      <c r="AF123" s="6">
        <f>Cleaned_MLB_Stats_Dataset__1[[#This Row],[ISO (Isolated Power]]-_xlfn.XLOOKUP(Cleaned_MLB_Stats_Dataset__1[[#This Row],[Year]],'League Averages'!$A$3:$A$23,'League Averages'!$F$3:$F$23)</f>
        <v>1.6849144634525665E-2</v>
      </c>
    </row>
    <row r="124" spans="1:32" x14ac:dyDescent="0.2">
      <c r="A124" t="s">
        <v>310</v>
      </c>
      <c r="B124">
        <v>2012</v>
      </c>
      <c r="C124" t="s">
        <v>257</v>
      </c>
      <c r="D124" t="s">
        <v>6</v>
      </c>
      <c r="E124" t="s">
        <v>71</v>
      </c>
      <c r="F124" t="str">
        <f>_xlfn.XLOOKUP(Cleaned_MLB_Stats_Dataset__1[[#This Row],[Position'#]],$B$373:$B$382,$A$373:$A$382)</f>
        <v>2B</v>
      </c>
      <c r="G124">
        <v>4</v>
      </c>
      <c r="H124">
        <v>627</v>
      </c>
      <c r="I124">
        <v>196</v>
      </c>
      <c r="J124">
        <v>48</v>
      </c>
      <c r="K124">
        <v>1</v>
      </c>
      <c r="L124">
        <v>33</v>
      </c>
      <c r="M124">
        <v>105</v>
      </c>
      <c r="N124">
        <v>94</v>
      </c>
      <c r="O124">
        <v>96</v>
      </c>
      <c r="P124">
        <v>61</v>
      </c>
      <c r="Q124">
        <v>10</v>
      </c>
      <c r="R124">
        <v>7</v>
      </c>
      <c r="S124">
        <v>2</v>
      </c>
      <c r="T124">
        <v>0</v>
      </c>
      <c r="U124" s="6">
        <f>Cleaned_MLB_Stats_Dataset__1[[#This Row],[Hits]]/Cleaned_MLB_Stats_Dataset__1[[#This Row],[At Bats]]</f>
        <v>0.31259968102073366</v>
      </c>
      <c r="V124" s="6">
        <f>Cleaned_MLB_Stats_Dataset__1[[#This Row],[Strikeouts]]/(Cleaned_MLB_Stats_Dataset__1[[#This Row],[At Bats]]+Cleaned_MLB_Stats_Dataset__1[[#This Row],[Walks]])</f>
        <v>0.13953488372093023</v>
      </c>
      <c r="W12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9.7841726618705036E-2</v>
      </c>
      <c r="X12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0.37876614060258251</v>
      </c>
      <c r="Y12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0.55023923444976075</v>
      </c>
      <c r="Z124" s="6">
        <f>Cleaned_MLB_Stats_Dataset__1[[#This Row],[On Base Percentage]]+Cleaned_MLB_Stats_Dataset__1[[#This Row],[Slugging %]]</f>
        <v>0.92900537505234326</v>
      </c>
      <c r="AA124" s="6">
        <f>Cleaned_MLB_Stats_Dataset__1[[#This Row],[Slugging %]]-Cleaned_MLB_Stats_Dataset__1[[#This Row],[Batting Average]]</f>
        <v>0.23763955342902709</v>
      </c>
      <c r="AB124" s="6">
        <f>Cleaned_MLB_Stats_Dataset__1[[#This Row],[Batting Average]]-_xlfn.XLOOKUP(Cleaned_MLB_Stats_Dataset__1[[#This Row],[Year]],'League Averages'!$A$3:$A$23,'League Averages'!$B$3:$B$23)</f>
        <v>5.7599681020733651E-2</v>
      </c>
      <c r="AC124" s="6">
        <f>Cleaned_MLB_Stats_Dataset__1[[#This Row],[On Base Percentage]]-_xlfn.XLOOKUP(Cleaned_MLB_Stats_Dataset__1[[#This Row],[Year]],'League Averages'!$A$3:$A$23,'League Averages'!$C$3:$C$23)</f>
        <v>5.9766140602582507E-2</v>
      </c>
      <c r="AD124" s="6">
        <f>Cleaned_MLB_Stats_Dataset__1[[#This Row],[Slugging %]]-_xlfn.XLOOKUP(Cleaned_MLB_Stats_Dataset__1[[#This Row],[Year]],'League Averages'!$A$3:$A$23,'League Averages'!$D$3:$D$23)</f>
        <v>0.14523923444976072</v>
      </c>
      <c r="AE124" s="6">
        <f>Cleaned_MLB_Stats_Dataset__1[[#This Row],[OPS (On Base + Slugging)]]-_xlfn.XLOOKUP(Cleaned_MLB_Stats_Dataset__1[[#This Row],[Year]],'League Averages'!$A$3:$A$23,'League Averages'!$E$3:$E$23)</f>
        <v>0.20500537505234329</v>
      </c>
      <c r="AF124" s="6">
        <f>Cleaned_MLB_Stats_Dataset__1[[#This Row],[ISO (Isolated Power]]-_xlfn.XLOOKUP(Cleaned_MLB_Stats_Dataset__1[[#This Row],[Year]],'League Averages'!$A$3:$A$23,'League Averages'!$F$3:$F$23)</f>
        <v>8.7639553429027101E-2</v>
      </c>
    </row>
    <row r="125" spans="1:32" x14ac:dyDescent="0.2">
      <c r="A125" t="s">
        <v>310</v>
      </c>
      <c r="B125">
        <v>2011</v>
      </c>
      <c r="C125" t="s">
        <v>198</v>
      </c>
      <c r="D125" t="s">
        <v>6</v>
      </c>
      <c r="E125" t="s">
        <v>68</v>
      </c>
      <c r="F125" t="str">
        <f>_xlfn.XLOOKUP(Cleaned_MLB_Stats_Dataset__1[[#This Row],[Position'#]],$B$373:$B$382,$A$373:$A$382)</f>
        <v>DH</v>
      </c>
      <c r="G125">
        <v>10</v>
      </c>
      <c r="H125">
        <v>525</v>
      </c>
      <c r="I125">
        <v>162</v>
      </c>
      <c r="J125">
        <v>40</v>
      </c>
      <c r="K125">
        <v>1</v>
      </c>
      <c r="L125">
        <v>29</v>
      </c>
      <c r="M125">
        <v>84</v>
      </c>
      <c r="N125">
        <v>96</v>
      </c>
      <c r="O125">
        <v>83</v>
      </c>
      <c r="P125">
        <v>78</v>
      </c>
      <c r="Q125">
        <v>12</v>
      </c>
      <c r="R125">
        <v>1</v>
      </c>
      <c r="S125">
        <v>1</v>
      </c>
      <c r="T125">
        <v>0</v>
      </c>
      <c r="U125" s="6">
        <f>Cleaned_MLB_Stats_Dataset__1[[#This Row],[Hits]]/Cleaned_MLB_Stats_Dataset__1[[#This Row],[At Bats]]</f>
        <v>0.30857142857142855</v>
      </c>
      <c r="V125" s="6">
        <f>Cleaned_MLB_Stats_Dataset__1[[#This Row],[Strikeouts]]/(Cleaned_MLB_Stats_Dataset__1[[#This Row],[At Bats]]+Cleaned_MLB_Stats_Dataset__1[[#This Row],[Walks]])</f>
        <v>0.13764510779436154</v>
      </c>
      <c r="W12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0.13079470198675497</v>
      </c>
      <c r="X12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0.39834710743801655</v>
      </c>
      <c r="Y12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0.55428571428571427</v>
      </c>
      <c r="Z125" s="6">
        <f>Cleaned_MLB_Stats_Dataset__1[[#This Row],[On Base Percentage]]+Cleaned_MLB_Stats_Dataset__1[[#This Row],[Slugging %]]</f>
        <v>0.95263282172373076</v>
      </c>
      <c r="AA125" s="6">
        <f>Cleaned_MLB_Stats_Dataset__1[[#This Row],[Slugging %]]-Cleaned_MLB_Stats_Dataset__1[[#This Row],[Batting Average]]</f>
        <v>0.24571428571428572</v>
      </c>
      <c r="AB125" s="6">
        <f>Cleaned_MLB_Stats_Dataset__1[[#This Row],[Batting Average]]-_xlfn.XLOOKUP(Cleaned_MLB_Stats_Dataset__1[[#This Row],[Year]],'League Averages'!$A$3:$A$23,'League Averages'!$B$3:$B$23)</f>
        <v>5.3571428571428548E-2</v>
      </c>
      <c r="AC125" s="6">
        <f>Cleaned_MLB_Stats_Dataset__1[[#This Row],[On Base Percentage]]-_xlfn.XLOOKUP(Cleaned_MLB_Stats_Dataset__1[[#This Row],[Year]],'League Averages'!$A$3:$A$23,'League Averages'!$C$3:$C$23)</f>
        <v>7.7347107438016538E-2</v>
      </c>
      <c r="AD125" s="6">
        <f>Cleaned_MLB_Stats_Dataset__1[[#This Row],[Slugging %]]-_xlfn.XLOOKUP(Cleaned_MLB_Stats_Dataset__1[[#This Row],[Year]],'League Averages'!$A$3:$A$23,'League Averages'!$D$3:$D$23)</f>
        <v>0.15528571428571425</v>
      </c>
      <c r="AE125" s="6">
        <f>Cleaned_MLB_Stats_Dataset__1[[#This Row],[OPS (On Base + Slugging)]]-_xlfn.XLOOKUP(Cleaned_MLB_Stats_Dataset__1[[#This Row],[Year]],'League Averages'!$A$3:$A$23,'League Averages'!$E$3:$E$23)</f>
        <v>0.23263282172373079</v>
      </c>
      <c r="AF125" s="6">
        <f>Cleaned_MLB_Stats_Dataset__1[[#This Row],[ISO (Isolated Power]]-_xlfn.XLOOKUP(Cleaned_MLB_Stats_Dataset__1[[#This Row],[Year]],'League Averages'!$A$3:$A$23,'League Averages'!$F$3:$F$23)</f>
        <v>0.10171428571428573</v>
      </c>
    </row>
    <row r="126" spans="1:32" x14ac:dyDescent="0.2">
      <c r="A126" t="s">
        <v>310</v>
      </c>
      <c r="B126">
        <v>2011</v>
      </c>
      <c r="C126" t="s">
        <v>190</v>
      </c>
      <c r="D126" t="s">
        <v>3</v>
      </c>
      <c r="E126" t="s">
        <v>53</v>
      </c>
      <c r="F126" t="str">
        <f>_xlfn.XLOOKUP(Cleaned_MLB_Stats_Dataset__1[[#This Row],[Position'#]],$B$373:$B$382,$A$373:$A$382)</f>
        <v>3B</v>
      </c>
      <c r="G126">
        <v>5</v>
      </c>
      <c r="H126">
        <v>252</v>
      </c>
      <c r="I126">
        <v>61</v>
      </c>
      <c r="J126">
        <v>20</v>
      </c>
      <c r="K126">
        <v>2</v>
      </c>
      <c r="L126">
        <v>5</v>
      </c>
      <c r="M126">
        <v>31</v>
      </c>
      <c r="N126">
        <v>36</v>
      </c>
      <c r="O126">
        <v>36</v>
      </c>
      <c r="P126">
        <v>10</v>
      </c>
      <c r="Q126">
        <v>0</v>
      </c>
      <c r="R126">
        <v>4</v>
      </c>
      <c r="S126">
        <v>3</v>
      </c>
      <c r="T126">
        <v>0</v>
      </c>
      <c r="U126" s="6">
        <f>Cleaned_MLB_Stats_Dataset__1[[#This Row],[Hits]]/Cleaned_MLB_Stats_Dataset__1[[#This Row],[At Bats]]</f>
        <v>0.24206349206349206</v>
      </c>
      <c r="V126" s="6">
        <f>Cleaned_MLB_Stats_Dataset__1[[#This Row],[Strikeouts]]/(Cleaned_MLB_Stats_Dataset__1[[#This Row],[At Bats]]+Cleaned_MLB_Stats_Dataset__1[[#This Row],[Walks]])</f>
        <v>0.13740458015267176</v>
      </c>
      <c r="W12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5.2631578947368418E-2</v>
      </c>
      <c r="X12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0.27881040892193309</v>
      </c>
      <c r="Y12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0.3968253968253968</v>
      </c>
      <c r="Z126" s="6">
        <f>Cleaned_MLB_Stats_Dataset__1[[#This Row],[On Base Percentage]]+Cleaned_MLB_Stats_Dataset__1[[#This Row],[Slugging %]]</f>
        <v>0.67563580574732995</v>
      </c>
      <c r="AA126" s="6">
        <f>Cleaned_MLB_Stats_Dataset__1[[#This Row],[Slugging %]]-Cleaned_MLB_Stats_Dataset__1[[#This Row],[Batting Average]]</f>
        <v>0.15476190476190474</v>
      </c>
      <c r="AB126" s="6">
        <f>Cleaned_MLB_Stats_Dataset__1[[#This Row],[Batting Average]]-_xlfn.XLOOKUP(Cleaned_MLB_Stats_Dataset__1[[#This Row],[Year]],'League Averages'!$A$3:$A$23,'League Averages'!$B$3:$B$23)</f>
        <v>-1.2936507936507941E-2</v>
      </c>
      <c r="AC126" s="6">
        <f>Cleaned_MLB_Stats_Dataset__1[[#This Row],[On Base Percentage]]-_xlfn.XLOOKUP(Cleaned_MLB_Stats_Dataset__1[[#This Row],[Year]],'League Averages'!$A$3:$A$23,'League Averages'!$C$3:$C$23)</f>
        <v>-4.2189591078066913E-2</v>
      </c>
      <c r="AD126" s="6">
        <f>Cleaned_MLB_Stats_Dataset__1[[#This Row],[Slugging %]]-_xlfn.XLOOKUP(Cleaned_MLB_Stats_Dataset__1[[#This Row],[Year]],'League Averages'!$A$3:$A$23,'League Averages'!$D$3:$D$23)</f>
        <v>-2.1746031746032179E-3</v>
      </c>
      <c r="AE126" s="6">
        <f>Cleaned_MLB_Stats_Dataset__1[[#This Row],[OPS (On Base + Slugging)]]-_xlfn.XLOOKUP(Cleaned_MLB_Stats_Dataset__1[[#This Row],[Year]],'League Averages'!$A$3:$A$23,'League Averages'!$E$3:$E$23)</f>
        <v>-4.4364194252670019E-2</v>
      </c>
      <c r="AF126" s="6">
        <f>Cleaned_MLB_Stats_Dataset__1[[#This Row],[ISO (Isolated Power]]-_xlfn.XLOOKUP(Cleaned_MLB_Stats_Dataset__1[[#This Row],[Year]],'League Averages'!$A$3:$A$23,'League Averages'!$F$3:$F$23)</f>
        <v>1.076190476190475E-2</v>
      </c>
    </row>
    <row r="127" spans="1:32" x14ac:dyDescent="0.2">
      <c r="A127" t="s">
        <v>310</v>
      </c>
      <c r="B127">
        <v>2005</v>
      </c>
      <c r="C127" t="s">
        <v>160</v>
      </c>
      <c r="D127" t="s">
        <v>3</v>
      </c>
      <c r="E127" t="s">
        <v>80</v>
      </c>
      <c r="F127" t="str">
        <f>_xlfn.XLOOKUP(Cleaned_MLB_Stats_Dataset__1[[#This Row],[Position'#]],$B$373:$B$382,$A$373:$A$382)</f>
        <v>2B</v>
      </c>
      <c r="G127">
        <v>4</v>
      </c>
      <c r="H127">
        <v>553</v>
      </c>
      <c r="I127">
        <v>160</v>
      </c>
      <c r="J127">
        <v>36</v>
      </c>
      <c r="K127">
        <v>0</v>
      </c>
      <c r="L127">
        <v>29</v>
      </c>
      <c r="M127">
        <v>100</v>
      </c>
      <c r="N127">
        <v>105</v>
      </c>
      <c r="O127">
        <v>85</v>
      </c>
      <c r="P127">
        <v>72</v>
      </c>
      <c r="Q127">
        <v>8</v>
      </c>
      <c r="R127">
        <v>8</v>
      </c>
      <c r="S127">
        <v>4</v>
      </c>
      <c r="T127">
        <v>0</v>
      </c>
      <c r="U127" s="6">
        <f>Cleaned_MLB_Stats_Dataset__1[[#This Row],[Hits]]/Cleaned_MLB_Stats_Dataset__1[[#This Row],[At Bats]]</f>
        <v>0.28933092224231466</v>
      </c>
      <c r="V127" s="6">
        <f>Cleaned_MLB_Stats_Dataset__1[[#This Row],[Strikeouts]]/(Cleaned_MLB_Stats_Dataset__1[[#This Row],[At Bats]]+Cleaned_MLB_Stats_Dataset__1[[#This Row],[Walks]])</f>
        <v>0.13600000000000001</v>
      </c>
      <c r="W12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0.1263823064770932</v>
      </c>
      <c r="X12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0.37676609105180536</v>
      </c>
      <c r="Y12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0.51175406871609408</v>
      </c>
      <c r="Z127" s="6">
        <f>Cleaned_MLB_Stats_Dataset__1[[#This Row],[On Base Percentage]]+Cleaned_MLB_Stats_Dataset__1[[#This Row],[Slugging %]]</f>
        <v>0.88852015976789944</v>
      </c>
      <c r="AA127" s="6">
        <f>Cleaned_MLB_Stats_Dataset__1[[#This Row],[Slugging %]]-Cleaned_MLB_Stats_Dataset__1[[#This Row],[Batting Average]]</f>
        <v>0.22242314647377942</v>
      </c>
      <c r="AB127" s="6">
        <f>Cleaned_MLB_Stats_Dataset__1[[#This Row],[Batting Average]]-_xlfn.XLOOKUP(Cleaned_MLB_Stats_Dataset__1[[#This Row],[Year]],'League Averages'!$A$3:$A$23,'League Averages'!$B$3:$B$23)</f>
        <v>2.5330922242314646E-2</v>
      </c>
      <c r="AC127" s="6">
        <f>Cleaned_MLB_Stats_Dataset__1[[#This Row],[On Base Percentage]]-_xlfn.XLOOKUP(Cleaned_MLB_Stats_Dataset__1[[#This Row],[Year]],'League Averages'!$A$3:$A$23,'League Averages'!$C$3:$C$23)</f>
        <v>4.6766091051805347E-2</v>
      </c>
      <c r="AD127" s="6">
        <f>Cleaned_MLB_Stats_Dataset__1[[#This Row],[Slugging %]]-_xlfn.XLOOKUP(Cleaned_MLB_Stats_Dataset__1[[#This Row],[Year]],'League Averages'!$A$3:$A$23,'League Averages'!$D$3:$D$23)</f>
        <v>9.2754068716094096E-2</v>
      </c>
      <c r="AE127" s="6">
        <f>Cleaned_MLB_Stats_Dataset__1[[#This Row],[OPS (On Base + Slugging)]]-_xlfn.XLOOKUP(Cleaned_MLB_Stats_Dataset__1[[#This Row],[Year]],'League Averages'!$A$3:$A$23,'League Averages'!$E$3:$E$23)</f>
        <v>0.13952015976789944</v>
      </c>
      <c r="AF127" s="6">
        <f>Cleaned_MLB_Stats_Dataset__1[[#This Row],[ISO (Isolated Power]]-_xlfn.XLOOKUP(Cleaned_MLB_Stats_Dataset__1[[#This Row],[Year]],'League Averages'!$A$3:$A$23,'League Averages'!$F$3:$F$23)</f>
        <v>6.7423146473779422E-2</v>
      </c>
    </row>
    <row r="128" spans="1:32" x14ac:dyDescent="0.2">
      <c r="A128" t="s">
        <v>310</v>
      </c>
      <c r="B128">
        <v>2012</v>
      </c>
      <c r="C128" t="s">
        <v>286</v>
      </c>
      <c r="D128" t="s">
        <v>3</v>
      </c>
      <c r="E128" t="s">
        <v>79</v>
      </c>
      <c r="F128" t="str">
        <f>_xlfn.XLOOKUP(Cleaned_MLB_Stats_Dataset__1[[#This Row],[Position'#]],$B$373:$B$382,$A$373:$A$382)</f>
        <v>3B</v>
      </c>
      <c r="G128">
        <v>5</v>
      </c>
      <c r="H128">
        <v>396</v>
      </c>
      <c r="I128">
        <v>112</v>
      </c>
      <c r="J128">
        <v>25</v>
      </c>
      <c r="K128">
        <v>2</v>
      </c>
      <c r="L128">
        <v>12</v>
      </c>
      <c r="M128">
        <v>59</v>
      </c>
      <c r="N128">
        <v>63</v>
      </c>
      <c r="O128">
        <v>59</v>
      </c>
      <c r="P128">
        <v>38</v>
      </c>
      <c r="Q128">
        <v>4</v>
      </c>
      <c r="R128">
        <v>1</v>
      </c>
      <c r="S128">
        <v>7</v>
      </c>
      <c r="T128">
        <v>0</v>
      </c>
      <c r="U128" s="6">
        <f>Cleaned_MLB_Stats_Dataset__1[[#This Row],[Hits]]/Cleaned_MLB_Stats_Dataset__1[[#This Row],[At Bats]]</f>
        <v>0.28282828282828282</v>
      </c>
      <c r="V128" s="6">
        <f>Cleaned_MLB_Stats_Dataset__1[[#This Row],[Strikeouts]]/(Cleaned_MLB_Stats_Dataset__1[[#This Row],[At Bats]]+Cleaned_MLB_Stats_Dataset__1[[#This Row],[Walks]])</f>
        <v>0.13594470046082949</v>
      </c>
      <c r="W12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8.9655172413793102E-2</v>
      </c>
      <c r="X12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0.34162895927601811</v>
      </c>
      <c r="Y12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0.44696969696969696</v>
      </c>
      <c r="Z128" s="6">
        <f>Cleaned_MLB_Stats_Dataset__1[[#This Row],[On Base Percentage]]+Cleaned_MLB_Stats_Dataset__1[[#This Row],[Slugging %]]</f>
        <v>0.78859865624571501</v>
      </c>
      <c r="AA128" s="6">
        <f>Cleaned_MLB_Stats_Dataset__1[[#This Row],[Slugging %]]-Cleaned_MLB_Stats_Dataset__1[[#This Row],[Batting Average]]</f>
        <v>0.16414141414141414</v>
      </c>
      <c r="AB128" s="6">
        <f>Cleaned_MLB_Stats_Dataset__1[[#This Row],[Batting Average]]-_xlfn.XLOOKUP(Cleaned_MLB_Stats_Dataset__1[[#This Row],[Year]],'League Averages'!$A$3:$A$23,'League Averages'!$B$3:$B$23)</f>
        <v>2.7828282828282813E-2</v>
      </c>
      <c r="AC128" s="6">
        <f>Cleaned_MLB_Stats_Dataset__1[[#This Row],[On Base Percentage]]-_xlfn.XLOOKUP(Cleaned_MLB_Stats_Dataset__1[[#This Row],[Year]],'League Averages'!$A$3:$A$23,'League Averages'!$C$3:$C$23)</f>
        <v>2.2628959276018101E-2</v>
      </c>
      <c r="AD128" s="6">
        <f>Cleaned_MLB_Stats_Dataset__1[[#This Row],[Slugging %]]-_xlfn.XLOOKUP(Cleaned_MLB_Stats_Dataset__1[[#This Row],[Year]],'League Averages'!$A$3:$A$23,'League Averages'!$D$3:$D$23)</f>
        <v>4.1969696969696935E-2</v>
      </c>
      <c r="AE128" s="6">
        <f>Cleaned_MLB_Stats_Dataset__1[[#This Row],[OPS (On Base + Slugging)]]-_xlfn.XLOOKUP(Cleaned_MLB_Stats_Dataset__1[[#This Row],[Year]],'League Averages'!$A$3:$A$23,'League Averages'!$E$3:$E$23)</f>
        <v>6.4598656245715036E-2</v>
      </c>
      <c r="AF128" s="6">
        <f>Cleaned_MLB_Stats_Dataset__1[[#This Row],[ISO (Isolated Power]]-_xlfn.XLOOKUP(Cleaned_MLB_Stats_Dataset__1[[#This Row],[Year]],'League Averages'!$A$3:$A$23,'League Averages'!$F$3:$F$23)</f>
        <v>1.4141414141414149E-2</v>
      </c>
    </row>
    <row r="129" spans="1:32" x14ac:dyDescent="0.2">
      <c r="A129" t="s">
        <v>310</v>
      </c>
      <c r="B129">
        <v>2009</v>
      </c>
      <c r="C129" t="s">
        <v>260</v>
      </c>
      <c r="D129" t="s">
        <v>6</v>
      </c>
      <c r="E129" t="s">
        <v>92</v>
      </c>
      <c r="F129" t="str">
        <f>_xlfn.XLOOKUP(Cleaned_MLB_Stats_Dataset__1[[#This Row],[Position'#]],$B$373:$B$382,$A$373:$A$382)</f>
        <v>2B</v>
      </c>
      <c r="G129">
        <v>4</v>
      </c>
      <c r="H129">
        <v>682</v>
      </c>
      <c r="I129">
        <v>195</v>
      </c>
      <c r="J129">
        <v>37</v>
      </c>
      <c r="K129">
        <v>0</v>
      </c>
      <c r="L129">
        <v>36</v>
      </c>
      <c r="M129">
        <v>103</v>
      </c>
      <c r="N129">
        <v>108</v>
      </c>
      <c r="O129">
        <v>98</v>
      </c>
      <c r="P129">
        <v>42</v>
      </c>
      <c r="Q129">
        <v>1</v>
      </c>
      <c r="R129">
        <v>5</v>
      </c>
      <c r="S129">
        <v>4</v>
      </c>
      <c r="T129">
        <v>1</v>
      </c>
      <c r="U129" s="6">
        <f>Cleaned_MLB_Stats_Dataset__1[[#This Row],[Hits]]/Cleaned_MLB_Stats_Dataset__1[[#This Row],[At Bats]]</f>
        <v>0.28592375366568917</v>
      </c>
      <c r="V129" s="6">
        <f>Cleaned_MLB_Stats_Dataset__1[[#This Row],[Strikeouts]]/(Cleaned_MLB_Stats_Dataset__1[[#This Row],[At Bats]]+Cleaned_MLB_Stats_Dataset__1[[#This Row],[Walks]])</f>
        <v>0.13535911602209943</v>
      </c>
      <c r="W12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6.4471879286694095E-2</v>
      </c>
      <c r="X12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0.330150068212824</v>
      </c>
      <c r="Y12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0.49853372434017595</v>
      </c>
      <c r="Z129" s="6">
        <f>Cleaned_MLB_Stats_Dataset__1[[#This Row],[On Base Percentage]]+Cleaned_MLB_Stats_Dataset__1[[#This Row],[Slugging %]]</f>
        <v>0.82868379255299995</v>
      </c>
      <c r="AA129" s="6">
        <f>Cleaned_MLB_Stats_Dataset__1[[#This Row],[Slugging %]]-Cleaned_MLB_Stats_Dataset__1[[#This Row],[Batting Average]]</f>
        <v>0.21260997067448678</v>
      </c>
      <c r="AB129" s="6">
        <f>Cleaned_MLB_Stats_Dataset__1[[#This Row],[Batting Average]]-_xlfn.XLOOKUP(Cleaned_MLB_Stats_Dataset__1[[#This Row],[Year]],'League Averages'!$A$3:$A$23,'League Averages'!$B$3:$B$23)</f>
        <v>2.3923753665689163E-2</v>
      </c>
      <c r="AC129" s="6">
        <f>Cleaned_MLB_Stats_Dataset__1[[#This Row],[On Base Percentage]]-_xlfn.XLOOKUP(Cleaned_MLB_Stats_Dataset__1[[#This Row],[Year]],'League Averages'!$A$3:$A$23,'League Averages'!$C$3:$C$23)</f>
        <v>-2.8499317871760188E-3</v>
      </c>
      <c r="AD129" s="6">
        <f>Cleaned_MLB_Stats_Dataset__1[[#This Row],[Slugging %]]-_xlfn.XLOOKUP(Cleaned_MLB_Stats_Dataset__1[[#This Row],[Year]],'League Averages'!$A$3:$A$23,'League Averages'!$D$3:$D$23)</f>
        <v>8.0533724340175972E-2</v>
      </c>
      <c r="AE129" s="6">
        <f>Cleaned_MLB_Stats_Dataset__1[[#This Row],[OPS (On Base + Slugging)]]-_xlfn.XLOOKUP(Cleaned_MLB_Stats_Dataset__1[[#This Row],[Year]],'League Averages'!$A$3:$A$23,'League Averages'!$E$3:$E$23)</f>
        <v>7.7683792552999953E-2</v>
      </c>
      <c r="AF129" s="6">
        <f>Cleaned_MLB_Stats_Dataset__1[[#This Row],[ISO (Isolated Power]]-_xlfn.XLOOKUP(Cleaned_MLB_Stats_Dataset__1[[#This Row],[Year]],'League Averages'!$A$3:$A$23,'League Averages'!$F$3:$F$23)</f>
        <v>5.6609970674486781E-2</v>
      </c>
    </row>
    <row r="130" spans="1:32" x14ac:dyDescent="0.2">
      <c r="A130" t="s">
        <v>310</v>
      </c>
      <c r="B130">
        <v>2006</v>
      </c>
      <c r="C130" t="s">
        <v>214</v>
      </c>
      <c r="D130" t="s">
        <v>6</v>
      </c>
      <c r="E130" t="s">
        <v>92</v>
      </c>
      <c r="F130" t="str">
        <f>_xlfn.XLOOKUP(Cleaned_MLB_Stats_Dataset__1[[#This Row],[Position'#]],$B$373:$B$382,$A$373:$A$382)</f>
        <v>CF</v>
      </c>
      <c r="G130">
        <v>8</v>
      </c>
      <c r="H130">
        <v>611</v>
      </c>
      <c r="I130">
        <v>185</v>
      </c>
      <c r="J130">
        <v>40</v>
      </c>
      <c r="K130">
        <v>5</v>
      </c>
      <c r="L130">
        <v>32</v>
      </c>
      <c r="M130">
        <v>91</v>
      </c>
      <c r="N130">
        <v>106</v>
      </c>
      <c r="O130">
        <v>90</v>
      </c>
      <c r="P130">
        <v>54</v>
      </c>
      <c r="Q130">
        <v>0</v>
      </c>
      <c r="R130">
        <v>3</v>
      </c>
      <c r="S130">
        <v>9</v>
      </c>
      <c r="T130">
        <v>0</v>
      </c>
      <c r="U130" s="6">
        <f>Cleaned_MLB_Stats_Dataset__1[[#This Row],[Hits]]/Cleaned_MLB_Stats_Dataset__1[[#This Row],[At Bats]]</f>
        <v>0.30278232405891981</v>
      </c>
      <c r="V130" s="6">
        <f>Cleaned_MLB_Stats_Dataset__1[[#This Row],[Strikeouts]]/(Cleaned_MLB_Stats_Dataset__1[[#This Row],[At Bats]]+Cleaned_MLB_Stats_Dataset__1[[#This Row],[Walks]])</f>
        <v>0.13533834586466165</v>
      </c>
      <c r="W13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8.5329341317365276E-2</v>
      </c>
      <c r="X13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0.35745937961595275</v>
      </c>
      <c r="Y13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0.54173486088379708</v>
      </c>
      <c r="Z130" s="6">
        <f>Cleaned_MLB_Stats_Dataset__1[[#This Row],[On Base Percentage]]+Cleaned_MLB_Stats_Dataset__1[[#This Row],[Slugging %]]</f>
        <v>0.89919424049974983</v>
      </c>
      <c r="AA130" s="6">
        <f>Cleaned_MLB_Stats_Dataset__1[[#This Row],[Slugging %]]-Cleaned_MLB_Stats_Dataset__1[[#This Row],[Batting Average]]</f>
        <v>0.23895253682487727</v>
      </c>
      <c r="AB130" s="6">
        <f>Cleaned_MLB_Stats_Dataset__1[[#This Row],[Batting Average]]-_xlfn.XLOOKUP(Cleaned_MLB_Stats_Dataset__1[[#This Row],[Year]],'League Averages'!$A$3:$A$23,'League Averages'!$B$3:$B$23)</f>
        <v>3.3782324058919788E-2</v>
      </c>
      <c r="AC130" s="6">
        <f>Cleaned_MLB_Stats_Dataset__1[[#This Row],[On Base Percentage]]-_xlfn.XLOOKUP(Cleaned_MLB_Stats_Dataset__1[[#This Row],[Year]],'League Averages'!$A$3:$A$23,'League Averages'!$C$3:$C$23)</f>
        <v>2.1459379615952734E-2</v>
      </c>
      <c r="AD130" s="6">
        <f>Cleaned_MLB_Stats_Dataset__1[[#This Row],[Slugging %]]-_xlfn.XLOOKUP(Cleaned_MLB_Stats_Dataset__1[[#This Row],[Year]],'League Averages'!$A$3:$A$23,'League Averages'!$D$3:$D$23)</f>
        <v>0.10973486088379708</v>
      </c>
      <c r="AE130" s="6">
        <f>Cleaned_MLB_Stats_Dataset__1[[#This Row],[OPS (On Base + Slugging)]]-_xlfn.XLOOKUP(Cleaned_MLB_Stats_Dataset__1[[#This Row],[Year]],'League Averages'!$A$3:$A$23,'League Averages'!$E$3:$E$23)</f>
        <v>0.13119424049974981</v>
      </c>
      <c r="AF130" s="6">
        <f>Cleaned_MLB_Stats_Dataset__1[[#This Row],[ISO (Isolated Power]]-_xlfn.XLOOKUP(Cleaned_MLB_Stats_Dataset__1[[#This Row],[Year]],'League Averages'!$A$3:$A$23,'League Averages'!$F$3:$F$23)</f>
        <v>7.5952536824877265E-2</v>
      </c>
    </row>
    <row r="131" spans="1:32" x14ac:dyDescent="0.2">
      <c r="A131" t="s">
        <v>310</v>
      </c>
      <c r="B131">
        <v>2006</v>
      </c>
      <c r="C131" t="s">
        <v>189</v>
      </c>
      <c r="D131" t="s">
        <v>3</v>
      </c>
      <c r="E131" t="s">
        <v>85</v>
      </c>
      <c r="F131" t="str">
        <f>_xlfn.XLOOKUP(Cleaned_MLB_Stats_Dataset__1[[#This Row],[Position'#]],$B$373:$B$382,$A$373:$A$382)</f>
        <v>SS</v>
      </c>
      <c r="G131">
        <v>6</v>
      </c>
      <c r="H131">
        <v>598</v>
      </c>
      <c r="I131">
        <v>175</v>
      </c>
      <c r="J131">
        <v>40</v>
      </c>
      <c r="K131">
        <v>2</v>
      </c>
      <c r="L131">
        <v>14</v>
      </c>
      <c r="M131">
        <v>100</v>
      </c>
      <c r="N131">
        <v>70</v>
      </c>
      <c r="O131">
        <v>89</v>
      </c>
      <c r="P131">
        <v>62</v>
      </c>
      <c r="Q131">
        <v>0</v>
      </c>
      <c r="R131">
        <v>3</v>
      </c>
      <c r="S131">
        <v>2</v>
      </c>
      <c r="T131">
        <v>8</v>
      </c>
      <c r="U131" s="6">
        <f>Cleaned_MLB_Stats_Dataset__1[[#This Row],[Hits]]/Cleaned_MLB_Stats_Dataset__1[[#This Row],[At Bats]]</f>
        <v>0.29264214046822745</v>
      </c>
      <c r="V131" s="6">
        <f>Cleaned_MLB_Stats_Dataset__1[[#This Row],[Strikeouts]]/(Cleaned_MLB_Stats_Dataset__1[[#This Row],[At Bats]]+Cleaned_MLB_Stats_Dataset__1[[#This Row],[Walks]])</f>
        <v>0.13484848484848486</v>
      </c>
      <c r="W13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9.8039215686274508E-2</v>
      </c>
      <c r="X13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0.36090225563909772</v>
      </c>
      <c r="Y13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0.43645484949832775</v>
      </c>
      <c r="Z131" s="6">
        <f>Cleaned_MLB_Stats_Dataset__1[[#This Row],[On Base Percentage]]+Cleaned_MLB_Stats_Dataset__1[[#This Row],[Slugging %]]</f>
        <v>0.79735710513742553</v>
      </c>
      <c r="AA131" s="6">
        <f>Cleaned_MLB_Stats_Dataset__1[[#This Row],[Slugging %]]-Cleaned_MLB_Stats_Dataset__1[[#This Row],[Batting Average]]</f>
        <v>0.14381270903010029</v>
      </c>
      <c r="AB131" s="6">
        <f>Cleaned_MLB_Stats_Dataset__1[[#This Row],[Batting Average]]-_xlfn.XLOOKUP(Cleaned_MLB_Stats_Dataset__1[[#This Row],[Year]],'League Averages'!$A$3:$A$23,'League Averages'!$B$3:$B$23)</f>
        <v>2.3642140468227435E-2</v>
      </c>
      <c r="AC131" s="6">
        <f>Cleaned_MLB_Stats_Dataset__1[[#This Row],[On Base Percentage]]-_xlfn.XLOOKUP(Cleaned_MLB_Stats_Dataset__1[[#This Row],[Year]],'League Averages'!$A$3:$A$23,'League Averages'!$C$3:$C$23)</f>
        <v>2.4902255639097703E-2</v>
      </c>
      <c r="AD131" s="6">
        <f>Cleaned_MLB_Stats_Dataset__1[[#This Row],[Slugging %]]-_xlfn.XLOOKUP(Cleaned_MLB_Stats_Dataset__1[[#This Row],[Year]],'League Averages'!$A$3:$A$23,'League Averages'!$D$3:$D$23)</f>
        <v>4.4548494983277509E-3</v>
      </c>
      <c r="AE131" s="6">
        <f>Cleaned_MLB_Stats_Dataset__1[[#This Row],[OPS (On Base + Slugging)]]-_xlfn.XLOOKUP(Cleaned_MLB_Stats_Dataset__1[[#This Row],[Year]],'League Averages'!$A$3:$A$23,'League Averages'!$E$3:$E$23)</f>
        <v>2.935710513742551E-2</v>
      </c>
      <c r="AF131" s="6">
        <f>Cleaned_MLB_Stats_Dataset__1[[#This Row],[ISO (Isolated Power]]-_xlfn.XLOOKUP(Cleaned_MLB_Stats_Dataset__1[[#This Row],[Year]],'League Averages'!$A$3:$A$23,'League Averages'!$F$3:$F$23)</f>
        <v>-1.9187290969899712E-2</v>
      </c>
    </row>
    <row r="132" spans="1:32" x14ac:dyDescent="0.2">
      <c r="A132" t="s">
        <v>310</v>
      </c>
      <c r="B132">
        <v>2010</v>
      </c>
      <c r="C132" t="s">
        <v>272</v>
      </c>
      <c r="D132" t="s">
        <v>3</v>
      </c>
      <c r="E132" t="s">
        <v>85</v>
      </c>
      <c r="F132" t="str">
        <f>_xlfn.XLOOKUP(Cleaned_MLB_Stats_Dataset__1[[#This Row],[Position'#]],$B$373:$B$382,$A$373:$A$382)</f>
        <v>2B</v>
      </c>
      <c r="G132">
        <v>4</v>
      </c>
      <c r="H132">
        <v>599</v>
      </c>
      <c r="I132">
        <v>184</v>
      </c>
      <c r="J132">
        <v>40</v>
      </c>
      <c r="K132">
        <v>3</v>
      </c>
      <c r="L132">
        <v>15</v>
      </c>
      <c r="M132">
        <v>100</v>
      </c>
      <c r="N132">
        <v>66</v>
      </c>
      <c r="O132">
        <v>86</v>
      </c>
      <c r="P132">
        <v>40</v>
      </c>
      <c r="Q132">
        <v>2</v>
      </c>
      <c r="R132">
        <v>3</v>
      </c>
      <c r="S132">
        <v>6</v>
      </c>
      <c r="T132">
        <v>3</v>
      </c>
      <c r="U132" s="6">
        <f>Cleaned_MLB_Stats_Dataset__1[[#This Row],[Hits]]/Cleaned_MLB_Stats_Dataset__1[[#This Row],[At Bats]]</f>
        <v>0.30717863105175292</v>
      </c>
      <c r="V132" s="6">
        <f>Cleaned_MLB_Stats_Dataset__1[[#This Row],[Strikeouts]]/(Cleaned_MLB_Stats_Dataset__1[[#This Row],[At Bats]]+Cleaned_MLB_Stats_Dataset__1[[#This Row],[Walks]])</f>
        <v>0.13458528951486698</v>
      </c>
      <c r="W13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6.6978193146417439E-2</v>
      </c>
      <c r="X13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0.35030864197530864</v>
      </c>
      <c r="Y13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0.45909849749582637</v>
      </c>
      <c r="Z132" s="6">
        <f>Cleaned_MLB_Stats_Dataset__1[[#This Row],[On Base Percentage]]+Cleaned_MLB_Stats_Dataset__1[[#This Row],[Slugging %]]</f>
        <v>0.80940713947113507</v>
      </c>
      <c r="AA132" s="6">
        <f>Cleaned_MLB_Stats_Dataset__1[[#This Row],[Slugging %]]-Cleaned_MLB_Stats_Dataset__1[[#This Row],[Batting Average]]</f>
        <v>0.15191986644407346</v>
      </c>
      <c r="AB132" s="6">
        <f>Cleaned_MLB_Stats_Dataset__1[[#This Row],[Batting Average]]-_xlfn.XLOOKUP(Cleaned_MLB_Stats_Dataset__1[[#This Row],[Year]],'League Averages'!$A$3:$A$23,'League Averages'!$B$3:$B$23)</f>
        <v>5.0178631051752909E-2</v>
      </c>
      <c r="AC132" s="6">
        <f>Cleaned_MLB_Stats_Dataset__1[[#This Row],[On Base Percentage]]-_xlfn.XLOOKUP(Cleaned_MLB_Stats_Dataset__1[[#This Row],[Year]],'League Averages'!$A$3:$A$23,'League Averages'!$C$3:$C$23)</f>
        <v>2.5308641975308632E-2</v>
      </c>
      <c r="AD132" s="6">
        <f>Cleaned_MLB_Stats_Dataset__1[[#This Row],[Slugging %]]-_xlfn.XLOOKUP(Cleaned_MLB_Stats_Dataset__1[[#This Row],[Year]],'League Averages'!$A$3:$A$23,'League Averages'!$D$3:$D$23)</f>
        <v>5.6098497495826349E-2</v>
      </c>
      <c r="AE132" s="6">
        <f>Cleaned_MLB_Stats_Dataset__1[[#This Row],[OPS (On Base + Slugging)]]-_xlfn.XLOOKUP(Cleaned_MLB_Stats_Dataset__1[[#This Row],[Year]],'League Averages'!$A$3:$A$23,'League Averages'!$E$3:$E$23)</f>
        <v>8.1407139471135093E-2</v>
      </c>
      <c r="AF132" s="6">
        <f>Cleaned_MLB_Stats_Dataset__1[[#This Row],[ISO (Isolated Power]]-_xlfn.XLOOKUP(Cleaned_MLB_Stats_Dataset__1[[#This Row],[Year]],'League Averages'!$A$3:$A$23,'League Averages'!$F$3:$F$23)</f>
        <v>5.9198664440734683E-3</v>
      </c>
    </row>
    <row r="133" spans="1:32" x14ac:dyDescent="0.2">
      <c r="A133" t="s">
        <v>310</v>
      </c>
      <c r="B133">
        <v>2012</v>
      </c>
      <c r="C133" t="s">
        <v>198</v>
      </c>
      <c r="D133" t="s">
        <v>6</v>
      </c>
      <c r="E133" t="s">
        <v>68</v>
      </c>
      <c r="F133" t="str">
        <f>_xlfn.XLOOKUP(Cleaned_MLB_Stats_Dataset__1[[#This Row],[Position'#]],$B$373:$B$382,$A$373:$A$382)</f>
        <v>DH</v>
      </c>
      <c r="G133">
        <v>10</v>
      </c>
      <c r="H133">
        <v>324</v>
      </c>
      <c r="I133">
        <v>103</v>
      </c>
      <c r="J133">
        <v>26</v>
      </c>
      <c r="K133">
        <v>0</v>
      </c>
      <c r="L133">
        <v>23</v>
      </c>
      <c r="M133">
        <v>65</v>
      </c>
      <c r="N133">
        <v>60</v>
      </c>
      <c r="O133">
        <v>51</v>
      </c>
      <c r="P133">
        <v>56</v>
      </c>
      <c r="Q133">
        <v>13</v>
      </c>
      <c r="R133">
        <v>0</v>
      </c>
      <c r="S133">
        <v>3</v>
      </c>
      <c r="T133">
        <v>0</v>
      </c>
      <c r="U133" s="6">
        <f>Cleaned_MLB_Stats_Dataset__1[[#This Row],[Hits]]/Cleaned_MLB_Stats_Dataset__1[[#This Row],[At Bats]]</f>
        <v>0.31790123456790126</v>
      </c>
      <c r="V133" s="6">
        <f>Cleaned_MLB_Stats_Dataset__1[[#This Row],[Strikeouts]]/(Cleaned_MLB_Stats_Dataset__1[[#This Row],[At Bats]]+Cleaned_MLB_Stats_Dataset__1[[#This Row],[Walks]])</f>
        <v>0.13421052631578947</v>
      </c>
      <c r="W13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0.14736842105263157</v>
      </c>
      <c r="X13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0.41514360313315929</v>
      </c>
      <c r="Y13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0.61111111111111116</v>
      </c>
      <c r="Z133" s="6">
        <f>Cleaned_MLB_Stats_Dataset__1[[#This Row],[On Base Percentage]]+Cleaned_MLB_Stats_Dataset__1[[#This Row],[Slugging %]]</f>
        <v>1.0262547142442704</v>
      </c>
      <c r="AA133" s="6">
        <f>Cleaned_MLB_Stats_Dataset__1[[#This Row],[Slugging %]]-Cleaned_MLB_Stats_Dataset__1[[#This Row],[Batting Average]]</f>
        <v>0.2932098765432099</v>
      </c>
      <c r="AB133" s="6">
        <f>Cleaned_MLB_Stats_Dataset__1[[#This Row],[Batting Average]]-_xlfn.XLOOKUP(Cleaned_MLB_Stats_Dataset__1[[#This Row],[Year]],'League Averages'!$A$3:$A$23,'League Averages'!$B$3:$B$23)</f>
        <v>6.2901234567901254E-2</v>
      </c>
      <c r="AC133" s="6">
        <f>Cleaned_MLB_Stats_Dataset__1[[#This Row],[On Base Percentage]]-_xlfn.XLOOKUP(Cleaned_MLB_Stats_Dataset__1[[#This Row],[Year]],'League Averages'!$A$3:$A$23,'League Averages'!$C$3:$C$23)</f>
        <v>9.6143603133159283E-2</v>
      </c>
      <c r="AD133" s="6">
        <f>Cleaned_MLB_Stats_Dataset__1[[#This Row],[Slugging %]]-_xlfn.XLOOKUP(Cleaned_MLB_Stats_Dataset__1[[#This Row],[Year]],'League Averages'!$A$3:$A$23,'League Averages'!$D$3:$D$23)</f>
        <v>0.20611111111111113</v>
      </c>
      <c r="AE133" s="6">
        <f>Cleaned_MLB_Stats_Dataset__1[[#This Row],[OPS (On Base + Slugging)]]-_xlfn.XLOOKUP(Cleaned_MLB_Stats_Dataset__1[[#This Row],[Year]],'League Averages'!$A$3:$A$23,'League Averages'!$E$3:$E$23)</f>
        <v>0.30225471424427042</v>
      </c>
      <c r="AF133" s="6">
        <f>Cleaned_MLB_Stats_Dataset__1[[#This Row],[ISO (Isolated Power]]-_xlfn.XLOOKUP(Cleaned_MLB_Stats_Dataset__1[[#This Row],[Year]],'League Averages'!$A$3:$A$23,'League Averages'!$F$3:$F$23)</f>
        <v>0.14320987654320991</v>
      </c>
    </row>
    <row r="134" spans="1:32" x14ac:dyDescent="0.2">
      <c r="A134" t="s">
        <v>310</v>
      </c>
      <c r="B134">
        <v>2011</v>
      </c>
      <c r="C134" t="s">
        <v>273</v>
      </c>
      <c r="D134" t="s">
        <v>3</v>
      </c>
      <c r="E134" t="s">
        <v>164</v>
      </c>
      <c r="F134" t="str">
        <f>_xlfn.XLOOKUP(Cleaned_MLB_Stats_Dataset__1[[#This Row],[Position'#]],$B$373:$B$382,$A$373:$A$382)</f>
        <v>SS</v>
      </c>
      <c r="G134">
        <v>6</v>
      </c>
      <c r="H134">
        <v>537</v>
      </c>
      <c r="I134">
        <v>162</v>
      </c>
      <c r="J134">
        <v>36</v>
      </c>
      <c r="K134">
        <v>2</v>
      </c>
      <c r="L134">
        <v>30</v>
      </c>
      <c r="M134">
        <v>81</v>
      </c>
      <c r="N134">
        <v>105</v>
      </c>
      <c r="O134">
        <v>79</v>
      </c>
      <c r="P134">
        <v>59</v>
      </c>
      <c r="Q134">
        <v>12</v>
      </c>
      <c r="R134">
        <v>4</v>
      </c>
      <c r="S134">
        <v>5</v>
      </c>
      <c r="T134">
        <v>1</v>
      </c>
      <c r="U134" s="6">
        <f>Cleaned_MLB_Stats_Dataset__1[[#This Row],[Hits]]/Cleaned_MLB_Stats_Dataset__1[[#This Row],[At Bats]]</f>
        <v>0.3016759776536313</v>
      </c>
      <c r="V134" s="6">
        <f>Cleaned_MLB_Stats_Dataset__1[[#This Row],[Strikeouts]]/(Cleaned_MLB_Stats_Dataset__1[[#This Row],[At Bats]]+Cleaned_MLB_Stats_Dataset__1[[#This Row],[Walks]])</f>
        <v>0.1325503355704698</v>
      </c>
      <c r="W13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0.105</v>
      </c>
      <c r="X13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0.37190082644628097</v>
      </c>
      <c r="Y13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0.54376163873370575</v>
      </c>
      <c r="Z134" s="6">
        <f>Cleaned_MLB_Stats_Dataset__1[[#This Row],[On Base Percentage]]+Cleaned_MLB_Stats_Dataset__1[[#This Row],[Slugging %]]</f>
        <v>0.91566246517998673</v>
      </c>
      <c r="AA134" s="6">
        <f>Cleaned_MLB_Stats_Dataset__1[[#This Row],[Slugging %]]-Cleaned_MLB_Stats_Dataset__1[[#This Row],[Batting Average]]</f>
        <v>0.24208566108007445</v>
      </c>
      <c r="AB134" s="6">
        <f>Cleaned_MLB_Stats_Dataset__1[[#This Row],[Batting Average]]-_xlfn.XLOOKUP(Cleaned_MLB_Stats_Dataset__1[[#This Row],[Year]],'League Averages'!$A$3:$A$23,'League Averages'!$B$3:$B$23)</f>
        <v>4.6675977653631295E-2</v>
      </c>
      <c r="AC134" s="6">
        <f>Cleaned_MLB_Stats_Dataset__1[[#This Row],[On Base Percentage]]-_xlfn.XLOOKUP(Cleaned_MLB_Stats_Dataset__1[[#This Row],[Year]],'League Averages'!$A$3:$A$23,'League Averages'!$C$3:$C$23)</f>
        <v>5.0900826446280967E-2</v>
      </c>
      <c r="AD134" s="6">
        <f>Cleaned_MLB_Stats_Dataset__1[[#This Row],[Slugging %]]-_xlfn.XLOOKUP(Cleaned_MLB_Stats_Dataset__1[[#This Row],[Year]],'League Averages'!$A$3:$A$23,'League Averages'!$D$3:$D$23)</f>
        <v>0.14476163873370573</v>
      </c>
      <c r="AE134" s="6">
        <f>Cleaned_MLB_Stats_Dataset__1[[#This Row],[OPS (On Base + Slugging)]]-_xlfn.XLOOKUP(Cleaned_MLB_Stats_Dataset__1[[#This Row],[Year]],'League Averages'!$A$3:$A$23,'League Averages'!$E$3:$E$23)</f>
        <v>0.19566246517998676</v>
      </c>
      <c r="AF134" s="6">
        <f>Cleaned_MLB_Stats_Dataset__1[[#This Row],[ISO (Isolated Power]]-_xlfn.XLOOKUP(Cleaned_MLB_Stats_Dataset__1[[#This Row],[Year]],'League Averages'!$A$3:$A$23,'League Averages'!$F$3:$F$23)</f>
        <v>9.8085661080074465E-2</v>
      </c>
    </row>
    <row r="135" spans="1:32" x14ac:dyDescent="0.2">
      <c r="A135" t="s">
        <v>310</v>
      </c>
      <c r="B135">
        <v>2005</v>
      </c>
      <c r="C135" t="s">
        <v>226</v>
      </c>
      <c r="D135" t="s">
        <v>6</v>
      </c>
      <c r="E135" t="s">
        <v>78</v>
      </c>
      <c r="F135" t="str">
        <f>_xlfn.XLOOKUP(Cleaned_MLB_Stats_Dataset__1[[#This Row],[Position'#]],$B$373:$B$382,$A$373:$A$382)</f>
        <v>2B</v>
      </c>
      <c r="G135">
        <v>4</v>
      </c>
      <c r="H135">
        <v>561</v>
      </c>
      <c r="I135">
        <v>176</v>
      </c>
      <c r="J135">
        <v>45</v>
      </c>
      <c r="K135">
        <v>7</v>
      </c>
      <c r="L135">
        <v>18</v>
      </c>
      <c r="M135">
        <v>92</v>
      </c>
      <c r="N135">
        <v>73</v>
      </c>
      <c r="O135">
        <v>83</v>
      </c>
      <c r="P135">
        <v>67</v>
      </c>
      <c r="Q135">
        <v>5</v>
      </c>
      <c r="R135">
        <v>3</v>
      </c>
      <c r="S135">
        <v>4</v>
      </c>
      <c r="T135">
        <v>5</v>
      </c>
      <c r="U135" s="6">
        <f>Cleaned_MLB_Stats_Dataset__1[[#This Row],[Hits]]/Cleaned_MLB_Stats_Dataset__1[[#This Row],[At Bats]]</f>
        <v>0.31372549019607843</v>
      </c>
      <c r="V135" s="6">
        <f>Cleaned_MLB_Stats_Dataset__1[[#This Row],[Strikeouts]]/(Cleaned_MLB_Stats_Dataset__1[[#This Row],[At Bats]]+Cleaned_MLB_Stats_Dataset__1[[#This Row],[Walks]])</f>
        <v>0.1321656050955414</v>
      </c>
      <c r="W13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0.11093502377179081</v>
      </c>
      <c r="X13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0.38740157480314963</v>
      </c>
      <c r="Y13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0.51515151515151514</v>
      </c>
      <c r="Z135" s="6">
        <f>Cleaned_MLB_Stats_Dataset__1[[#This Row],[On Base Percentage]]+Cleaned_MLB_Stats_Dataset__1[[#This Row],[Slugging %]]</f>
        <v>0.90255308995466477</v>
      </c>
      <c r="AA135" s="6">
        <f>Cleaned_MLB_Stats_Dataset__1[[#This Row],[Slugging %]]-Cleaned_MLB_Stats_Dataset__1[[#This Row],[Batting Average]]</f>
        <v>0.20142602495543671</v>
      </c>
      <c r="AB135" s="6">
        <f>Cleaned_MLB_Stats_Dataset__1[[#This Row],[Batting Average]]-_xlfn.XLOOKUP(Cleaned_MLB_Stats_Dataset__1[[#This Row],[Year]],'League Averages'!$A$3:$A$23,'League Averages'!$B$3:$B$23)</f>
        <v>4.9725490196078415E-2</v>
      </c>
      <c r="AC135" s="6">
        <f>Cleaned_MLB_Stats_Dataset__1[[#This Row],[On Base Percentage]]-_xlfn.XLOOKUP(Cleaned_MLB_Stats_Dataset__1[[#This Row],[Year]],'League Averages'!$A$3:$A$23,'League Averages'!$C$3:$C$23)</f>
        <v>5.7401574803149613E-2</v>
      </c>
      <c r="AD135" s="6">
        <f>Cleaned_MLB_Stats_Dataset__1[[#This Row],[Slugging %]]-_xlfn.XLOOKUP(Cleaned_MLB_Stats_Dataset__1[[#This Row],[Year]],'League Averages'!$A$3:$A$23,'League Averages'!$D$3:$D$23)</f>
        <v>9.6151515151515154E-2</v>
      </c>
      <c r="AE135" s="6">
        <f>Cleaned_MLB_Stats_Dataset__1[[#This Row],[OPS (On Base + Slugging)]]-_xlfn.XLOOKUP(Cleaned_MLB_Stats_Dataset__1[[#This Row],[Year]],'League Averages'!$A$3:$A$23,'League Averages'!$E$3:$E$23)</f>
        <v>0.15355308995466477</v>
      </c>
      <c r="AF135" s="6">
        <f>Cleaned_MLB_Stats_Dataset__1[[#This Row],[ISO (Isolated Power]]-_xlfn.XLOOKUP(Cleaned_MLB_Stats_Dataset__1[[#This Row],[Year]],'League Averages'!$A$3:$A$23,'League Averages'!$F$3:$F$23)</f>
        <v>4.6426024955436712E-2</v>
      </c>
    </row>
    <row r="136" spans="1:32" x14ac:dyDescent="0.2">
      <c r="A136" t="s">
        <v>310</v>
      </c>
      <c r="B136">
        <v>2008</v>
      </c>
      <c r="C136" t="s">
        <v>177</v>
      </c>
      <c r="D136" t="s">
        <v>6</v>
      </c>
      <c r="E136" t="s">
        <v>71</v>
      </c>
      <c r="F136" t="str">
        <f>_xlfn.XLOOKUP(Cleaned_MLB_Stats_Dataset__1[[#This Row],[Position'#]],$B$373:$B$382,$A$373:$A$382)</f>
        <v>SS</v>
      </c>
      <c r="G136">
        <v>6</v>
      </c>
      <c r="H136">
        <v>596</v>
      </c>
      <c r="I136">
        <v>179</v>
      </c>
      <c r="J136">
        <v>25</v>
      </c>
      <c r="K136">
        <v>3</v>
      </c>
      <c r="L136">
        <v>11</v>
      </c>
      <c r="M136">
        <v>88</v>
      </c>
      <c r="N136">
        <v>69</v>
      </c>
      <c r="O136">
        <v>85</v>
      </c>
      <c r="P136">
        <v>52</v>
      </c>
      <c r="Q136">
        <v>0</v>
      </c>
      <c r="R136">
        <v>9</v>
      </c>
      <c r="S136">
        <v>4</v>
      </c>
      <c r="T136">
        <v>7</v>
      </c>
      <c r="U136" s="6">
        <f>Cleaned_MLB_Stats_Dataset__1[[#This Row],[Hits]]/Cleaned_MLB_Stats_Dataset__1[[#This Row],[At Bats]]</f>
        <v>0.30033557046979864</v>
      </c>
      <c r="V136" s="6">
        <f>Cleaned_MLB_Stats_Dataset__1[[#This Row],[Strikeouts]]/(Cleaned_MLB_Stats_Dataset__1[[#This Row],[At Bats]]+Cleaned_MLB_Stats_Dataset__1[[#This Row],[Walks]])</f>
        <v>0.13117283950617284</v>
      </c>
      <c r="W13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9.2846270928462704E-2</v>
      </c>
      <c r="X13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0.36308623298033282</v>
      </c>
      <c r="Y13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0.40771812080536912</v>
      </c>
      <c r="Z136" s="6">
        <f>Cleaned_MLB_Stats_Dataset__1[[#This Row],[On Base Percentage]]+Cleaned_MLB_Stats_Dataset__1[[#This Row],[Slugging %]]</f>
        <v>0.77080435378570189</v>
      </c>
      <c r="AA136" s="6">
        <f>Cleaned_MLB_Stats_Dataset__1[[#This Row],[Slugging %]]-Cleaned_MLB_Stats_Dataset__1[[#This Row],[Batting Average]]</f>
        <v>0.10738255033557048</v>
      </c>
      <c r="AB136" s="6">
        <f>Cleaned_MLB_Stats_Dataset__1[[#This Row],[Batting Average]]-_xlfn.XLOOKUP(Cleaned_MLB_Stats_Dataset__1[[#This Row],[Year]],'League Averages'!$A$3:$A$23,'League Averages'!$B$3:$B$23)</f>
        <v>3.6335570469798628E-2</v>
      </c>
      <c r="AC136" s="6">
        <f>Cleaned_MLB_Stats_Dataset__1[[#This Row],[On Base Percentage]]-_xlfn.XLOOKUP(Cleaned_MLB_Stats_Dataset__1[[#This Row],[Year]],'League Averages'!$A$3:$A$23,'League Averages'!$C$3:$C$23)</f>
        <v>3.0086232980332805E-2</v>
      </c>
      <c r="AD136" s="6">
        <f>Cleaned_MLB_Stats_Dataset__1[[#This Row],[Slugging %]]-_xlfn.XLOOKUP(Cleaned_MLB_Stats_Dataset__1[[#This Row],[Year]],'League Averages'!$A$3:$A$23,'League Averages'!$D$3:$D$23)</f>
        <v>-8.281879194630859E-3</v>
      </c>
      <c r="AE136" s="6">
        <f>Cleaned_MLB_Stats_Dataset__1[[#This Row],[OPS (On Base + Slugging)]]-_xlfn.XLOOKUP(Cleaned_MLB_Stats_Dataset__1[[#This Row],[Year]],'League Averages'!$A$3:$A$23,'League Averages'!$E$3:$E$23)</f>
        <v>2.1804353785701891E-2</v>
      </c>
      <c r="AF136" s="6">
        <f>Cleaned_MLB_Stats_Dataset__1[[#This Row],[ISO (Isolated Power]]-_xlfn.XLOOKUP(Cleaned_MLB_Stats_Dataset__1[[#This Row],[Year]],'League Averages'!$A$3:$A$23,'League Averages'!$F$3:$F$23)</f>
        <v>-4.4617449664429515E-2</v>
      </c>
    </row>
    <row r="137" spans="1:32" x14ac:dyDescent="0.2">
      <c r="A137" t="s">
        <v>310</v>
      </c>
      <c r="B137">
        <v>2012</v>
      </c>
      <c r="C137" t="s">
        <v>205</v>
      </c>
      <c r="D137" t="s">
        <v>6</v>
      </c>
      <c r="E137" t="s">
        <v>90</v>
      </c>
      <c r="F137" t="str">
        <f>_xlfn.XLOOKUP(Cleaned_MLB_Stats_Dataset__1[[#This Row],[Position'#]],$B$373:$B$382,$A$373:$A$382)</f>
        <v>3B</v>
      </c>
      <c r="G137">
        <v>5</v>
      </c>
      <c r="H137">
        <v>604</v>
      </c>
      <c r="I137">
        <v>194</v>
      </c>
      <c r="J137">
        <v>33</v>
      </c>
      <c r="K137">
        <v>2</v>
      </c>
      <c r="L137">
        <v>36</v>
      </c>
      <c r="M137">
        <v>95</v>
      </c>
      <c r="N137">
        <v>102</v>
      </c>
      <c r="O137">
        <v>82</v>
      </c>
      <c r="P137">
        <v>36</v>
      </c>
      <c r="Q137">
        <v>8</v>
      </c>
      <c r="R137">
        <v>5</v>
      </c>
      <c r="S137">
        <v>9</v>
      </c>
      <c r="T137">
        <v>0</v>
      </c>
      <c r="U137" s="6">
        <f>Cleaned_MLB_Stats_Dataset__1[[#This Row],[Hits]]/Cleaned_MLB_Stats_Dataset__1[[#This Row],[At Bats]]</f>
        <v>0.32119205298013243</v>
      </c>
      <c r="V137" s="6">
        <f>Cleaned_MLB_Stats_Dataset__1[[#This Row],[Strikeouts]]/(Cleaned_MLB_Stats_Dataset__1[[#This Row],[At Bats]]+Cleaned_MLB_Stats_Dataset__1[[#This Row],[Walks]])</f>
        <v>0.12812499999999999</v>
      </c>
      <c r="W13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6.3565891472868216E-2</v>
      </c>
      <c r="X13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0.35932721712538224</v>
      </c>
      <c r="Y13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0.5612582781456954</v>
      </c>
      <c r="Z137" s="6">
        <f>Cleaned_MLB_Stats_Dataset__1[[#This Row],[On Base Percentage]]+Cleaned_MLB_Stats_Dataset__1[[#This Row],[Slugging %]]</f>
        <v>0.92058549527107769</v>
      </c>
      <c r="AA137" s="6">
        <f>Cleaned_MLB_Stats_Dataset__1[[#This Row],[Slugging %]]-Cleaned_MLB_Stats_Dataset__1[[#This Row],[Batting Average]]</f>
        <v>0.24006622516556297</v>
      </c>
      <c r="AB137" s="6">
        <f>Cleaned_MLB_Stats_Dataset__1[[#This Row],[Batting Average]]-_xlfn.XLOOKUP(Cleaned_MLB_Stats_Dataset__1[[#This Row],[Year]],'League Averages'!$A$3:$A$23,'League Averages'!$B$3:$B$23)</f>
        <v>6.6192052980132421E-2</v>
      </c>
      <c r="AC137" s="6">
        <f>Cleaned_MLB_Stats_Dataset__1[[#This Row],[On Base Percentage]]-_xlfn.XLOOKUP(Cleaned_MLB_Stats_Dataset__1[[#This Row],[Year]],'League Averages'!$A$3:$A$23,'League Averages'!$C$3:$C$23)</f>
        <v>4.0327217125382231E-2</v>
      </c>
      <c r="AD137" s="6">
        <f>Cleaned_MLB_Stats_Dataset__1[[#This Row],[Slugging %]]-_xlfn.XLOOKUP(Cleaned_MLB_Stats_Dataset__1[[#This Row],[Year]],'League Averages'!$A$3:$A$23,'League Averages'!$D$3:$D$23)</f>
        <v>0.15625827814569537</v>
      </c>
      <c r="AE137" s="6">
        <f>Cleaned_MLB_Stats_Dataset__1[[#This Row],[OPS (On Base + Slugging)]]-_xlfn.XLOOKUP(Cleaned_MLB_Stats_Dataset__1[[#This Row],[Year]],'League Averages'!$A$3:$A$23,'League Averages'!$E$3:$E$23)</f>
        <v>0.19658549527107771</v>
      </c>
      <c r="AF137" s="6">
        <f>Cleaned_MLB_Stats_Dataset__1[[#This Row],[ISO (Isolated Power]]-_xlfn.XLOOKUP(Cleaned_MLB_Stats_Dataset__1[[#This Row],[Year]],'League Averages'!$A$3:$A$23,'League Averages'!$F$3:$F$23)</f>
        <v>9.006622516556298E-2</v>
      </c>
    </row>
    <row r="138" spans="1:32" x14ac:dyDescent="0.2">
      <c r="A138" t="s">
        <v>310</v>
      </c>
      <c r="B138">
        <v>2009</v>
      </c>
      <c r="C138" t="s">
        <v>177</v>
      </c>
      <c r="D138" t="s">
        <v>6</v>
      </c>
      <c r="E138" t="s">
        <v>71</v>
      </c>
      <c r="F138" t="str">
        <f>_xlfn.XLOOKUP(Cleaned_MLB_Stats_Dataset__1[[#This Row],[Position'#]],$B$373:$B$382,$A$373:$A$382)</f>
        <v>SS</v>
      </c>
      <c r="G138">
        <v>6</v>
      </c>
      <c r="H138">
        <v>634</v>
      </c>
      <c r="I138">
        <v>212</v>
      </c>
      <c r="J138">
        <v>27</v>
      </c>
      <c r="K138">
        <v>1</v>
      </c>
      <c r="L138">
        <v>18</v>
      </c>
      <c r="M138">
        <v>107</v>
      </c>
      <c r="N138">
        <v>66</v>
      </c>
      <c r="O138">
        <v>90</v>
      </c>
      <c r="P138">
        <v>72</v>
      </c>
      <c r="Q138">
        <v>4</v>
      </c>
      <c r="R138">
        <v>5</v>
      </c>
      <c r="S138">
        <v>1</v>
      </c>
      <c r="T138">
        <v>4</v>
      </c>
      <c r="U138" s="6">
        <f>Cleaned_MLB_Stats_Dataset__1[[#This Row],[Hits]]/Cleaned_MLB_Stats_Dataset__1[[#This Row],[At Bats]]</f>
        <v>0.33438485804416401</v>
      </c>
      <c r="V138" s="6">
        <f>Cleaned_MLB_Stats_Dataset__1[[#This Row],[Strikeouts]]/(Cleaned_MLB_Stats_Dataset__1[[#This Row],[At Bats]]+Cleaned_MLB_Stats_Dataset__1[[#This Row],[Walks]])</f>
        <v>0.12747875354107649</v>
      </c>
      <c r="W13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0.10829817158931083</v>
      </c>
      <c r="X13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0.4058988764044944</v>
      </c>
      <c r="Y13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0.46529968454258674</v>
      </c>
      <c r="Z138" s="6">
        <f>Cleaned_MLB_Stats_Dataset__1[[#This Row],[On Base Percentage]]+Cleaned_MLB_Stats_Dataset__1[[#This Row],[Slugging %]]</f>
        <v>0.87119856094708115</v>
      </c>
      <c r="AA138" s="6">
        <f>Cleaned_MLB_Stats_Dataset__1[[#This Row],[Slugging %]]-Cleaned_MLB_Stats_Dataset__1[[#This Row],[Batting Average]]</f>
        <v>0.13091482649842273</v>
      </c>
      <c r="AB138" s="6">
        <f>Cleaned_MLB_Stats_Dataset__1[[#This Row],[Batting Average]]-_xlfn.XLOOKUP(Cleaned_MLB_Stats_Dataset__1[[#This Row],[Year]],'League Averages'!$A$3:$A$23,'League Averages'!$B$3:$B$23)</f>
        <v>7.2384858044164002E-2</v>
      </c>
      <c r="AC138" s="6">
        <f>Cleaned_MLB_Stats_Dataset__1[[#This Row],[On Base Percentage]]-_xlfn.XLOOKUP(Cleaned_MLB_Stats_Dataset__1[[#This Row],[Year]],'League Averages'!$A$3:$A$23,'League Averages'!$C$3:$C$23)</f>
        <v>7.2898876404494384E-2</v>
      </c>
      <c r="AD138" s="6">
        <f>Cleaned_MLB_Stats_Dataset__1[[#This Row],[Slugging %]]-_xlfn.XLOOKUP(Cleaned_MLB_Stats_Dataset__1[[#This Row],[Year]],'League Averages'!$A$3:$A$23,'League Averages'!$D$3:$D$23)</f>
        <v>4.7299684542586762E-2</v>
      </c>
      <c r="AE138" s="6">
        <f>Cleaned_MLB_Stats_Dataset__1[[#This Row],[OPS (On Base + Slugging)]]-_xlfn.XLOOKUP(Cleaned_MLB_Stats_Dataset__1[[#This Row],[Year]],'League Averages'!$A$3:$A$23,'League Averages'!$E$3:$E$23)</f>
        <v>0.12019856094708115</v>
      </c>
      <c r="AF138" s="6">
        <f>Cleaned_MLB_Stats_Dataset__1[[#This Row],[ISO (Isolated Power]]-_xlfn.XLOOKUP(Cleaned_MLB_Stats_Dataset__1[[#This Row],[Year]],'League Averages'!$A$3:$A$23,'League Averages'!$F$3:$F$23)</f>
        <v>-2.5085173501577268E-2</v>
      </c>
    </row>
    <row r="139" spans="1:32" x14ac:dyDescent="0.2">
      <c r="A139" t="s">
        <v>310</v>
      </c>
      <c r="B139">
        <v>2012</v>
      </c>
      <c r="C139" t="s">
        <v>255</v>
      </c>
      <c r="D139" t="s">
        <v>3</v>
      </c>
      <c r="E139" t="s">
        <v>79</v>
      </c>
      <c r="F139" t="str">
        <f>_xlfn.XLOOKUP(Cleaned_MLB_Stats_Dataset__1[[#This Row],[Position'#]],$B$373:$B$382,$A$373:$A$382)</f>
        <v>CF</v>
      </c>
      <c r="G139">
        <v>8</v>
      </c>
      <c r="H139">
        <v>459</v>
      </c>
      <c r="I139">
        <v>159</v>
      </c>
      <c r="J139">
        <v>25</v>
      </c>
      <c r="K139">
        <v>10</v>
      </c>
      <c r="L139">
        <v>11</v>
      </c>
      <c r="M139">
        <v>84</v>
      </c>
      <c r="N139">
        <v>60</v>
      </c>
      <c r="O139">
        <v>63</v>
      </c>
      <c r="P139">
        <v>36</v>
      </c>
      <c r="Q139">
        <v>4</v>
      </c>
      <c r="R139">
        <v>0</v>
      </c>
      <c r="S139">
        <v>5</v>
      </c>
      <c r="T139">
        <v>1</v>
      </c>
      <c r="U139" s="6">
        <f>Cleaned_MLB_Stats_Dataset__1[[#This Row],[Hits]]/Cleaned_MLB_Stats_Dataset__1[[#This Row],[At Bats]]</f>
        <v>0.34640522875816993</v>
      </c>
      <c r="V139" s="6">
        <f>Cleaned_MLB_Stats_Dataset__1[[#This Row],[Strikeouts]]/(Cleaned_MLB_Stats_Dataset__1[[#This Row],[At Bats]]+Cleaned_MLB_Stats_Dataset__1[[#This Row],[Walks]])</f>
        <v>0.12727272727272726</v>
      </c>
      <c r="W13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7.2727272727272724E-2</v>
      </c>
      <c r="X13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</v>
      </c>
      <c r="Y13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0.5163398692810458</v>
      </c>
      <c r="Z139" s="6">
        <f>Cleaned_MLB_Stats_Dataset__1[[#This Row],[On Base Percentage]]+Cleaned_MLB_Stats_Dataset__1[[#This Row],[Slugging %]]</f>
        <v>0.90633986928104582</v>
      </c>
      <c r="AA139" s="6">
        <f>Cleaned_MLB_Stats_Dataset__1[[#This Row],[Slugging %]]-Cleaned_MLB_Stats_Dataset__1[[#This Row],[Batting Average]]</f>
        <v>0.16993464052287588</v>
      </c>
      <c r="AB139" s="6">
        <f>Cleaned_MLB_Stats_Dataset__1[[#This Row],[Batting Average]]-_xlfn.XLOOKUP(Cleaned_MLB_Stats_Dataset__1[[#This Row],[Year]],'League Averages'!$A$3:$A$23,'League Averages'!$B$3:$B$23)</f>
        <v>9.1405228758169921E-2</v>
      </c>
      <c r="AC139" s="6">
        <f>Cleaned_MLB_Stats_Dataset__1[[#This Row],[On Base Percentage]]-_xlfn.XLOOKUP(Cleaned_MLB_Stats_Dataset__1[[#This Row],[Year]],'League Averages'!$A$3:$A$23,'League Averages'!$C$3:$C$23)</f>
        <v>7.1000000000000008E-2</v>
      </c>
      <c r="AD139" s="6">
        <f>Cleaned_MLB_Stats_Dataset__1[[#This Row],[Slugging %]]-_xlfn.XLOOKUP(Cleaned_MLB_Stats_Dataset__1[[#This Row],[Year]],'League Averages'!$A$3:$A$23,'League Averages'!$D$3:$D$23)</f>
        <v>0.11133986928104578</v>
      </c>
      <c r="AE139" s="6">
        <f>Cleaned_MLB_Stats_Dataset__1[[#This Row],[OPS (On Base + Slugging)]]-_xlfn.XLOOKUP(Cleaned_MLB_Stats_Dataset__1[[#This Row],[Year]],'League Averages'!$A$3:$A$23,'League Averages'!$E$3:$E$23)</f>
        <v>0.18233986928104584</v>
      </c>
      <c r="AF139" s="6">
        <f>Cleaned_MLB_Stats_Dataset__1[[#This Row],[ISO (Isolated Power]]-_xlfn.XLOOKUP(Cleaned_MLB_Stats_Dataset__1[[#This Row],[Year]],'League Averages'!$A$3:$A$23,'League Averages'!$F$3:$F$23)</f>
        <v>1.9934640522875885E-2</v>
      </c>
    </row>
    <row r="140" spans="1:32" x14ac:dyDescent="0.2">
      <c r="A140" t="s">
        <v>310</v>
      </c>
      <c r="B140">
        <v>2013</v>
      </c>
      <c r="C140" t="s">
        <v>257</v>
      </c>
      <c r="D140" t="s">
        <v>6</v>
      </c>
      <c r="E140" t="s">
        <v>71</v>
      </c>
      <c r="F140" t="str">
        <f>_xlfn.XLOOKUP(Cleaned_MLB_Stats_Dataset__1[[#This Row],[Position'#]],$B$373:$B$382,$A$373:$A$382)</f>
        <v>2B</v>
      </c>
      <c r="G140">
        <v>4</v>
      </c>
      <c r="H140">
        <v>605</v>
      </c>
      <c r="I140">
        <v>190</v>
      </c>
      <c r="J140">
        <v>41</v>
      </c>
      <c r="K140">
        <v>0</v>
      </c>
      <c r="L140">
        <v>27</v>
      </c>
      <c r="M140">
        <v>81</v>
      </c>
      <c r="N140">
        <v>107</v>
      </c>
      <c r="O140">
        <v>85</v>
      </c>
      <c r="P140">
        <v>65</v>
      </c>
      <c r="Q140">
        <v>16</v>
      </c>
      <c r="R140">
        <v>6</v>
      </c>
      <c r="S140">
        <v>5</v>
      </c>
      <c r="T140">
        <v>0</v>
      </c>
      <c r="U140" s="6">
        <f>Cleaned_MLB_Stats_Dataset__1[[#This Row],[Hits]]/Cleaned_MLB_Stats_Dataset__1[[#This Row],[At Bats]]</f>
        <v>0.31404958677685951</v>
      </c>
      <c r="V140" s="6">
        <f>Cleaned_MLB_Stats_Dataset__1[[#This Row],[Strikeouts]]/(Cleaned_MLB_Stats_Dataset__1[[#This Row],[At Bats]]+Cleaned_MLB_Stats_Dataset__1[[#This Row],[Walks]])</f>
        <v>0.12686567164179105</v>
      </c>
      <c r="W14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0.10502958579881656</v>
      </c>
      <c r="X14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0.38325991189427311</v>
      </c>
      <c r="Y14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0.51570247933884295</v>
      </c>
      <c r="Z140" s="6">
        <f>Cleaned_MLB_Stats_Dataset__1[[#This Row],[On Base Percentage]]+Cleaned_MLB_Stats_Dataset__1[[#This Row],[Slugging %]]</f>
        <v>0.89896239123311605</v>
      </c>
      <c r="AA140" s="6">
        <f>Cleaned_MLB_Stats_Dataset__1[[#This Row],[Slugging %]]-Cleaned_MLB_Stats_Dataset__1[[#This Row],[Batting Average]]</f>
        <v>0.20165289256198343</v>
      </c>
      <c r="AB140" s="6">
        <f>Cleaned_MLB_Stats_Dataset__1[[#This Row],[Batting Average]]-_xlfn.XLOOKUP(Cleaned_MLB_Stats_Dataset__1[[#This Row],[Year]],'League Averages'!$A$3:$A$23,'League Averages'!$B$3:$B$23)</f>
        <v>6.104958677685951E-2</v>
      </c>
      <c r="AC140" s="6">
        <f>Cleaned_MLB_Stats_Dataset__1[[#This Row],[On Base Percentage]]-_xlfn.XLOOKUP(Cleaned_MLB_Stats_Dataset__1[[#This Row],[Year]],'League Averages'!$A$3:$A$23,'League Averages'!$C$3:$C$23)</f>
        <v>6.5259911894273104E-2</v>
      </c>
      <c r="AD140" s="6">
        <f>Cleaned_MLB_Stats_Dataset__1[[#This Row],[Slugging %]]-_xlfn.XLOOKUP(Cleaned_MLB_Stats_Dataset__1[[#This Row],[Year]],'League Averages'!$A$3:$A$23,'League Averages'!$D$3:$D$23)</f>
        <v>0.11970247933884293</v>
      </c>
      <c r="AE140" s="6">
        <f>Cleaned_MLB_Stats_Dataset__1[[#This Row],[OPS (On Base + Slugging)]]-_xlfn.XLOOKUP(Cleaned_MLB_Stats_Dataset__1[[#This Row],[Year]],'League Averages'!$A$3:$A$23,'League Averages'!$E$3:$E$23)</f>
        <v>0.18496239123311609</v>
      </c>
      <c r="AF140" s="6">
        <f>Cleaned_MLB_Stats_Dataset__1[[#This Row],[ISO (Isolated Power]]-_xlfn.XLOOKUP(Cleaned_MLB_Stats_Dataset__1[[#This Row],[Year]],'League Averages'!$A$3:$A$23,'League Averages'!$F$3:$F$23)</f>
        <v>5.8652892561983444E-2</v>
      </c>
    </row>
    <row r="141" spans="1:32" x14ac:dyDescent="0.2">
      <c r="A141" t="s">
        <v>310</v>
      </c>
      <c r="B141">
        <v>2012</v>
      </c>
      <c r="C141" t="s">
        <v>258</v>
      </c>
      <c r="D141" t="s">
        <v>6</v>
      </c>
      <c r="E141" t="s">
        <v>67</v>
      </c>
      <c r="F141" t="str">
        <f>_xlfn.XLOOKUP(Cleaned_MLB_Stats_Dataset__1[[#This Row],[Position'#]],$B$373:$B$382,$A$373:$A$382)</f>
        <v>1B</v>
      </c>
      <c r="G141">
        <v>3</v>
      </c>
      <c r="H141">
        <v>581</v>
      </c>
      <c r="I141">
        <v>182</v>
      </c>
      <c r="J141">
        <v>33</v>
      </c>
      <c r="K141">
        <v>1</v>
      </c>
      <c r="L141">
        <v>30</v>
      </c>
      <c r="M141">
        <v>83</v>
      </c>
      <c r="N141">
        <v>108</v>
      </c>
      <c r="O141">
        <v>84</v>
      </c>
      <c r="P141">
        <v>85</v>
      </c>
      <c r="Q141">
        <v>18</v>
      </c>
      <c r="R141">
        <v>17</v>
      </c>
      <c r="S141">
        <v>7</v>
      </c>
      <c r="T141">
        <v>0</v>
      </c>
      <c r="U141" s="6">
        <f>Cleaned_MLB_Stats_Dataset__1[[#This Row],[Hits]]/Cleaned_MLB_Stats_Dataset__1[[#This Row],[At Bats]]</f>
        <v>0.31325301204819278</v>
      </c>
      <c r="V141" s="6">
        <f>Cleaned_MLB_Stats_Dataset__1[[#This Row],[Strikeouts]]/(Cleaned_MLB_Stats_Dataset__1[[#This Row],[At Bats]]+Cleaned_MLB_Stats_Dataset__1[[#This Row],[Walks]])</f>
        <v>0.12612612612612611</v>
      </c>
      <c r="W14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0.14934114202049781</v>
      </c>
      <c r="X14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0.4115942028985507</v>
      </c>
      <c r="Y14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0.52839931153184161</v>
      </c>
      <c r="Z141" s="6">
        <f>Cleaned_MLB_Stats_Dataset__1[[#This Row],[On Base Percentage]]+Cleaned_MLB_Stats_Dataset__1[[#This Row],[Slugging %]]</f>
        <v>0.93999351443039236</v>
      </c>
      <c r="AA141" s="6">
        <f>Cleaned_MLB_Stats_Dataset__1[[#This Row],[Slugging %]]-Cleaned_MLB_Stats_Dataset__1[[#This Row],[Batting Average]]</f>
        <v>0.21514629948364883</v>
      </c>
      <c r="AB141" s="6">
        <f>Cleaned_MLB_Stats_Dataset__1[[#This Row],[Batting Average]]-_xlfn.XLOOKUP(Cleaned_MLB_Stats_Dataset__1[[#This Row],[Year]],'League Averages'!$A$3:$A$23,'League Averages'!$B$3:$B$23)</f>
        <v>5.8253012048192776E-2</v>
      </c>
      <c r="AC141" s="6">
        <f>Cleaned_MLB_Stats_Dataset__1[[#This Row],[On Base Percentage]]-_xlfn.XLOOKUP(Cleaned_MLB_Stats_Dataset__1[[#This Row],[Year]],'League Averages'!$A$3:$A$23,'League Averages'!$C$3:$C$23)</f>
        <v>9.2594202898550693E-2</v>
      </c>
      <c r="AD141" s="6">
        <f>Cleaned_MLB_Stats_Dataset__1[[#This Row],[Slugging %]]-_xlfn.XLOOKUP(Cleaned_MLB_Stats_Dataset__1[[#This Row],[Year]],'League Averages'!$A$3:$A$23,'League Averages'!$D$3:$D$23)</f>
        <v>0.12339931153184158</v>
      </c>
      <c r="AE141" s="6">
        <f>Cleaned_MLB_Stats_Dataset__1[[#This Row],[OPS (On Base + Slugging)]]-_xlfn.XLOOKUP(Cleaned_MLB_Stats_Dataset__1[[#This Row],[Year]],'League Averages'!$A$3:$A$23,'League Averages'!$E$3:$E$23)</f>
        <v>0.21599351443039239</v>
      </c>
      <c r="AF141" s="6">
        <f>Cleaned_MLB_Stats_Dataset__1[[#This Row],[ISO (Isolated Power]]-_xlfn.XLOOKUP(Cleaned_MLB_Stats_Dataset__1[[#This Row],[Year]],'League Averages'!$A$3:$A$23,'League Averages'!$F$3:$F$23)</f>
        <v>6.5146299483648834E-2</v>
      </c>
    </row>
    <row r="142" spans="1:32" x14ac:dyDescent="0.2">
      <c r="A142" t="s">
        <v>310</v>
      </c>
      <c r="B142">
        <v>2003</v>
      </c>
      <c r="C142" t="s">
        <v>238</v>
      </c>
      <c r="D142" t="s">
        <v>6</v>
      </c>
      <c r="E142" t="s">
        <v>71</v>
      </c>
      <c r="F142" t="str">
        <f>_xlfn.XLOOKUP(Cleaned_MLB_Stats_Dataset__1[[#This Row],[Position'#]],$B$373:$B$382,$A$373:$A$382)</f>
        <v>CF</v>
      </c>
      <c r="G142">
        <v>8</v>
      </c>
      <c r="H142">
        <v>623</v>
      </c>
      <c r="I142">
        <v>179</v>
      </c>
      <c r="J142">
        <v>42</v>
      </c>
      <c r="K142">
        <v>1</v>
      </c>
      <c r="L142">
        <v>16</v>
      </c>
      <c r="M142">
        <v>82</v>
      </c>
      <c r="N142">
        <v>106</v>
      </c>
      <c r="O142">
        <v>86</v>
      </c>
      <c r="P142">
        <v>63</v>
      </c>
      <c r="Q142">
        <v>5</v>
      </c>
      <c r="R142">
        <v>3</v>
      </c>
      <c r="S142">
        <v>6</v>
      </c>
      <c r="T142">
        <v>0</v>
      </c>
      <c r="U142" s="6">
        <f>Cleaned_MLB_Stats_Dataset__1[[#This Row],[Hits]]/Cleaned_MLB_Stats_Dataset__1[[#This Row],[At Bats]]</f>
        <v>0.28731942215088285</v>
      </c>
      <c r="V142" s="6">
        <f>Cleaned_MLB_Stats_Dataset__1[[#This Row],[Strikeouts]]/(Cleaned_MLB_Stats_Dataset__1[[#This Row],[At Bats]]+Cleaned_MLB_Stats_Dataset__1[[#This Row],[Walks]])</f>
        <v>0.12536443148688048</v>
      </c>
      <c r="W14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9.579100145137881E-2</v>
      </c>
      <c r="X14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0.35251798561151076</v>
      </c>
      <c r="Y14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0.434991974317817</v>
      </c>
      <c r="Z142" s="6">
        <f>Cleaned_MLB_Stats_Dataset__1[[#This Row],[On Base Percentage]]+Cleaned_MLB_Stats_Dataset__1[[#This Row],[Slugging %]]</f>
        <v>0.78750995992932782</v>
      </c>
      <c r="AA142" s="6">
        <f>Cleaned_MLB_Stats_Dataset__1[[#This Row],[Slugging %]]-Cleaned_MLB_Stats_Dataset__1[[#This Row],[Batting Average]]</f>
        <v>0.14767255216693415</v>
      </c>
      <c r="AB142" s="6">
        <f>Cleaned_MLB_Stats_Dataset__1[[#This Row],[Batting Average]]-_xlfn.XLOOKUP(Cleaned_MLB_Stats_Dataset__1[[#This Row],[Year]],'League Averages'!$A$3:$A$23,'League Averages'!$B$3:$B$23)</f>
        <v>2.331942215088284E-2</v>
      </c>
      <c r="AC142" s="6">
        <f>Cleaned_MLB_Stats_Dataset__1[[#This Row],[On Base Percentage]]-_xlfn.XLOOKUP(Cleaned_MLB_Stats_Dataset__1[[#This Row],[Year]],'League Averages'!$A$3:$A$23,'League Averages'!$C$3:$C$23)</f>
        <v>1.9517985611510746E-2</v>
      </c>
      <c r="AD142" s="6">
        <f>Cleaned_MLB_Stats_Dataset__1[[#This Row],[Slugging %]]-_xlfn.XLOOKUP(Cleaned_MLB_Stats_Dataset__1[[#This Row],[Year]],'League Averages'!$A$3:$A$23,'League Averages'!$D$3:$D$23)</f>
        <v>1.2991974317817012E-2</v>
      </c>
      <c r="AE142" s="6">
        <f>Cleaned_MLB_Stats_Dataset__1[[#This Row],[OPS (On Base + Slugging)]]-_xlfn.XLOOKUP(Cleaned_MLB_Stats_Dataset__1[[#This Row],[Year]],'League Averages'!$A$3:$A$23,'League Averages'!$E$3:$E$23)</f>
        <v>3.2509959929327814E-2</v>
      </c>
      <c r="AF142" s="6">
        <f>Cleaned_MLB_Stats_Dataset__1[[#This Row],[ISO (Isolated Power]]-_xlfn.XLOOKUP(Cleaned_MLB_Stats_Dataset__1[[#This Row],[Year]],'League Averages'!$A$3:$A$23,'League Averages'!$F$3:$F$23)</f>
        <v>-1.0327447833065856E-2</v>
      </c>
    </row>
    <row r="143" spans="1:32" x14ac:dyDescent="0.2">
      <c r="A143" t="s">
        <v>310</v>
      </c>
      <c r="B143">
        <v>2004</v>
      </c>
      <c r="C143" t="s">
        <v>189</v>
      </c>
      <c r="D143" t="s">
        <v>3</v>
      </c>
      <c r="E143" t="s">
        <v>60</v>
      </c>
      <c r="F143" t="str">
        <f>_xlfn.XLOOKUP(Cleaned_MLB_Stats_Dataset__1[[#This Row],[Position'#]],$B$373:$B$382,$A$373:$A$382)</f>
        <v>SS</v>
      </c>
      <c r="G143">
        <v>6</v>
      </c>
      <c r="H143">
        <v>586</v>
      </c>
      <c r="I143">
        <v>168</v>
      </c>
      <c r="J143">
        <v>37</v>
      </c>
      <c r="K143">
        <v>0</v>
      </c>
      <c r="L143">
        <v>10</v>
      </c>
      <c r="M143">
        <v>84</v>
      </c>
      <c r="N143">
        <v>72</v>
      </c>
      <c r="O143">
        <v>78</v>
      </c>
      <c r="P143">
        <v>39</v>
      </c>
      <c r="Q143">
        <v>5</v>
      </c>
      <c r="R143">
        <v>1</v>
      </c>
      <c r="S143">
        <v>10</v>
      </c>
      <c r="T143">
        <v>6</v>
      </c>
      <c r="U143" s="6">
        <f>Cleaned_MLB_Stats_Dataset__1[[#This Row],[Hits]]/Cleaned_MLB_Stats_Dataset__1[[#This Row],[At Bats]]</f>
        <v>0.28668941979522183</v>
      </c>
      <c r="V143" s="6">
        <f>Cleaned_MLB_Stats_Dataset__1[[#This Row],[Strikeouts]]/(Cleaned_MLB_Stats_Dataset__1[[#This Row],[At Bats]]+Cleaned_MLB_Stats_Dataset__1[[#This Row],[Walks]])</f>
        <v>0.12479999999999999</v>
      </c>
      <c r="W14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6.3897763578274758E-2</v>
      </c>
      <c r="X14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0.32704402515723269</v>
      </c>
      <c r="Y14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0.40102389078498296</v>
      </c>
      <c r="Z143" s="6">
        <f>Cleaned_MLB_Stats_Dataset__1[[#This Row],[On Base Percentage]]+Cleaned_MLB_Stats_Dataset__1[[#This Row],[Slugging %]]</f>
        <v>0.72806791594221565</v>
      </c>
      <c r="AA143" s="6">
        <f>Cleaned_MLB_Stats_Dataset__1[[#This Row],[Slugging %]]-Cleaned_MLB_Stats_Dataset__1[[#This Row],[Batting Average]]</f>
        <v>0.11433447098976113</v>
      </c>
      <c r="AB143" s="6">
        <f>Cleaned_MLB_Stats_Dataset__1[[#This Row],[Batting Average]]-_xlfn.XLOOKUP(Cleaned_MLB_Stats_Dataset__1[[#This Row],[Year]],'League Averages'!$A$3:$A$23,'League Averages'!$B$3:$B$23)</f>
        <v>2.068941979522182E-2</v>
      </c>
      <c r="AC143" s="6">
        <f>Cleaned_MLB_Stats_Dataset__1[[#This Row],[On Base Percentage]]-_xlfn.XLOOKUP(Cleaned_MLB_Stats_Dataset__1[[#This Row],[Year]],'League Averages'!$A$3:$A$23,'League Averages'!$C$3:$C$23)</f>
        <v>-7.9559748427673327E-3</v>
      </c>
      <c r="AD143" s="6">
        <f>Cleaned_MLB_Stats_Dataset__1[[#This Row],[Slugging %]]-_xlfn.XLOOKUP(Cleaned_MLB_Stats_Dataset__1[[#This Row],[Year]],'League Averages'!$A$3:$A$23,'League Averages'!$D$3:$D$23)</f>
        <v>-2.697610921501703E-2</v>
      </c>
      <c r="AE143" s="6">
        <f>Cleaned_MLB_Stats_Dataset__1[[#This Row],[OPS (On Base + Slugging)]]-_xlfn.XLOOKUP(Cleaned_MLB_Stats_Dataset__1[[#This Row],[Year]],'League Averages'!$A$3:$A$23,'League Averages'!$E$3:$E$23)</f>
        <v>-3.4932084057784363E-2</v>
      </c>
      <c r="AF143" s="6">
        <f>Cleaned_MLB_Stats_Dataset__1[[#This Row],[ISO (Isolated Power]]-_xlfn.XLOOKUP(Cleaned_MLB_Stats_Dataset__1[[#This Row],[Year]],'League Averages'!$A$3:$A$23,'League Averages'!$F$3:$F$23)</f>
        <v>-4.7665529010238877E-2</v>
      </c>
    </row>
    <row r="144" spans="1:32" x14ac:dyDescent="0.2">
      <c r="A144" t="s">
        <v>310</v>
      </c>
      <c r="B144">
        <v>2003</v>
      </c>
      <c r="C144" t="s">
        <v>172</v>
      </c>
      <c r="D144" t="s">
        <v>6</v>
      </c>
      <c r="E144" t="s">
        <v>191</v>
      </c>
      <c r="F144" t="str">
        <f>_xlfn.XLOOKUP(Cleaned_MLB_Stats_Dataset__1[[#This Row],[Position'#]],$B$373:$B$382,$A$373:$A$382)</f>
        <v>LF</v>
      </c>
      <c r="G144">
        <v>7</v>
      </c>
      <c r="H144">
        <v>638</v>
      </c>
      <c r="I144">
        <v>201</v>
      </c>
      <c r="J144">
        <v>49</v>
      </c>
      <c r="K144">
        <v>4</v>
      </c>
      <c r="L144">
        <v>29</v>
      </c>
      <c r="M144">
        <v>80</v>
      </c>
      <c r="N144">
        <v>116</v>
      </c>
      <c r="O144">
        <v>83</v>
      </c>
      <c r="P144">
        <v>31</v>
      </c>
      <c r="Q144">
        <v>10</v>
      </c>
      <c r="R144">
        <v>0</v>
      </c>
      <c r="S144">
        <v>4</v>
      </c>
      <c r="T144">
        <v>0</v>
      </c>
      <c r="U144" s="6">
        <f>Cleaned_MLB_Stats_Dataset__1[[#This Row],[Hits]]/Cleaned_MLB_Stats_Dataset__1[[#This Row],[At Bats]]</f>
        <v>0.31504702194357365</v>
      </c>
      <c r="V144" s="6">
        <f>Cleaned_MLB_Stats_Dataset__1[[#This Row],[Strikeouts]]/(Cleaned_MLB_Stats_Dataset__1[[#This Row],[At Bats]]+Cleaned_MLB_Stats_Dataset__1[[#This Row],[Walks]])</f>
        <v>0.12406576980568013</v>
      </c>
      <c r="W14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4.6337817638266068E-2</v>
      </c>
      <c r="X14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0.34472511144130757</v>
      </c>
      <c r="Y14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0.54075235109717867</v>
      </c>
      <c r="Z144" s="6">
        <f>Cleaned_MLB_Stats_Dataset__1[[#This Row],[On Base Percentage]]+Cleaned_MLB_Stats_Dataset__1[[#This Row],[Slugging %]]</f>
        <v>0.88547746253848625</v>
      </c>
      <c r="AA144" s="6">
        <f>Cleaned_MLB_Stats_Dataset__1[[#This Row],[Slugging %]]-Cleaned_MLB_Stats_Dataset__1[[#This Row],[Batting Average]]</f>
        <v>0.22570532915360503</v>
      </c>
      <c r="AB144" s="6">
        <f>Cleaned_MLB_Stats_Dataset__1[[#This Row],[Batting Average]]-_xlfn.XLOOKUP(Cleaned_MLB_Stats_Dataset__1[[#This Row],[Year]],'League Averages'!$A$3:$A$23,'League Averages'!$B$3:$B$23)</f>
        <v>5.1047021943573634E-2</v>
      </c>
      <c r="AC144" s="6">
        <f>Cleaned_MLB_Stats_Dataset__1[[#This Row],[On Base Percentage]]-_xlfn.XLOOKUP(Cleaned_MLB_Stats_Dataset__1[[#This Row],[Year]],'League Averages'!$A$3:$A$23,'League Averages'!$C$3:$C$23)</f>
        <v>1.1725111441307556E-2</v>
      </c>
      <c r="AD144" s="6">
        <f>Cleaned_MLB_Stats_Dataset__1[[#This Row],[Slugging %]]-_xlfn.XLOOKUP(Cleaned_MLB_Stats_Dataset__1[[#This Row],[Year]],'League Averages'!$A$3:$A$23,'League Averages'!$D$3:$D$23)</f>
        <v>0.11875235109717869</v>
      </c>
      <c r="AE144" s="6">
        <f>Cleaned_MLB_Stats_Dataset__1[[#This Row],[OPS (On Base + Slugging)]]-_xlfn.XLOOKUP(Cleaned_MLB_Stats_Dataset__1[[#This Row],[Year]],'League Averages'!$A$3:$A$23,'League Averages'!$E$3:$E$23)</f>
        <v>0.13047746253848624</v>
      </c>
      <c r="AF144" s="6">
        <f>Cleaned_MLB_Stats_Dataset__1[[#This Row],[ISO (Isolated Power]]-_xlfn.XLOOKUP(Cleaned_MLB_Stats_Dataset__1[[#This Row],[Year]],'League Averages'!$A$3:$A$23,'League Averages'!$F$3:$F$23)</f>
        <v>6.7705329153605026E-2</v>
      </c>
    </row>
    <row r="145" spans="1:32" x14ac:dyDescent="0.2">
      <c r="A145" t="s">
        <v>310</v>
      </c>
      <c r="B145">
        <v>2012</v>
      </c>
      <c r="C145" t="s">
        <v>177</v>
      </c>
      <c r="D145" t="s">
        <v>6</v>
      </c>
      <c r="E145" t="s">
        <v>71</v>
      </c>
      <c r="F145" t="str">
        <f>_xlfn.XLOOKUP(Cleaned_MLB_Stats_Dataset__1[[#This Row],[Position'#]],$B$373:$B$382,$A$373:$A$382)</f>
        <v>SS</v>
      </c>
      <c r="G145">
        <v>6</v>
      </c>
      <c r="H145">
        <v>683</v>
      </c>
      <c r="I145">
        <v>216</v>
      </c>
      <c r="J145">
        <v>32</v>
      </c>
      <c r="K145">
        <v>0</v>
      </c>
      <c r="L145">
        <v>15</v>
      </c>
      <c r="M145">
        <v>99</v>
      </c>
      <c r="N145">
        <v>58</v>
      </c>
      <c r="O145">
        <v>90</v>
      </c>
      <c r="P145">
        <v>45</v>
      </c>
      <c r="Q145">
        <v>1</v>
      </c>
      <c r="R145">
        <v>5</v>
      </c>
      <c r="S145">
        <v>1</v>
      </c>
      <c r="T145">
        <v>6</v>
      </c>
      <c r="U145" s="6">
        <f>Cleaned_MLB_Stats_Dataset__1[[#This Row],[Hits]]/Cleaned_MLB_Stats_Dataset__1[[#This Row],[At Bats]]</f>
        <v>0.31625183016105418</v>
      </c>
      <c r="V145" s="6">
        <f>Cleaned_MLB_Stats_Dataset__1[[#This Row],[Strikeouts]]/(Cleaned_MLB_Stats_Dataset__1[[#This Row],[At Bats]]+Cleaned_MLB_Stats_Dataset__1[[#This Row],[Walks]])</f>
        <v>0.12362637362637363</v>
      </c>
      <c r="W14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6.8212824010914053E-2</v>
      </c>
      <c r="X14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0.36239782016348776</v>
      </c>
      <c r="Y14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0.42898975109809662</v>
      </c>
      <c r="Z145" s="6">
        <f>Cleaned_MLB_Stats_Dataset__1[[#This Row],[On Base Percentage]]+Cleaned_MLB_Stats_Dataset__1[[#This Row],[Slugging %]]</f>
        <v>0.79138757126158432</v>
      </c>
      <c r="AA145" s="6">
        <f>Cleaned_MLB_Stats_Dataset__1[[#This Row],[Slugging %]]-Cleaned_MLB_Stats_Dataset__1[[#This Row],[Batting Average]]</f>
        <v>0.11273792093704244</v>
      </c>
      <c r="AB145" s="6">
        <f>Cleaned_MLB_Stats_Dataset__1[[#This Row],[Batting Average]]-_xlfn.XLOOKUP(Cleaned_MLB_Stats_Dataset__1[[#This Row],[Year]],'League Averages'!$A$3:$A$23,'League Averages'!$B$3:$B$23)</f>
        <v>6.1251830161054177E-2</v>
      </c>
      <c r="AC145" s="6">
        <f>Cleaned_MLB_Stats_Dataset__1[[#This Row],[On Base Percentage]]-_xlfn.XLOOKUP(Cleaned_MLB_Stats_Dataset__1[[#This Row],[Year]],'League Averages'!$A$3:$A$23,'League Averages'!$C$3:$C$23)</f>
        <v>4.3397820163487755E-2</v>
      </c>
      <c r="AD145" s="6">
        <f>Cleaned_MLB_Stats_Dataset__1[[#This Row],[Slugging %]]-_xlfn.XLOOKUP(Cleaned_MLB_Stats_Dataset__1[[#This Row],[Year]],'League Averages'!$A$3:$A$23,'League Averages'!$D$3:$D$23)</f>
        <v>2.398975109809659E-2</v>
      </c>
      <c r="AE145" s="6">
        <f>Cleaned_MLB_Stats_Dataset__1[[#This Row],[OPS (On Base + Slugging)]]-_xlfn.XLOOKUP(Cleaned_MLB_Stats_Dataset__1[[#This Row],[Year]],'League Averages'!$A$3:$A$23,'League Averages'!$E$3:$E$23)</f>
        <v>6.7387571261584345E-2</v>
      </c>
      <c r="AF145" s="6">
        <f>Cleaned_MLB_Stats_Dataset__1[[#This Row],[ISO (Isolated Power]]-_xlfn.XLOOKUP(Cleaned_MLB_Stats_Dataset__1[[#This Row],[Year]],'League Averages'!$A$3:$A$23,'League Averages'!$F$3:$F$23)</f>
        <v>-3.7262079062957559E-2</v>
      </c>
    </row>
    <row r="146" spans="1:32" x14ac:dyDescent="0.2">
      <c r="A146" t="s">
        <v>310</v>
      </c>
      <c r="B146">
        <v>2005</v>
      </c>
      <c r="C146" t="s">
        <v>211</v>
      </c>
      <c r="D146" t="s">
        <v>3</v>
      </c>
      <c r="E146" t="s">
        <v>27</v>
      </c>
      <c r="F146" t="str">
        <f>_xlfn.XLOOKUP(Cleaned_MLB_Stats_Dataset__1[[#This Row],[Position'#]],$B$373:$B$382,$A$373:$A$382)</f>
        <v>3B</v>
      </c>
      <c r="G146">
        <v>5</v>
      </c>
      <c r="H146">
        <v>463</v>
      </c>
      <c r="I146">
        <v>140</v>
      </c>
      <c r="J146">
        <v>30</v>
      </c>
      <c r="K146">
        <v>0</v>
      </c>
      <c r="L146">
        <v>31</v>
      </c>
      <c r="M146">
        <v>72</v>
      </c>
      <c r="N146">
        <v>92</v>
      </c>
      <c r="O146">
        <v>60</v>
      </c>
      <c r="P146">
        <v>35</v>
      </c>
      <c r="Q146">
        <v>4</v>
      </c>
      <c r="R146">
        <v>6</v>
      </c>
      <c r="S146">
        <v>2</v>
      </c>
      <c r="T146">
        <v>0</v>
      </c>
      <c r="U146" s="6">
        <f>Cleaned_MLB_Stats_Dataset__1[[#This Row],[Hits]]/Cleaned_MLB_Stats_Dataset__1[[#This Row],[At Bats]]</f>
        <v>0.30237580993520519</v>
      </c>
      <c r="V146" s="6">
        <f>Cleaned_MLB_Stats_Dataset__1[[#This Row],[Strikeouts]]/(Cleaned_MLB_Stats_Dataset__1[[#This Row],[At Bats]]+Cleaned_MLB_Stats_Dataset__1[[#This Row],[Walks]])</f>
        <v>0.12048192771084337</v>
      </c>
      <c r="W14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8.1349206349206352E-2</v>
      </c>
      <c r="X14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0.35770750988142291</v>
      </c>
      <c r="Y14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0.56803455723542118</v>
      </c>
      <c r="Z146" s="6">
        <f>Cleaned_MLB_Stats_Dataset__1[[#This Row],[On Base Percentage]]+Cleaned_MLB_Stats_Dataset__1[[#This Row],[Slugging %]]</f>
        <v>0.92574206711684415</v>
      </c>
      <c r="AA146" s="6">
        <f>Cleaned_MLB_Stats_Dataset__1[[#This Row],[Slugging %]]-Cleaned_MLB_Stats_Dataset__1[[#This Row],[Batting Average]]</f>
        <v>0.26565874730021599</v>
      </c>
      <c r="AB146" s="6">
        <f>Cleaned_MLB_Stats_Dataset__1[[#This Row],[Batting Average]]-_xlfn.XLOOKUP(Cleaned_MLB_Stats_Dataset__1[[#This Row],[Year]],'League Averages'!$A$3:$A$23,'League Averages'!$B$3:$B$23)</f>
        <v>3.8375809935205174E-2</v>
      </c>
      <c r="AC146" s="6">
        <f>Cleaned_MLB_Stats_Dataset__1[[#This Row],[On Base Percentage]]-_xlfn.XLOOKUP(Cleaned_MLB_Stats_Dataset__1[[#This Row],[Year]],'League Averages'!$A$3:$A$23,'League Averages'!$C$3:$C$23)</f>
        <v>2.7707509881422898E-2</v>
      </c>
      <c r="AD146" s="6">
        <f>Cleaned_MLB_Stats_Dataset__1[[#This Row],[Slugging %]]-_xlfn.XLOOKUP(Cleaned_MLB_Stats_Dataset__1[[#This Row],[Year]],'League Averages'!$A$3:$A$23,'League Averages'!$D$3:$D$23)</f>
        <v>0.14903455723542119</v>
      </c>
      <c r="AE146" s="6">
        <f>Cleaned_MLB_Stats_Dataset__1[[#This Row],[OPS (On Base + Slugging)]]-_xlfn.XLOOKUP(Cleaned_MLB_Stats_Dataset__1[[#This Row],[Year]],'League Averages'!$A$3:$A$23,'League Averages'!$E$3:$E$23)</f>
        <v>0.17674206711684415</v>
      </c>
      <c r="AF146" s="6">
        <f>Cleaned_MLB_Stats_Dataset__1[[#This Row],[ISO (Isolated Power]]-_xlfn.XLOOKUP(Cleaned_MLB_Stats_Dataset__1[[#This Row],[Year]],'League Averages'!$A$3:$A$23,'League Averages'!$F$3:$F$23)</f>
        <v>0.11065874730021599</v>
      </c>
    </row>
    <row r="147" spans="1:32" x14ac:dyDescent="0.2">
      <c r="A147" t="s">
        <v>310</v>
      </c>
      <c r="B147">
        <v>2005</v>
      </c>
      <c r="C147" t="s">
        <v>199</v>
      </c>
      <c r="D147" t="s">
        <v>6</v>
      </c>
      <c r="E147" t="s">
        <v>78</v>
      </c>
      <c r="F147" t="str">
        <f>_xlfn.XLOOKUP(Cleaned_MLB_Stats_Dataset__1[[#This Row],[Position'#]],$B$373:$B$382,$A$373:$A$382)</f>
        <v>SS</v>
      </c>
      <c r="G147">
        <v>6</v>
      </c>
      <c r="H147">
        <v>654</v>
      </c>
      <c r="I147">
        <v>199</v>
      </c>
      <c r="J147">
        <v>50</v>
      </c>
      <c r="K147">
        <v>5</v>
      </c>
      <c r="L147">
        <v>26</v>
      </c>
      <c r="M147">
        <v>89</v>
      </c>
      <c r="N147">
        <v>98</v>
      </c>
      <c r="O147">
        <v>83</v>
      </c>
      <c r="P147">
        <v>40</v>
      </c>
      <c r="Q147">
        <v>9</v>
      </c>
      <c r="R147">
        <v>7</v>
      </c>
      <c r="S147">
        <v>3</v>
      </c>
      <c r="T147">
        <v>0</v>
      </c>
      <c r="U147" s="6">
        <f>Cleaned_MLB_Stats_Dataset__1[[#This Row],[Hits]]/Cleaned_MLB_Stats_Dataset__1[[#This Row],[At Bats]]</f>
        <v>0.30428134556574926</v>
      </c>
      <c r="V147" s="6">
        <f>Cleaned_MLB_Stats_Dataset__1[[#This Row],[Strikeouts]]/(Cleaned_MLB_Stats_Dataset__1[[#This Row],[At Bats]]+Cleaned_MLB_Stats_Dataset__1[[#This Row],[Walks]])</f>
        <v>0.11959654178674352</v>
      </c>
      <c r="W14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6.7047075606276749E-2</v>
      </c>
      <c r="X14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0.34943181818181818</v>
      </c>
      <c r="Y14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0.51529051987767582</v>
      </c>
      <c r="Z147" s="6">
        <f>Cleaned_MLB_Stats_Dataset__1[[#This Row],[On Base Percentage]]+Cleaned_MLB_Stats_Dataset__1[[#This Row],[Slugging %]]</f>
        <v>0.86472233805949394</v>
      </c>
      <c r="AA147" s="6">
        <f>Cleaned_MLB_Stats_Dataset__1[[#This Row],[Slugging %]]-Cleaned_MLB_Stats_Dataset__1[[#This Row],[Batting Average]]</f>
        <v>0.21100917431192656</v>
      </c>
      <c r="AB147" s="6">
        <f>Cleaned_MLB_Stats_Dataset__1[[#This Row],[Batting Average]]-_xlfn.XLOOKUP(Cleaned_MLB_Stats_Dataset__1[[#This Row],[Year]],'League Averages'!$A$3:$A$23,'League Averages'!$B$3:$B$23)</f>
        <v>4.0281345565749249E-2</v>
      </c>
      <c r="AC147" s="6">
        <f>Cleaned_MLB_Stats_Dataset__1[[#This Row],[On Base Percentage]]-_xlfn.XLOOKUP(Cleaned_MLB_Stats_Dataset__1[[#This Row],[Year]],'League Averages'!$A$3:$A$23,'League Averages'!$C$3:$C$23)</f>
        <v>1.9431818181818161E-2</v>
      </c>
      <c r="AD147" s="6">
        <f>Cleaned_MLB_Stats_Dataset__1[[#This Row],[Slugging %]]-_xlfn.XLOOKUP(Cleaned_MLB_Stats_Dataset__1[[#This Row],[Year]],'League Averages'!$A$3:$A$23,'League Averages'!$D$3:$D$23)</f>
        <v>9.629051987767584E-2</v>
      </c>
      <c r="AE147" s="6">
        <f>Cleaned_MLB_Stats_Dataset__1[[#This Row],[OPS (On Base + Slugging)]]-_xlfn.XLOOKUP(Cleaned_MLB_Stats_Dataset__1[[#This Row],[Year]],'League Averages'!$A$3:$A$23,'League Averages'!$E$3:$E$23)</f>
        <v>0.11572233805949395</v>
      </c>
      <c r="AF147" s="6">
        <f>Cleaned_MLB_Stats_Dataset__1[[#This Row],[ISO (Isolated Power]]-_xlfn.XLOOKUP(Cleaned_MLB_Stats_Dataset__1[[#This Row],[Year]],'League Averages'!$A$3:$A$23,'League Averages'!$F$3:$F$23)</f>
        <v>5.6009174311926563E-2</v>
      </c>
    </row>
    <row r="148" spans="1:32" x14ac:dyDescent="0.2">
      <c r="A148" t="s">
        <v>310</v>
      </c>
      <c r="B148">
        <v>2010</v>
      </c>
      <c r="C148" t="s">
        <v>228</v>
      </c>
      <c r="D148" t="s">
        <v>6</v>
      </c>
      <c r="E148" t="s">
        <v>91</v>
      </c>
      <c r="F148" t="str">
        <f>_xlfn.XLOOKUP(Cleaned_MLB_Stats_Dataset__1[[#This Row],[Position'#]],$B$373:$B$382,$A$373:$A$382)</f>
        <v>RF</v>
      </c>
      <c r="G148">
        <v>9</v>
      </c>
      <c r="H148">
        <v>680</v>
      </c>
      <c r="I148">
        <v>214</v>
      </c>
      <c r="J148">
        <v>30</v>
      </c>
      <c r="K148">
        <v>3</v>
      </c>
      <c r="L148">
        <v>6</v>
      </c>
      <c r="M148">
        <v>74</v>
      </c>
      <c r="N148">
        <v>43</v>
      </c>
      <c r="O148">
        <v>86</v>
      </c>
      <c r="P148">
        <v>45</v>
      </c>
      <c r="Q148">
        <v>13</v>
      </c>
      <c r="R148">
        <v>3</v>
      </c>
      <c r="S148">
        <v>1</v>
      </c>
      <c r="T148">
        <v>3</v>
      </c>
      <c r="U148" s="6">
        <f>Cleaned_MLB_Stats_Dataset__1[[#This Row],[Hits]]/Cleaned_MLB_Stats_Dataset__1[[#This Row],[At Bats]]</f>
        <v>0.31470588235294117</v>
      </c>
      <c r="V148" s="6">
        <f>Cleaned_MLB_Stats_Dataset__1[[#This Row],[Strikeouts]]/(Cleaned_MLB_Stats_Dataset__1[[#This Row],[At Bats]]+Cleaned_MLB_Stats_Dataset__1[[#This Row],[Walks]])</f>
        <v>0.11862068965517242</v>
      </c>
      <c r="W14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6.5934065934065936E-2</v>
      </c>
      <c r="X14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0.35939643347050754</v>
      </c>
      <c r="Y14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0.39411764705882352</v>
      </c>
      <c r="Z148" s="6">
        <f>Cleaned_MLB_Stats_Dataset__1[[#This Row],[On Base Percentage]]+Cleaned_MLB_Stats_Dataset__1[[#This Row],[Slugging %]]</f>
        <v>0.753514080529331</v>
      </c>
      <c r="AA148" s="6">
        <f>Cleaned_MLB_Stats_Dataset__1[[#This Row],[Slugging %]]-Cleaned_MLB_Stats_Dataset__1[[#This Row],[Batting Average]]</f>
        <v>7.9411764705882348E-2</v>
      </c>
      <c r="AB148" s="6">
        <f>Cleaned_MLB_Stats_Dataset__1[[#This Row],[Batting Average]]-_xlfn.XLOOKUP(Cleaned_MLB_Stats_Dataset__1[[#This Row],[Year]],'League Averages'!$A$3:$A$23,'League Averages'!$B$3:$B$23)</f>
        <v>5.7705882352941162E-2</v>
      </c>
      <c r="AC148" s="6">
        <f>Cleaned_MLB_Stats_Dataset__1[[#This Row],[On Base Percentage]]-_xlfn.XLOOKUP(Cleaned_MLB_Stats_Dataset__1[[#This Row],[Year]],'League Averages'!$A$3:$A$23,'League Averages'!$C$3:$C$23)</f>
        <v>3.4396433470507526E-2</v>
      </c>
      <c r="AD148" s="6">
        <f>Cleaned_MLB_Stats_Dataset__1[[#This Row],[Slugging %]]-_xlfn.XLOOKUP(Cleaned_MLB_Stats_Dataset__1[[#This Row],[Year]],'League Averages'!$A$3:$A$23,'League Averages'!$D$3:$D$23)</f>
        <v>-8.8823529411765079E-3</v>
      </c>
      <c r="AE148" s="6">
        <f>Cleaned_MLB_Stats_Dataset__1[[#This Row],[OPS (On Base + Slugging)]]-_xlfn.XLOOKUP(Cleaned_MLB_Stats_Dataset__1[[#This Row],[Year]],'League Averages'!$A$3:$A$23,'League Averages'!$E$3:$E$23)</f>
        <v>2.5514080529331018E-2</v>
      </c>
      <c r="AF148" s="6">
        <f>Cleaned_MLB_Stats_Dataset__1[[#This Row],[ISO (Isolated Power]]-_xlfn.XLOOKUP(Cleaned_MLB_Stats_Dataset__1[[#This Row],[Year]],'League Averages'!$A$3:$A$23,'League Averages'!$F$3:$F$23)</f>
        <v>-6.6588235294117643E-2</v>
      </c>
    </row>
    <row r="149" spans="1:32" x14ac:dyDescent="0.2">
      <c r="A149" t="s">
        <v>310</v>
      </c>
      <c r="B149">
        <v>2007</v>
      </c>
      <c r="C149" t="s">
        <v>197</v>
      </c>
      <c r="D149" t="s">
        <v>6</v>
      </c>
      <c r="E149" t="s">
        <v>67</v>
      </c>
      <c r="F149" t="str">
        <f>_xlfn.XLOOKUP(Cleaned_MLB_Stats_Dataset__1[[#This Row],[Position'#]],$B$373:$B$382,$A$373:$A$382)</f>
        <v>LF</v>
      </c>
      <c r="G149">
        <v>7</v>
      </c>
      <c r="H149">
        <v>595</v>
      </c>
      <c r="I149">
        <v>216</v>
      </c>
      <c r="J149">
        <v>54</v>
      </c>
      <c r="K149">
        <v>0</v>
      </c>
      <c r="L149">
        <v>28</v>
      </c>
      <c r="M149">
        <v>117</v>
      </c>
      <c r="N149">
        <v>139</v>
      </c>
      <c r="O149">
        <v>79</v>
      </c>
      <c r="P149">
        <v>76</v>
      </c>
      <c r="Q149">
        <v>8</v>
      </c>
      <c r="R149">
        <v>2</v>
      </c>
      <c r="S149">
        <v>5</v>
      </c>
      <c r="T149">
        <v>0</v>
      </c>
      <c r="U149" s="6">
        <f>Cleaned_MLB_Stats_Dataset__1[[#This Row],[Hits]]/Cleaned_MLB_Stats_Dataset__1[[#This Row],[At Bats]]</f>
        <v>0.3630252100840336</v>
      </c>
      <c r="V149" s="6">
        <f>Cleaned_MLB_Stats_Dataset__1[[#This Row],[Strikeouts]]/(Cleaned_MLB_Stats_Dataset__1[[#This Row],[At Bats]]+Cleaned_MLB_Stats_Dataset__1[[#This Row],[Walks]])</f>
        <v>0.11773472429210134</v>
      </c>
      <c r="W14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0.11589895988112928</v>
      </c>
      <c r="X14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0.4336283185840708</v>
      </c>
      <c r="Y14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0.59495798319327731</v>
      </c>
      <c r="Z149" s="6">
        <f>Cleaned_MLB_Stats_Dataset__1[[#This Row],[On Base Percentage]]+Cleaned_MLB_Stats_Dataset__1[[#This Row],[Slugging %]]</f>
        <v>1.0285863017773482</v>
      </c>
      <c r="AA149" s="6">
        <f>Cleaned_MLB_Stats_Dataset__1[[#This Row],[Slugging %]]-Cleaned_MLB_Stats_Dataset__1[[#This Row],[Batting Average]]</f>
        <v>0.23193277310924371</v>
      </c>
      <c r="AB149" s="6">
        <f>Cleaned_MLB_Stats_Dataset__1[[#This Row],[Batting Average]]-_xlfn.XLOOKUP(Cleaned_MLB_Stats_Dataset__1[[#This Row],[Year]],'League Averages'!$A$3:$A$23,'League Averages'!$B$3:$B$23)</f>
        <v>9.5025210084033584E-2</v>
      </c>
      <c r="AC149" s="6">
        <f>Cleaned_MLB_Stats_Dataset__1[[#This Row],[On Base Percentage]]-_xlfn.XLOOKUP(Cleaned_MLB_Stats_Dataset__1[[#This Row],[Year]],'League Averages'!$A$3:$A$23,'League Averages'!$C$3:$C$23)</f>
        <v>9.7628318584070783E-2</v>
      </c>
      <c r="AD149" s="6">
        <f>Cleaned_MLB_Stats_Dataset__1[[#This Row],[Slugging %]]-_xlfn.XLOOKUP(Cleaned_MLB_Stats_Dataset__1[[#This Row],[Year]],'League Averages'!$A$3:$A$23,'League Averages'!$D$3:$D$23)</f>
        <v>0.17195798319327732</v>
      </c>
      <c r="AE149" s="6">
        <f>Cleaned_MLB_Stats_Dataset__1[[#This Row],[OPS (On Base + Slugging)]]-_xlfn.XLOOKUP(Cleaned_MLB_Stats_Dataset__1[[#This Row],[Year]],'League Averages'!$A$3:$A$23,'League Averages'!$E$3:$E$23)</f>
        <v>0.27058630177734821</v>
      </c>
      <c r="AF149" s="6">
        <f>Cleaned_MLB_Stats_Dataset__1[[#This Row],[ISO (Isolated Power]]-_xlfn.XLOOKUP(Cleaned_MLB_Stats_Dataset__1[[#This Row],[Year]],'League Averages'!$A$3:$A$23,'League Averages'!$F$3:$F$23)</f>
        <v>7.6932773109243707E-2</v>
      </c>
    </row>
    <row r="150" spans="1:32" x14ac:dyDescent="0.2">
      <c r="A150" t="s">
        <v>310</v>
      </c>
      <c r="B150">
        <v>2008</v>
      </c>
      <c r="C150" t="s">
        <v>170</v>
      </c>
      <c r="D150" t="s">
        <v>3</v>
      </c>
      <c r="E150" t="s">
        <v>85</v>
      </c>
      <c r="F150" t="str">
        <f>_xlfn.XLOOKUP(Cleaned_MLB_Stats_Dataset__1[[#This Row],[Position'#]],$B$373:$B$382,$A$373:$A$382)</f>
        <v>3B</v>
      </c>
      <c r="G150">
        <v>5</v>
      </c>
      <c r="H150">
        <v>439</v>
      </c>
      <c r="I150">
        <v>160</v>
      </c>
      <c r="J150">
        <v>24</v>
      </c>
      <c r="K150">
        <v>1</v>
      </c>
      <c r="L150">
        <v>22</v>
      </c>
      <c r="M150">
        <v>82</v>
      </c>
      <c r="N150">
        <v>75</v>
      </c>
      <c r="O150">
        <v>61</v>
      </c>
      <c r="P150">
        <v>90</v>
      </c>
      <c r="Q150">
        <v>16</v>
      </c>
      <c r="R150">
        <v>1</v>
      </c>
      <c r="S150">
        <v>4</v>
      </c>
      <c r="T150">
        <v>0</v>
      </c>
      <c r="U150" s="6">
        <f>Cleaned_MLB_Stats_Dataset__1[[#This Row],[Hits]]/Cleaned_MLB_Stats_Dataset__1[[#This Row],[At Bats]]</f>
        <v>0.36446469248291574</v>
      </c>
      <c r="V150" s="6">
        <f>Cleaned_MLB_Stats_Dataset__1[[#This Row],[Strikeouts]]/(Cleaned_MLB_Stats_Dataset__1[[#This Row],[At Bats]]+Cleaned_MLB_Stats_Dataset__1[[#This Row],[Walks]])</f>
        <v>0.11531190926275993</v>
      </c>
      <c r="W15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0.17169811320754716</v>
      </c>
      <c r="X15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0.47003745318352058</v>
      </c>
      <c r="Y15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0.57403189066059224</v>
      </c>
      <c r="Z150" s="6">
        <f>Cleaned_MLB_Stats_Dataset__1[[#This Row],[On Base Percentage]]+Cleaned_MLB_Stats_Dataset__1[[#This Row],[Slugging %]]</f>
        <v>1.0440693438441129</v>
      </c>
      <c r="AA150" s="6">
        <f>Cleaned_MLB_Stats_Dataset__1[[#This Row],[Slugging %]]-Cleaned_MLB_Stats_Dataset__1[[#This Row],[Batting Average]]</f>
        <v>0.20956719817767649</v>
      </c>
      <c r="AB150" s="6">
        <f>Cleaned_MLB_Stats_Dataset__1[[#This Row],[Batting Average]]-_xlfn.XLOOKUP(Cleaned_MLB_Stats_Dataset__1[[#This Row],[Year]],'League Averages'!$A$3:$A$23,'League Averages'!$B$3:$B$23)</f>
        <v>0.10046469248291573</v>
      </c>
      <c r="AC150" s="6">
        <f>Cleaned_MLB_Stats_Dataset__1[[#This Row],[On Base Percentage]]-_xlfn.XLOOKUP(Cleaned_MLB_Stats_Dataset__1[[#This Row],[Year]],'League Averages'!$A$3:$A$23,'League Averages'!$C$3:$C$23)</f>
        <v>0.13703745318352056</v>
      </c>
      <c r="AD150" s="6">
        <f>Cleaned_MLB_Stats_Dataset__1[[#This Row],[Slugging %]]-_xlfn.XLOOKUP(Cleaned_MLB_Stats_Dataset__1[[#This Row],[Year]],'League Averages'!$A$3:$A$23,'League Averages'!$D$3:$D$23)</f>
        <v>0.15803189066059226</v>
      </c>
      <c r="AE150" s="6">
        <f>Cleaned_MLB_Stats_Dataset__1[[#This Row],[OPS (On Base + Slugging)]]-_xlfn.XLOOKUP(Cleaned_MLB_Stats_Dataset__1[[#This Row],[Year]],'League Averages'!$A$3:$A$23,'League Averages'!$E$3:$E$23)</f>
        <v>0.29506934384411287</v>
      </c>
      <c r="AF150" s="6">
        <f>Cleaned_MLB_Stats_Dataset__1[[#This Row],[ISO (Isolated Power]]-_xlfn.XLOOKUP(Cleaned_MLB_Stats_Dataset__1[[#This Row],[Year]],'League Averages'!$A$3:$A$23,'League Averages'!$F$3:$F$23)</f>
        <v>5.7567198177676498E-2</v>
      </c>
    </row>
    <row r="151" spans="1:32" x14ac:dyDescent="0.2">
      <c r="A151" t="s">
        <v>310</v>
      </c>
      <c r="B151">
        <v>2007</v>
      </c>
      <c r="C151" t="s">
        <v>110</v>
      </c>
      <c r="D151" t="s">
        <v>3</v>
      </c>
      <c r="E151" t="s">
        <v>79</v>
      </c>
      <c r="F151" t="str">
        <f>_xlfn.XLOOKUP(Cleaned_MLB_Stats_Dataset__1[[#This Row],[Position'#]],$B$373:$B$382,$A$373:$A$382)</f>
        <v>LF</v>
      </c>
      <c r="G151">
        <v>7</v>
      </c>
      <c r="H151">
        <v>340</v>
      </c>
      <c r="I151">
        <v>94</v>
      </c>
      <c r="J151">
        <v>14</v>
      </c>
      <c r="K151">
        <v>0</v>
      </c>
      <c r="L151">
        <v>28</v>
      </c>
      <c r="M151">
        <v>75</v>
      </c>
      <c r="N151">
        <v>66</v>
      </c>
      <c r="O151">
        <v>54</v>
      </c>
      <c r="P151">
        <v>132</v>
      </c>
      <c r="Q151">
        <v>43</v>
      </c>
      <c r="R151">
        <v>3</v>
      </c>
      <c r="S151">
        <v>2</v>
      </c>
      <c r="T151">
        <v>0</v>
      </c>
      <c r="U151" s="6">
        <f>Cleaned_MLB_Stats_Dataset__1[[#This Row],[Hits]]/Cleaned_MLB_Stats_Dataset__1[[#This Row],[At Bats]]</f>
        <v>0.27647058823529413</v>
      </c>
      <c r="V151" s="6">
        <f>Cleaned_MLB_Stats_Dataset__1[[#This Row],[Strikeouts]]/(Cleaned_MLB_Stats_Dataset__1[[#This Row],[At Bats]]+Cleaned_MLB_Stats_Dataset__1[[#This Row],[Walks]])</f>
        <v>0.11440677966101695</v>
      </c>
      <c r="W15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0.28421052631578947</v>
      </c>
      <c r="X15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0.48008385744234799</v>
      </c>
      <c r="Y15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0.56470588235294117</v>
      </c>
      <c r="Z151" s="6">
        <f>Cleaned_MLB_Stats_Dataset__1[[#This Row],[On Base Percentage]]+Cleaned_MLB_Stats_Dataset__1[[#This Row],[Slugging %]]</f>
        <v>1.0447897397952892</v>
      </c>
      <c r="AA151" s="6">
        <f>Cleaned_MLB_Stats_Dataset__1[[#This Row],[Slugging %]]-Cleaned_MLB_Stats_Dataset__1[[#This Row],[Batting Average]]</f>
        <v>0.28823529411764703</v>
      </c>
      <c r="AB151" s="6">
        <f>Cleaned_MLB_Stats_Dataset__1[[#This Row],[Batting Average]]-_xlfn.XLOOKUP(Cleaned_MLB_Stats_Dataset__1[[#This Row],[Year]],'League Averages'!$A$3:$A$23,'League Averages'!$B$3:$B$23)</f>
        <v>8.4705882352941186E-3</v>
      </c>
      <c r="AC151" s="6">
        <f>Cleaned_MLB_Stats_Dataset__1[[#This Row],[On Base Percentage]]-_xlfn.XLOOKUP(Cleaned_MLB_Stats_Dataset__1[[#This Row],[Year]],'League Averages'!$A$3:$A$23,'League Averages'!$C$3:$C$23)</f>
        <v>0.14408385744234797</v>
      </c>
      <c r="AD151" s="6">
        <f>Cleaned_MLB_Stats_Dataset__1[[#This Row],[Slugging %]]-_xlfn.XLOOKUP(Cleaned_MLB_Stats_Dataset__1[[#This Row],[Year]],'League Averages'!$A$3:$A$23,'League Averages'!$D$3:$D$23)</f>
        <v>0.14170588235294118</v>
      </c>
      <c r="AE151" s="6">
        <f>Cleaned_MLB_Stats_Dataset__1[[#This Row],[OPS (On Base + Slugging)]]-_xlfn.XLOOKUP(Cleaned_MLB_Stats_Dataset__1[[#This Row],[Year]],'League Averages'!$A$3:$A$23,'League Averages'!$E$3:$E$23)</f>
        <v>0.28678973979528921</v>
      </c>
      <c r="AF151" s="6">
        <f>Cleaned_MLB_Stats_Dataset__1[[#This Row],[ISO (Isolated Power]]-_xlfn.XLOOKUP(Cleaned_MLB_Stats_Dataset__1[[#This Row],[Year]],'League Averages'!$A$3:$A$23,'League Averages'!$F$3:$F$23)</f>
        <v>0.13323529411764704</v>
      </c>
    </row>
    <row r="152" spans="1:32" x14ac:dyDescent="0.2">
      <c r="A152" t="s">
        <v>310</v>
      </c>
      <c r="B152">
        <v>2013</v>
      </c>
      <c r="C152" t="s">
        <v>259</v>
      </c>
      <c r="D152" t="s">
        <v>6</v>
      </c>
      <c r="E152" t="s">
        <v>78</v>
      </c>
      <c r="F152" t="str">
        <f>_xlfn.XLOOKUP(Cleaned_MLB_Stats_Dataset__1[[#This Row],[Position'#]],$B$373:$B$382,$A$373:$A$382)</f>
        <v>SS</v>
      </c>
      <c r="G152">
        <v>6</v>
      </c>
      <c r="H152">
        <v>601</v>
      </c>
      <c r="I152">
        <v>158</v>
      </c>
      <c r="J152">
        <v>27</v>
      </c>
      <c r="K152">
        <v>0</v>
      </c>
      <c r="L152">
        <v>25</v>
      </c>
      <c r="M152">
        <v>66</v>
      </c>
      <c r="N152">
        <v>76</v>
      </c>
      <c r="O152">
        <v>73</v>
      </c>
      <c r="P152">
        <v>38</v>
      </c>
      <c r="Q152">
        <v>3</v>
      </c>
      <c r="R152">
        <v>0</v>
      </c>
      <c r="S152">
        <v>2</v>
      </c>
      <c r="T152">
        <v>3</v>
      </c>
      <c r="U152" s="6">
        <f>Cleaned_MLB_Stats_Dataset__1[[#This Row],[Hits]]/Cleaned_MLB_Stats_Dataset__1[[#This Row],[At Bats]]</f>
        <v>0.26289517470881862</v>
      </c>
      <c r="V152" s="6">
        <f>Cleaned_MLB_Stats_Dataset__1[[#This Row],[Strikeouts]]/(Cleaned_MLB_Stats_Dataset__1[[#This Row],[At Bats]]+Cleaned_MLB_Stats_Dataset__1[[#This Row],[Walks]])</f>
        <v>0.11424100156494522</v>
      </c>
      <c r="W15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5.9467918622848198E-2</v>
      </c>
      <c r="X15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0.30577223088923555</v>
      </c>
      <c r="Y15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0.43261231281198004</v>
      </c>
      <c r="Z152" s="6">
        <f>Cleaned_MLB_Stats_Dataset__1[[#This Row],[On Base Percentage]]+Cleaned_MLB_Stats_Dataset__1[[#This Row],[Slugging %]]</f>
        <v>0.73838454370121553</v>
      </c>
      <c r="AA152" s="6">
        <f>Cleaned_MLB_Stats_Dataset__1[[#This Row],[Slugging %]]-Cleaned_MLB_Stats_Dataset__1[[#This Row],[Batting Average]]</f>
        <v>0.16971713810316141</v>
      </c>
      <c r="AB152" s="6">
        <f>Cleaned_MLB_Stats_Dataset__1[[#This Row],[Batting Average]]-_xlfn.XLOOKUP(Cleaned_MLB_Stats_Dataset__1[[#This Row],[Year]],'League Averages'!$A$3:$A$23,'League Averages'!$B$3:$B$23)</f>
        <v>9.8951747088186215E-3</v>
      </c>
      <c r="AC152" s="6">
        <f>Cleaned_MLB_Stats_Dataset__1[[#This Row],[On Base Percentage]]-_xlfn.XLOOKUP(Cleaned_MLB_Stats_Dataset__1[[#This Row],[Year]],'League Averages'!$A$3:$A$23,'League Averages'!$C$3:$C$23)</f>
        <v>-1.2227769110764453E-2</v>
      </c>
      <c r="AD152" s="6">
        <f>Cleaned_MLB_Stats_Dataset__1[[#This Row],[Slugging %]]-_xlfn.XLOOKUP(Cleaned_MLB_Stats_Dataset__1[[#This Row],[Year]],'League Averages'!$A$3:$A$23,'League Averages'!$D$3:$D$23)</f>
        <v>3.6612312811980019E-2</v>
      </c>
      <c r="AE152" s="6">
        <f>Cleaned_MLB_Stats_Dataset__1[[#This Row],[OPS (On Base + Slugging)]]-_xlfn.XLOOKUP(Cleaned_MLB_Stats_Dataset__1[[#This Row],[Year]],'League Averages'!$A$3:$A$23,'League Averages'!$E$3:$E$23)</f>
        <v>2.4384543701215566E-2</v>
      </c>
      <c r="AF152" s="6">
        <f>Cleaned_MLB_Stats_Dataset__1[[#This Row],[ISO (Isolated Power]]-_xlfn.XLOOKUP(Cleaned_MLB_Stats_Dataset__1[[#This Row],[Year]],'League Averages'!$A$3:$A$23,'League Averages'!$F$3:$F$23)</f>
        <v>2.6717138103161425E-2</v>
      </c>
    </row>
    <row r="153" spans="1:32" x14ac:dyDescent="0.2">
      <c r="A153" t="s">
        <v>310</v>
      </c>
      <c r="B153">
        <v>2010</v>
      </c>
      <c r="C153" t="s">
        <v>257</v>
      </c>
      <c r="D153" t="s">
        <v>6</v>
      </c>
      <c r="E153" t="s">
        <v>71</v>
      </c>
      <c r="F153" t="str">
        <f>_xlfn.XLOOKUP(Cleaned_MLB_Stats_Dataset__1[[#This Row],[Position'#]],$B$373:$B$382,$A$373:$A$382)</f>
        <v>2B</v>
      </c>
      <c r="G153">
        <v>4</v>
      </c>
      <c r="H153">
        <v>626</v>
      </c>
      <c r="I153">
        <v>200</v>
      </c>
      <c r="J153">
        <v>41</v>
      </c>
      <c r="K153">
        <v>3</v>
      </c>
      <c r="L153">
        <v>29</v>
      </c>
      <c r="M153">
        <v>103</v>
      </c>
      <c r="N153">
        <v>109</v>
      </c>
      <c r="O153">
        <v>77</v>
      </c>
      <c r="P153">
        <v>57</v>
      </c>
      <c r="Q153">
        <v>14</v>
      </c>
      <c r="R153">
        <v>8</v>
      </c>
      <c r="S153">
        <v>5</v>
      </c>
      <c r="T153">
        <v>0</v>
      </c>
      <c r="U153" s="6">
        <f>Cleaned_MLB_Stats_Dataset__1[[#This Row],[Hits]]/Cleaned_MLB_Stats_Dataset__1[[#This Row],[At Bats]]</f>
        <v>0.31948881789137379</v>
      </c>
      <c r="V153" s="6">
        <f>Cleaned_MLB_Stats_Dataset__1[[#This Row],[Strikeouts]]/(Cleaned_MLB_Stats_Dataset__1[[#This Row],[At Bats]]+Cleaned_MLB_Stats_Dataset__1[[#This Row],[Walks]])</f>
        <v>0.11273792093704246</v>
      </c>
      <c r="W15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9.4066570188133136E-2</v>
      </c>
      <c r="X15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0.3807471264367816</v>
      </c>
      <c r="Y15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0.5335463258785943</v>
      </c>
      <c r="Z153" s="6">
        <f>Cleaned_MLB_Stats_Dataset__1[[#This Row],[On Base Percentage]]+Cleaned_MLB_Stats_Dataset__1[[#This Row],[Slugging %]]</f>
        <v>0.91429345231537584</v>
      </c>
      <c r="AA153" s="6">
        <f>Cleaned_MLB_Stats_Dataset__1[[#This Row],[Slugging %]]-Cleaned_MLB_Stats_Dataset__1[[#This Row],[Batting Average]]</f>
        <v>0.21405750798722051</v>
      </c>
      <c r="AB153" s="6">
        <f>Cleaned_MLB_Stats_Dataset__1[[#This Row],[Batting Average]]-_xlfn.XLOOKUP(Cleaned_MLB_Stats_Dataset__1[[#This Row],[Year]],'League Averages'!$A$3:$A$23,'League Averages'!$B$3:$B$23)</f>
        <v>6.2488817891373782E-2</v>
      </c>
      <c r="AC153" s="6">
        <f>Cleaned_MLB_Stats_Dataset__1[[#This Row],[On Base Percentage]]-_xlfn.XLOOKUP(Cleaned_MLB_Stats_Dataset__1[[#This Row],[Year]],'League Averages'!$A$3:$A$23,'League Averages'!$C$3:$C$23)</f>
        <v>5.5747126436781591E-2</v>
      </c>
      <c r="AD153" s="6">
        <f>Cleaned_MLB_Stats_Dataset__1[[#This Row],[Slugging %]]-_xlfn.XLOOKUP(Cleaned_MLB_Stats_Dataset__1[[#This Row],[Year]],'League Averages'!$A$3:$A$23,'League Averages'!$D$3:$D$23)</f>
        <v>0.13054632587859427</v>
      </c>
      <c r="AE153" s="6">
        <f>Cleaned_MLB_Stats_Dataset__1[[#This Row],[OPS (On Base + Slugging)]]-_xlfn.XLOOKUP(Cleaned_MLB_Stats_Dataset__1[[#This Row],[Year]],'League Averages'!$A$3:$A$23,'League Averages'!$E$3:$E$23)</f>
        <v>0.18629345231537586</v>
      </c>
      <c r="AF153" s="6">
        <f>Cleaned_MLB_Stats_Dataset__1[[#This Row],[ISO (Isolated Power]]-_xlfn.XLOOKUP(Cleaned_MLB_Stats_Dataset__1[[#This Row],[Year]],'League Averages'!$A$3:$A$23,'League Averages'!$F$3:$F$23)</f>
        <v>6.8057507987220517E-2</v>
      </c>
    </row>
    <row r="154" spans="1:32" x14ac:dyDescent="0.2">
      <c r="A154" t="s">
        <v>310</v>
      </c>
      <c r="B154">
        <v>2004</v>
      </c>
      <c r="C154" t="s">
        <v>186</v>
      </c>
      <c r="D154" t="s">
        <v>6</v>
      </c>
      <c r="E154" t="s">
        <v>191</v>
      </c>
      <c r="F154" t="str">
        <f>_xlfn.XLOOKUP(Cleaned_MLB_Stats_Dataset__1[[#This Row],[Position'#]],$B$373:$B$382,$A$373:$A$382)</f>
        <v>RF</v>
      </c>
      <c r="G154">
        <v>9</v>
      </c>
      <c r="H154">
        <v>612</v>
      </c>
      <c r="I154">
        <v>206</v>
      </c>
      <c r="J154">
        <v>39</v>
      </c>
      <c r="K154">
        <v>2</v>
      </c>
      <c r="L154">
        <v>39</v>
      </c>
      <c r="M154">
        <v>124</v>
      </c>
      <c r="N154">
        <v>126</v>
      </c>
      <c r="O154">
        <v>74</v>
      </c>
      <c r="P154">
        <v>52</v>
      </c>
      <c r="Q154">
        <v>14</v>
      </c>
      <c r="R154">
        <v>8</v>
      </c>
      <c r="S154">
        <v>8</v>
      </c>
      <c r="T154">
        <v>0</v>
      </c>
      <c r="U154" s="6">
        <f>Cleaned_MLB_Stats_Dataset__1[[#This Row],[Hits]]/Cleaned_MLB_Stats_Dataset__1[[#This Row],[At Bats]]</f>
        <v>0.33660130718954251</v>
      </c>
      <c r="V154" s="6">
        <f>Cleaned_MLB_Stats_Dataset__1[[#This Row],[Strikeouts]]/(Cleaned_MLB_Stats_Dataset__1[[#This Row],[At Bats]]+Cleaned_MLB_Stats_Dataset__1[[#This Row],[Walks]])</f>
        <v>0.11144578313253012</v>
      </c>
      <c r="W15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8.9285714285714288E-2</v>
      </c>
      <c r="X15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0.39117647058823529</v>
      </c>
      <c r="Y15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0.59803921568627449</v>
      </c>
      <c r="Z154" s="6">
        <f>Cleaned_MLB_Stats_Dataset__1[[#This Row],[On Base Percentage]]+Cleaned_MLB_Stats_Dataset__1[[#This Row],[Slugging %]]</f>
        <v>0.98921568627450984</v>
      </c>
      <c r="AA154" s="6">
        <f>Cleaned_MLB_Stats_Dataset__1[[#This Row],[Slugging %]]-Cleaned_MLB_Stats_Dataset__1[[#This Row],[Batting Average]]</f>
        <v>0.26143790849673199</v>
      </c>
      <c r="AB154" s="6">
        <f>Cleaned_MLB_Stats_Dataset__1[[#This Row],[Batting Average]]-_xlfn.XLOOKUP(Cleaned_MLB_Stats_Dataset__1[[#This Row],[Year]],'League Averages'!$A$3:$A$23,'League Averages'!$B$3:$B$23)</f>
        <v>7.0601307189542495E-2</v>
      </c>
      <c r="AC154" s="6">
        <f>Cleaned_MLB_Stats_Dataset__1[[#This Row],[On Base Percentage]]-_xlfn.XLOOKUP(Cleaned_MLB_Stats_Dataset__1[[#This Row],[Year]],'League Averages'!$A$3:$A$23,'League Averages'!$C$3:$C$23)</f>
        <v>5.6176470588235272E-2</v>
      </c>
      <c r="AD154" s="6">
        <f>Cleaned_MLB_Stats_Dataset__1[[#This Row],[Slugging %]]-_xlfn.XLOOKUP(Cleaned_MLB_Stats_Dataset__1[[#This Row],[Year]],'League Averages'!$A$3:$A$23,'League Averages'!$D$3:$D$23)</f>
        <v>0.1700392156862745</v>
      </c>
      <c r="AE154" s="6">
        <f>Cleaned_MLB_Stats_Dataset__1[[#This Row],[OPS (On Base + Slugging)]]-_xlfn.XLOOKUP(Cleaned_MLB_Stats_Dataset__1[[#This Row],[Year]],'League Averages'!$A$3:$A$23,'League Averages'!$E$3:$E$23)</f>
        <v>0.22621568627450983</v>
      </c>
      <c r="AF154" s="6">
        <f>Cleaned_MLB_Stats_Dataset__1[[#This Row],[ISO (Isolated Power]]-_xlfn.XLOOKUP(Cleaned_MLB_Stats_Dataset__1[[#This Row],[Year]],'League Averages'!$A$3:$A$23,'League Averages'!$F$3:$F$23)</f>
        <v>9.943790849673198E-2</v>
      </c>
    </row>
    <row r="155" spans="1:32" x14ac:dyDescent="0.2">
      <c r="A155" t="s">
        <v>310</v>
      </c>
      <c r="B155">
        <v>2010</v>
      </c>
      <c r="C155" t="s">
        <v>225</v>
      </c>
      <c r="D155" t="s">
        <v>3</v>
      </c>
      <c r="E155" t="s">
        <v>60</v>
      </c>
      <c r="F155" t="str">
        <f>_xlfn.XLOOKUP(Cleaned_MLB_Stats_Dataset__1[[#This Row],[Position'#]],$B$373:$B$382,$A$373:$A$382)</f>
        <v>1B</v>
      </c>
      <c r="G155">
        <v>3</v>
      </c>
      <c r="H155">
        <v>587</v>
      </c>
      <c r="I155">
        <v>183</v>
      </c>
      <c r="J155">
        <v>39</v>
      </c>
      <c r="K155">
        <v>1</v>
      </c>
      <c r="L155">
        <v>42</v>
      </c>
      <c r="M155">
        <v>115</v>
      </c>
      <c r="N155">
        <v>118</v>
      </c>
      <c r="O155">
        <v>76</v>
      </c>
      <c r="P155">
        <v>103</v>
      </c>
      <c r="Q155">
        <v>38</v>
      </c>
      <c r="R155">
        <v>4</v>
      </c>
      <c r="S155">
        <v>6</v>
      </c>
      <c r="T155">
        <v>0</v>
      </c>
      <c r="U155" s="6">
        <f>Cleaned_MLB_Stats_Dataset__1[[#This Row],[Hits]]/Cleaned_MLB_Stats_Dataset__1[[#This Row],[At Bats]]</f>
        <v>0.31175468483816016</v>
      </c>
      <c r="V155" s="6">
        <f>Cleaned_MLB_Stats_Dataset__1[[#This Row],[Strikeouts]]/(Cleaned_MLB_Stats_Dataset__1[[#This Row],[At Bats]]+Cleaned_MLB_Stats_Dataset__1[[#This Row],[Walks]])</f>
        <v>0.11014492753623188</v>
      </c>
      <c r="W15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0.15417867435158503</v>
      </c>
      <c r="X15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0.41428571428571431</v>
      </c>
      <c r="Y15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0.59625212947189099</v>
      </c>
      <c r="Z155" s="6">
        <f>Cleaned_MLB_Stats_Dataset__1[[#This Row],[On Base Percentage]]+Cleaned_MLB_Stats_Dataset__1[[#This Row],[Slugging %]]</f>
        <v>1.0105378437576054</v>
      </c>
      <c r="AA155" s="6">
        <f>Cleaned_MLB_Stats_Dataset__1[[#This Row],[Slugging %]]-Cleaned_MLB_Stats_Dataset__1[[#This Row],[Batting Average]]</f>
        <v>0.28449744463373083</v>
      </c>
      <c r="AB155" s="6">
        <f>Cleaned_MLB_Stats_Dataset__1[[#This Row],[Batting Average]]-_xlfn.XLOOKUP(Cleaned_MLB_Stats_Dataset__1[[#This Row],[Year]],'League Averages'!$A$3:$A$23,'League Averages'!$B$3:$B$23)</f>
        <v>5.475468483816015E-2</v>
      </c>
      <c r="AC155" s="6">
        <f>Cleaned_MLB_Stats_Dataset__1[[#This Row],[On Base Percentage]]-_xlfn.XLOOKUP(Cleaned_MLB_Stats_Dataset__1[[#This Row],[Year]],'League Averages'!$A$3:$A$23,'League Averages'!$C$3:$C$23)</f>
        <v>8.9285714285714302E-2</v>
      </c>
      <c r="AD155" s="6">
        <f>Cleaned_MLB_Stats_Dataset__1[[#This Row],[Slugging %]]-_xlfn.XLOOKUP(Cleaned_MLB_Stats_Dataset__1[[#This Row],[Year]],'League Averages'!$A$3:$A$23,'League Averages'!$D$3:$D$23)</f>
        <v>0.19325212947189097</v>
      </c>
      <c r="AE155" s="6">
        <f>Cleaned_MLB_Stats_Dataset__1[[#This Row],[OPS (On Base + Slugging)]]-_xlfn.XLOOKUP(Cleaned_MLB_Stats_Dataset__1[[#This Row],[Year]],'League Averages'!$A$3:$A$23,'League Averages'!$E$3:$E$23)</f>
        <v>0.28253784375760538</v>
      </c>
      <c r="AF155" s="6">
        <f>Cleaned_MLB_Stats_Dataset__1[[#This Row],[ISO (Isolated Power]]-_xlfn.XLOOKUP(Cleaned_MLB_Stats_Dataset__1[[#This Row],[Year]],'League Averages'!$A$3:$A$23,'League Averages'!$F$3:$F$23)</f>
        <v>0.13849744463373084</v>
      </c>
    </row>
    <row r="156" spans="1:32" x14ac:dyDescent="0.2">
      <c r="A156" t="s">
        <v>310</v>
      </c>
      <c r="B156">
        <v>2012</v>
      </c>
      <c r="C156" t="s">
        <v>217</v>
      </c>
      <c r="D156" t="s">
        <v>3</v>
      </c>
      <c r="E156" t="s">
        <v>60</v>
      </c>
      <c r="F156" t="str">
        <f>_xlfn.XLOOKUP(Cleaned_MLB_Stats_Dataset__1[[#This Row],[Position'#]],$B$373:$B$382,$A$373:$A$382)</f>
        <v>SS</v>
      </c>
      <c r="G156">
        <v>6</v>
      </c>
      <c r="H156">
        <v>477</v>
      </c>
      <c r="I156">
        <v>126</v>
      </c>
      <c r="J156">
        <v>18</v>
      </c>
      <c r="K156">
        <v>3</v>
      </c>
      <c r="L156">
        <v>5</v>
      </c>
      <c r="M156">
        <v>69</v>
      </c>
      <c r="N156">
        <v>49</v>
      </c>
      <c r="O156">
        <v>57</v>
      </c>
      <c r="P156">
        <v>44</v>
      </c>
      <c r="Q156">
        <v>1</v>
      </c>
      <c r="R156">
        <v>1</v>
      </c>
      <c r="S156">
        <v>4</v>
      </c>
      <c r="T156">
        <v>5</v>
      </c>
      <c r="U156" s="6">
        <f>Cleaned_MLB_Stats_Dataset__1[[#This Row],[Hits]]/Cleaned_MLB_Stats_Dataset__1[[#This Row],[At Bats]]</f>
        <v>0.26415094339622641</v>
      </c>
      <c r="V156" s="6">
        <f>Cleaned_MLB_Stats_Dataset__1[[#This Row],[Strikeouts]]/(Cleaned_MLB_Stats_Dataset__1[[#This Row],[At Bats]]+Cleaned_MLB_Stats_Dataset__1[[#This Row],[Walks]])</f>
        <v>0.10940499040307101</v>
      </c>
      <c r="W15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8.6206896551724144E-2</v>
      </c>
      <c r="X15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0.32509505703422054</v>
      </c>
      <c r="Y15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0.34591194968553457</v>
      </c>
      <c r="Z156" s="6">
        <f>Cleaned_MLB_Stats_Dataset__1[[#This Row],[On Base Percentage]]+Cleaned_MLB_Stats_Dataset__1[[#This Row],[Slugging %]]</f>
        <v>0.67100700671975511</v>
      </c>
      <c r="AA156" s="6">
        <f>Cleaned_MLB_Stats_Dataset__1[[#This Row],[Slugging %]]-Cleaned_MLB_Stats_Dataset__1[[#This Row],[Batting Average]]</f>
        <v>8.1761006289308158E-2</v>
      </c>
      <c r="AB156" s="6">
        <f>Cleaned_MLB_Stats_Dataset__1[[#This Row],[Batting Average]]-_xlfn.XLOOKUP(Cleaned_MLB_Stats_Dataset__1[[#This Row],[Year]],'League Averages'!$A$3:$A$23,'League Averages'!$B$3:$B$23)</f>
        <v>9.1509433962264075E-3</v>
      </c>
      <c r="AC156" s="6">
        <f>Cleaned_MLB_Stats_Dataset__1[[#This Row],[On Base Percentage]]-_xlfn.XLOOKUP(Cleaned_MLB_Stats_Dataset__1[[#This Row],[Year]],'League Averages'!$A$3:$A$23,'League Averages'!$C$3:$C$23)</f>
        <v>6.0950570342205301E-3</v>
      </c>
      <c r="AD156" s="6">
        <f>Cleaned_MLB_Stats_Dataset__1[[#This Row],[Slugging %]]-_xlfn.XLOOKUP(Cleaned_MLB_Stats_Dataset__1[[#This Row],[Year]],'League Averages'!$A$3:$A$23,'League Averages'!$D$3:$D$23)</f>
        <v>-5.9088050314465457E-2</v>
      </c>
      <c r="AE156" s="6">
        <f>Cleaned_MLB_Stats_Dataset__1[[#This Row],[OPS (On Base + Slugging)]]-_xlfn.XLOOKUP(Cleaned_MLB_Stats_Dataset__1[[#This Row],[Year]],'League Averages'!$A$3:$A$23,'League Averages'!$E$3:$E$23)</f>
        <v>-5.2992993280244871E-2</v>
      </c>
      <c r="AF156" s="6">
        <f>Cleaned_MLB_Stats_Dataset__1[[#This Row],[ISO (Isolated Power]]-_xlfn.XLOOKUP(Cleaned_MLB_Stats_Dataset__1[[#This Row],[Year]],'League Averages'!$A$3:$A$23,'League Averages'!$F$3:$F$23)</f>
        <v>-6.8238993710691837E-2</v>
      </c>
    </row>
    <row r="157" spans="1:32" x14ac:dyDescent="0.2">
      <c r="A157" t="s">
        <v>310</v>
      </c>
      <c r="B157">
        <v>2003</v>
      </c>
      <c r="C157" t="s">
        <v>110</v>
      </c>
      <c r="D157" t="s">
        <v>3</v>
      </c>
      <c r="E157" t="s">
        <v>79</v>
      </c>
      <c r="F157" t="str">
        <f>_xlfn.XLOOKUP(Cleaned_MLB_Stats_Dataset__1[[#This Row],[Position'#]],$B$373:$B$382,$A$373:$A$382)</f>
        <v>DH</v>
      </c>
      <c r="G157">
        <v>10</v>
      </c>
      <c r="H157">
        <v>390</v>
      </c>
      <c r="I157">
        <v>133</v>
      </c>
      <c r="J157">
        <v>22</v>
      </c>
      <c r="K157">
        <v>1</v>
      </c>
      <c r="L157">
        <v>45</v>
      </c>
      <c r="M157">
        <v>111</v>
      </c>
      <c r="N157">
        <v>90</v>
      </c>
      <c r="O157">
        <v>58</v>
      </c>
      <c r="P157">
        <v>148</v>
      </c>
      <c r="Q157">
        <v>61</v>
      </c>
      <c r="R157">
        <v>10</v>
      </c>
      <c r="S157">
        <v>2</v>
      </c>
      <c r="T157">
        <v>0</v>
      </c>
      <c r="U157" s="6">
        <f>Cleaned_MLB_Stats_Dataset__1[[#This Row],[Hits]]/Cleaned_MLB_Stats_Dataset__1[[#This Row],[At Bats]]</f>
        <v>0.34102564102564104</v>
      </c>
      <c r="V157" s="6">
        <f>Cleaned_MLB_Stats_Dataset__1[[#This Row],[Strikeouts]]/(Cleaned_MLB_Stats_Dataset__1[[#This Row],[At Bats]]+Cleaned_MLB_Stats_Dataset__1[[#This Row],[Walks]])</f>
        <v>0.10780669144981413</v>
      </c>
      <c r="W15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0.28832116788321166</v>
      </c>
      <c r="X15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0.52909090909090906</v>
      </c>
      <c r="Y15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0.74871794871794872</v>
      </c>
      <c r="Z157" s="6">
        <f>Cleaned_MLB_Stats_Dataset__1[[#This Row],[On Base Percentage]]+Cleaned_MLB_Stats_Dataset__1[[#This Row],[Slugging %]]</f>
        <v>1.2778088578088578</v>
      </c>
      <c r="AA157" s="6">
        <f>Cleaned_MLB_Stats_Dataset__1[[#This Row],[Slugging %]]-Cleaned_MLB_Stats_Dataset__1[[#This Row],[Batting Average]]</f>
        <v>0.40769230769230769</v>
      </c>
      <c r="AB157" s="6">
        <f>Cleaned_MLB_Stats_Dataset__1[[#This Row],[Batting Average]]-_xlfn.XLOOKUP(Cleaned_MLB_Stats_Dataset__1[[#This Row],[Year]],'League Averages'!$A$3:$A$23,'League Averages'!$B$3:$B$23)</f>
        <v>7.7025641025641023E-2</v>
      </c>
      <c r="AC157" s="6">
        <f>Cleaned_MLB_Stats_Dataset__1[[#This Row],[On Base Percentage]]-_xlfn.XLOOKUP(Cleaned_MLB_Stats_Dataset__1[[#This Row],[Year]],'League Averages'!$A$3:$A$23,'League Averages'!$C$3:$C$23)</f>
        <v>0.19609090909090904</v>
      </c>
      <c r="AD157" s="6">
        <f>Cleaned_MLB_Stats_Dataset__1[[#This Row],[Slugging %]]-_xlfn.XLOOKUP(Cleaned_MLB_Stats_Dataset__1[[#This Row],[Year]],'League Averages'!$A$3:$A$23,'League Averages'!$D$3:$D$23)</f>
        <v>0.32671794871794874</v>
      </c>
      <c r="AE157" s="6">
        <f>Cleaned_MLB_Stats_Dataset__1[[#This Row],[OPS (On Base + Slugging)]]-_xlfn.XLOOKUP(Cleaned_MLB_Stats_Dataset__1[[#This Row],[Year]],'League Averages'!$A$3:$A$23,'League Averages'!$E$3:$E$23)</f>
        <v>0.52280885780885777</v>
      </c>
      <c r="AF157" s="6">
        <f>Cleaned_MLB_Stats_Dataset__1[[#This Row],[ISO (Isolated Power]]-_xlfn.XLOOKUP(Cleaned_MLB_Stats_Dataset__1[[#This Row],[Year]],'League Averages'!$A$3:$A$23,'League Averages'!$F$3:$F$23)</f>
        <v>0.24969230769230769</v>
      </c>
    </row>
    <row r="158" spans="1:32" x14ac:dyDescent="0.2">
      <c r="A158" t="s">
        <v>310</v>
      </c>
      <c r="B158">
        <v>2007</v>
      </c>
      <c r="C158" t="s">
        <v>228</v>
      </c>
      <c r="D158" t="s">
        <v>6</v>
      </c>
      <c r="E158" t="s">
        <v>91</v>
      </c>
      <c r="F158" t="str">
        <f>_xlfn.XLOOKUP(Cleaned_MLB_Stats_Dataset__1[[#This Row],[Position'#]],$B$373:$B$382,$A$373:$A$382)</f>
        <v>CF</v>
      </c>
      <c r="G158">
        <v>8</v>
      </c>
      <c r="H158">
        <v>678</v>
      </c>
      <c r="I158">
        <v>238</v>
      </c>
      <c r="J158">
        <v>22</v>
      </c>
      <c r="K158">
        <v>7</v>
      </c>
      <c r="L158">
        <v>6</v>
      </c>
      <c r="M158">
        <v>111</v>
      </c>
      <c r="N158">
        <v>68</v>
      </c>
      <c r="O158">
        <v>77</v>
      </c>
      <c r="P158">
        <v>49</v>
      </c>
      <c r="Q158">
        <v>13</v>
      </c>
      <c r="R158">
        <v>3</v>
      </c>
      <c r="S158">
        <v>2</v>
      </c>
      <c r="T158">
        <v>4</v>
      </c>
      <c r="U158" s="6">
        <f>Cleaned_MLB_Stats_Dataset__1[[#This Row],[Hits]]/Cleaned_MLB_Stats_Dataset__1[[#This Row],[At Bats]]</f>
        <v>0.35103244837758113</v>
      </c>
      <c r="V158" s="6">
        <f>Cleaned_MLB_Stats_Dataset__1[[#This Row],[Strikeouts]]/(Cleaned_MLB_Stats_Dataset__1[[#This Row],[At Bats]]+Cleaned_MLB_Stats_Dataset__1[[#This Row],[Walks]])</f>
        <v>0.10591471801925723</v>
      </c>
      <c r="W15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7.1232876712328766E-2</v>
      </c>
      <c r="X15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0.39617486338797814</v>
      </c>
      <c r="Y15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0.43067846607669619</v>
      </c>
      <c r="Z158" s="6">
        <f>Cleaned_MLB_Stats_Dataset__1[[#This Row],[On Base Percentage]]+Cleaned_MLB_Stats_Dataset__1[[#This Row],[Slugging %]]</f>
        <v>0.82685332946467427</v>
      </c>
      <c r="AA158" s="6">
        <f>Cleaned_MLB_Stats_Dataset__1[[#This Row],[Slugging %]]-Cleaned_MLB_Stats_Dataset__1[[#This Row],[Batting Average]]</f>
        <v>7.9646017699115057E-2</v>
      </c>
      <c r="AB158" s="6">
        <f>Cleaned_MLB_Stats_Dataset__1[[#This Row],[Batting Average]]-_xlfn.XLOOKUP(Cleaned_MLB_Stats_Dataset__1[[#This Row],[Year]],'League Averages'!$A$3:$A$23,'League Averages'!$B$3:$B$23)</f>
        <v>8.3032448377581114E-2</v>
      </c>
      <c r="AC158" s="6">
        <f>Cleaned_MLB_Stats_Dataset__1[[#This Row],[On Base Percentage]]-_xlfn.XLOOKUP(Cleaned_MLB_Stats_Dataset__1[[#This Row],[Year]],'League Averages'!$A$3:$A$23,'League Averages'!$C$3:$C$23)</f>
        <v>6.0174863387978117E-2</v>
      </c>
      <c r="AD158" s="6">
        <f>Cleaned_MLB_Stats_Dataset__1[[#This Row],[Slugging %]]-_xlfn.XLOOKUP(Cleaned_MLB_Stats_Dataset__1[[#This Row],[Year]],'League Averages'!$A$3:$A$23,'League Averages'!$D$3:$D$23)</f>
        <v>7.6784660766961998E-3</v>
      </c>
      <c r="AE158" s="6">
        <f>Cleaned_MLB_Stats_Dataset__1[[#This Row],[OPS (On Base + Slugging)]]-_xlfn.XLOOKUP(Cleaned_MLB_Stats_Dataset__1[[#This Row],[Year]],'League Averages'!$A$3:$A$23,'League Averages'!$E$3:$E$23)</f>
        <v>6.8853329464674262E-2</v>
      </c>
      <c r="AF158" s="6">
        <f>Cleaned_MLB_Stats_Dataset__1[[#This Row],[ISO (Isolated Power]]-_xlfn.XLOOKUP(Cleaned_MLB_Stats_Dataset__1[[#This Row],[Year]],'League Averages'!$A$3:$A$23,'League Averages'!$F$3:$F$23)</f>
        <v>-7.5353982300884942E-2</v>
      </c>
    </row>
    <row r="159" spans="1:32" x14ac:dyDescent="0.2">
      <c r="A159" t="s">
        <v>310</v>
      </c>
      <c r="B159">
        <v>2009</v>
      </c>
      <c r="C159" t="s">
        <v>228</v>
      </c>
      <c r="D159" t="s">
        <v>6</v>
      </c>
      <c r="E159" t="s">
        <v>91</v>
      </c>
      <c r="F159" t="str">
        <f>_xlfn.XLOOKUP(Cleaned_MLB_Stats_Dataset__1[[#This Row],[Position'#]],$B$373:$B$382,$A$373:$A$382)</f>
        <v>RF</v>
      </c>
      <c r="G159">
        <v>9</v>
      </c>
      <c r="H159">
        <v>639</v>
      </c>
      <c r="I159">
        <v>225</v>
      </c>
      <c r="J159">
        <v>31</v>
      </c>
      <c r="K159">
        <v>4</v>
      </c>
      <c r="L159">
        <v>11</v>
      </c>
      <c r="M159">
        <v>88</v>
      </c>
      <c r="N159">
        <v>46</v>
      </c>
      <c r="O159">
        <v>71</v>
      </c>
      <c r="P159">
        <v>32</v>
      </c>
      <c r="Q159">
        <v>15</v>
      </c>
      <c r="R159">
        <v>4</v>
      </c>
      <c r="S159">
        <v>1</v>
      </c>
      <c r="T159">
        <v>2</v>
      </c>
      <c r="U159" s="6">
        <f>Cleaned_MLB_Stats_Dataset__1[[#This Row],[Hits]]/Cleaned_MLB_Stats_Dataset__1[[#This Row],[At Bats]]</f>
        <v>0.352112676056338</v>
      </c>
      <c r="V159" s="6">
        <f>Cleaned_MLB_Stats_Dataset__1[[#This Row],[Strikeouts]]/(Cleaned_MLB_Stats_Dataset__1[[#This Row],[At Bats]]+Cleaned_MLB_Stats_Dataset__1[[#This Row],[Walks]])</f>
        <v>0.10581222056631892</v>
      </c>
      <c r="W15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5.3333333333333337E-2</v>
      </c>
      <c r="X15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0.38609467455621299</v>
      </c>
      <c r="Y15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0.46478873239436619</v>
      </c>
      <c r="Z159" s="6">
        <f>Cleaned_MLB_Stats_Dataset__1[[#This Row],[On Base Percentage]]+Cleaned_MLB_Stats_Dataset__1[[#This Row],[Slugging %]]</f>
        <v>0.85088340695057918</v>
      </c>
      <c r="AA159" s="6">
        <f>Cleaned_MLB_Stats_Dataset__1[[#This Row],[Slugging %]]-Cleaned_MLB_Stats_Dataset__1[[#This Row],[Batting Average]]</f>
        <v>0.11267605633802819</v>
      </c>
      <c r="AB159" s="6">
        <f>Cleaned_MLB_Stats_Dataset__1[[#This Row],[Batting Average]]-_xlfn.XLOOKUP(Cleaned_MLB_Stats_Dataset__1[[#This Row],[Year]],'League Averages'!$A$3:$A$23,'League Averages'!$B$3:$B$23)</f>
        <v>9.0112676056337992E-2</v>
      </c>
      <c r="AC159" s="6">
        <f>Cleaned_MLB_Stats_Dataset__1[[#This Row],[On Base Percentage]]-_xlfn.XLOOKUP(Cleaned_MLB_Stats_Dataset__1[[#This Row],[Year]],'League Averages'!$A$3:$A$23,'League Averages'!$C$3:$C$23)</f>
        <v>5.3094674556212973E-2</v>
      </c>
      <c r="AD159" s="6">
        <f>Cleaned_MLB_Stats_Dataset__1[[#This Row],[Slugging %]]-_xlfn.XLOOKUP(Cleaned_MLB_Stats_Dataset__1[[#This Row],[Year]],'League Averages'!$A$3:$A$23,'League Averages'!$D$3:$D$23)</f>
        <v>4.6788732394366206E-2</v>
      </c>
      <c r="AE159" s="6">
        <f>Cleaned_MLB_Stats_Dataset__1[[#This Row],[OPS (On Base + Slugging)]]-_xlfn.XLOOKUP(Cleaned_MLB_Stats_Dataset__1[[#This Row],[Year]],'League Averages'!$A$3:$A$23,'League Averages'!$E$3:$E$23)</f>
        <v>9.9883406950579179E-2</v>
      </c>
      <c r="AF159" s="6">
        <f>Cleaned_MLB_Stats_Dataset__1[[#This Row],[ISO (Isolated Power]]-_xlfn.XLOOKUP(Cleaned_MLB_Stats_Dataset__1[[#This Row],[Year]],'League Averages'!$A$3:$A$23,'League Averages'!$F$3:$F$23)</f>
        <v>-4.3323943661971814E-2</v>
      </c>
    </row>
    <row r="160" spans="1:32" x14ac:dyDescent="0.2">
      <c r="A160" t="s">
        <v>310</v>
      </c>
      <c r="B160">
        <v>2009</v>
      </c>
      <c r="C160" t="s">
        <v>251</v>
      </c>
      <c r="D160" t="s">
        <v>6</v>
      </c>
      <c r="E160" t="s">
        <v>81</v>
      </c>
      <c r="F160" t="str">
        <f>_xlfn.XLOOKUP(Cleaned_MLB_Stats_Dataset__1[[#This Row],[Position'#]],$B$373:$B$382,$A$373:$A$382)</f>
        <v>C</v>
      </c>
      <c r="G160">
        <v>2</v>
      </c>
      <c r="H160">
        <v>523</v>
      </c>
      <c r="I160">
        <v>191</v>
      </c>
      <c r="J160">
        <v>30</v>
      </c>
      <c r="K160">
        <v>1</v>
      </c>
      <c r="L160">
        <v>28</v>
      </c>
      <c r="M160">
        <v>94</v>
      </c>
      <c r="N160">
        <v>96</v>
      </c>
      <c r="O160">
        <v>63</v>
      </c>
      <c r="P160">
        <v>76</v>
      </c>
      <c r="Q160">
        <v>14</v>
      </c>
      <c r="R160">
        <v>2</v>
      </c>
      <c r="S160">
        <v>5</v>
      </c>
      <c r="T160">
        <v>0</v>
      </c>
      <c r="U160" s="6">
        <f>Cleaned_MLB_Stats_Dataset__1[[#This Row],[Hits]]/Cleaned_MLB_Stats_Dataset__1[[#This Row],[At Bats]]</f>
        <v>0.36520076481835562</v>
      </c>
      <c r="V160" s="6">
        <f>Cleaned_MLB_Stats_Dataset__1[[#This Row],[Strikeouts]]/(Cleaned_MLB_Stats_Dataset__1[[#This Row],[At Bats]]+Cleaned_MLB_Stats_Dataset__1[[#This Row],[Walks]])</f>
        <v>0.10517529215358931</v>
      </c>
      <c r="W16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0.12978369384359401</v>
      </c>
      <c r="X16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0.44389438943894388</v>
      </c>
      <c r="Y16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0.5869980879541109</v>
      </c>
      <c r="Z160" s="6">
        <f>Cleaned_MLB_Stats_Dataset__1[[#This Row],[On Base Percentage]]+Cleaned_MLB_Stats_Dataset__1[[#This Row],[Slugging %]]</f>
        <v>1.0308924773930548</v>
      </c>
      <c r="AA160" s="6">
        <f>Cleaned_MLB_Stats_Dataset__1[[#This Row],[Slugging %]]-Cleaned_MLB_Stats_Dataset__1[[#This Row],[Batting Average]]</f>
        <v>0.22179732313575529</v>
      </c>
      <c r="AB160" s="6">
        <f>Cleaned_MLB_Stats_Dataset__1[[#This Row],[Batting Average]]-_xlfn.XLOOKUP(Cleaned_MLB_Stats_Dataset__1[[#This Row],[Year]],'League Averages'!$A$3:$A$23,'League Averages'!$B$3:$B$23)</f>
        <v>0.10320076481835561</v>
      </c>
      <c r="AC160" s="6">
        <f>Cleaned_MLB_Stats_Dataset__1[[#This Row],[On Base Percentage]]-_xlfn.XLOOKUP(Cleaned_MLB_Stats_Dataset__1[[#This Row],[Year]],'League Averages'!$A$3:$A$23,'League Averages'!$C$3:$C$23)</f>
        <v>0.11089438943894386</v>
      </c>
      <c r="AD160" s="6">
        <f>Cleaned_MLB_Stats_Dataset__1[[#This Row],[Slugging %]]-_xlfn.XLOOKUP(Cleaned_MLB_Stats_Dataset__1[[#This Row],[Year]],'League Averages'!$A$3:$A$23,'League Averages'!$D$3:$D$23)</f>
        <v>0.16899808795411092</v>
      </c>
      <c r="AE160" s="6">
        <f>Cleaned_MLB_Stats_Dataset__1[[#This Row],[OPS (On Base + Slugging)]]-_xlfn.XLOOKUP(Cleaned_MLB_Stats_Dataset__1[[#This Row],[Year]],'League Averages'!$A$3:$A$23,'League Averages'!$E$3:$E$23)</f>
        <v>0.27989247739305478</v>
      </c>
      <c r="AF160" s="6">
        <f>Cleaned_MLB_Stats_Dataset__1[[#This Row],[ISO (Isolated Power]]-_xlfn.XLOOKUP(Cleaned_MLB_Stats_Dataset__1[[#This Row],[Year]],'League Averages'!$A$3:$A$23,'League Averages'!$F$3:$F$23)</f>
        <v>6.5797323135755287E-2</v>
      </c>
    </row>
    <row r="161" spans="1:32" x14ac:dyDescent="0.2">
      <c r="A161" t="s">
        <v>310</v>
      </c>
      <c r="B161">
        <v>2009</v>
      </c>
      <c r="C161" t="s">
        <v>242</v>
      </c>
      <c r="D161" t="s">
        <v>3</v>
      </c>
      <c r="E161" t="s">
        <v>29</v>
      </c>
      <c r="F161" t="str">
        <f>_xlfn.XLOOKUP(Cleaned_MLB_Stats_Dataset__1[[#This Row],[Position'#]],$B$373:$B$382,$A$373:$A$382)</f>
        <v>CF</v>
      </c>
      <c r="G161">
        <v>8</v>
      </c>
      <c r="H161">
        <v>620</v>
      </c>
      <c r="I161">
        <v>181</v>
      </c>
      <c r="J161">
        <v>39</v>
      </c>
      <c r="K161">
        <v>13</v>
      </c>
      <c r="L161">
        <v>10</v>
      </c>
      <c r="M161">
        <v>102</v>
      </c>
      <c r="N161">
        <v>62</v>
      </c>
      <c r="O161">
        <v>71</v>
      </c>
      <c r="P161">
        <v>60</v>
      </c>
      <c r="Q161">
        <v>1</v>
      </c>
      <c r="R161">
        <v>6</v>
      </c>
      <c r="S161">
        <v>4</v>
      </c>
      <c r="T161">
        <v>4</v>
      </c>
      <c r="U161" s="6">
        <f>Cleaned_MLB_Stats_Dataset__1[[#This Row],[Hits]]/Cleaned_MLB_Stats_Dataset__1[[#This Row],[At Bats]]</f>
        <v>0.29193548387096774</v>
      </c>
      <c r="V161" s="6">
        <f>Cleaned_MLB_Stats_Dataset__1[[#This Row],[Strikeouts]]/(Cleaned_MLB_Stats_Dataset__1[[#This Row],[At Bats]]+Cleaned_MLB_Stats_Dataset__1[[#This Row],[Walks]])</f>
        <v>0.10441176470588236</v>
      </c>
      <c r="W16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9.6209912536443148E-2</v>
      </c>
      <c r="X16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0.35797101449275365</v>
      </c>
      <c r="Y16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0.44516129032258067</v>
      </c>
      <c r="Z161" s="6">
        <f>Cleaned_MLB_Stats_Dataset__1[[#This Row],[On Base Percentage]]+Cleaned_MLB_Stats_Dataset__1[[#This Row],[Slugging %]]</f>
        <v>0.80313230481533426</v>
      </c>
      <c r="AA161" s="6">
        <f>Cleaned_MLB_Stats_Dataset__1[[#This Row],[Slugging %]]-Cleaned_MLB_Stats_Dataset__1[[#This Row],[Batting Average]]</f>
        <v>0.15322580645161293</v>
      </c>
      <c r="AB161" s="6">
        <f>Cleaned_MLB_Stats_Dataset__1[[#This Row],[Batting Average]]-_xlfn.XLOOKUP(Cleaned_MLB_Stats_Dataset__1[[#This Row],[Year]],'League Averages'!$A$3:$A$23,'League Averages'!$B$3:$B$23)</f>
        <v>2.9935483870967727E-2</v>
      </c>
      <c r="AC161" s="6">
        <f>Cleaned_MLB_Stats_Dataset__1[[#This Row],[On Base Percentage]]-_xlfn.XLOOKUP(Cleaned_MLB_Stats_Dataset__1[[#This Row],[Year]],'League Averages'!$A$3:$A$23,'League Averages'!$C$3:$C$23)</f>
        <v>2.4971014492753629E-2</v>
      </c>
      <c r="AD161" s="6">
        <f>Cleaned_MLB_Stats_Dataset__1[[#This Row],[Slugging %]]-_xlfn.XLOOKUP(Cleaned_MLB_Stats_Dataset__1[[#This Row],[Year]],'League Averages'!$A$3:$A$23,'League Averages'!$D$3:$D$23)</f>
        <v>2.7161290322580689E-2</v>
      </c>
      <c r="AE161" s="6">
        <f>Cleaned_MLB_Stats_Dataset__1[[#This Row],[OPS (On Base + Slugging)]]-_xlfn.XLOOKUP(Cleaned_MLB_Stats_Dataset__1[[#This Row],[Year]],'League Averages'!$A$3:$A$23,'League Averages'!$E$3:$E$23)</f>
        <v>5.2132304815334263E-2</v>
      </c>
      <c r="AF161" s="6">
        <f>Cleaned_MLB_Stats_Dataset__1[[#This Row],[ISO (Isolated Power]]-_xlfn.XLOOKUP(Cleaned_MLB_Stats_Dataset__1[[#This Row],[Year]],'League Averages'!$A$3:$A$23,'League Averages'!$F$3:$F$23)</f>
        <v>-2.7741935483870661E-3</v>
      </c>
    </row>
    <row r="162" spans="1:32" x14ac:dyDescent="0.2">
      <c r="A162" t="s">
        <v>310</v>
      </c>
      <c r="B162">
        <v>2003</v>
      </c>
      <c r="C162" t="s">
        <v>193</v>
      </c>
      <c r="D162" t="s">
        <v>3</v>
      </c>
      <c r="E162" t="s">
        <v>164</v>
      </c>
      <c r="F162" t="str">
        <f>_xlfn.XLOOKUP(Cleaned_MLB_Stats_Dataset__1[[#This Row],[Position'#]],$B$373:$B$382,$A$373:$A$382)</f>
        <v>1B</v>
      </c>
      <c r="G162">
        <v>3</v>
      </c>
      <c r="H162">
        <v>583</v>
      </c>
      <c r="I162">
        <v>209</v>
      </c>
      <c r="J162">
        <v>49</v>
      </c>
      <c r="K162">
        <v>5</v>
      </c>
      <c r="L162">
        <v>33</v>
      </c>
      <c r="M162">
        <v>135</v>
      </c>
      <c r="N162">
        <v>117</v>
      </c>
      <c r="O162">
        <v>72</v>
      </c>
      <c r="P162">
        <v>111</v>
      </c>
      <c r="Q162">
        <v>21</v>
      </c>
      <c r="R162">
        <v>2</v>
      </c>
      <c r="S162">
        <v>7</v>
      </c>
      <c r="T162">
        <v>0</v>
      </c>
      <c r="U162" s="6">
        <f>Cleaned_MLB_Stats_Dataset__1[[#This Row],[Hits]]/Cleaned_MLB_Stats_Dataset__1[[#This Row],[At Bats]]</f>
        <v>0.35849056603773582</v>
      </c>
      <c r="V162" s="6">
        <f>Cleaned_MLB_Stats_Dataset__1[[#This Row],[Strikeouts]]/(Cleaned_MLB_Stats_Dataset__1[[#This Row],[At Bats]]+Cleaned_MLB_Stats_Dataset__1[[#This Row],[Walks]])</f>
        <v>0.1037463976945245</v>
      </c>
      <c r="W16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0.16235632183908047</v>
      </c>
      <c r="X16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0.45803698435277385</v>
      </c>
      <c r="Y16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0.6295025728987993</v>
      </c>
      <c r="Z162" s="6">
        <f>Cleaned_MLB_Stats_Dataset__1[[#This Row],[On Base Percentage]]+Cleaned_MLB_Stats_Dataset__1[[#This Row],[Slugging %]]</f>
        <v>1.0875395572515731</v>
      </c>
      <c r="AA162" s="6">
        <f>Cleaned_MLB_Stats_Dataset__1[[#This Row],[Slugging %]]-Cleaned_MLB_Stats_Dataset__1[[#This Row],[Batting Average]]</f>
        <v>0.27101200686106347</v>
      </c>
      <c r="AB162" s="6">
        <f>Cleaned_MLB_Stats_Dataset__1[[#This Row],[Batting Average]]-_xlfn.XLOOKUP(Cleaned_MLB_Stats_Dataset__1[[#This Row],[Year]],'League Averages'!$A$3:$A$23,'League Averages'!$B$3:$B$23)</f>
        <v>9.4490566037735813E-2</v>
      </c>
      <c r="AC162" s="6">
        <f>Cleaned_MLB_Stats_Dataset__1[[#This Row],[On Base Percentage]]-_xlfn.XLOOKUP(Cleaned_MLB_Stats_Dataset__1[[#This Row],[Year]],'League Averages'!$A$3:$A$23,'League Averages'!$C$3:$C$23)</f>
        <v>0.12503698435277383</v>
      </c>
      <c r="AD162" s="6">
        <f>Cleaned_MLB_Stats_Dataset__1[[#This Row],[Slugging %]]-_xlfn.XLOOKUP(Cleaned_MLB_Stats_Dataset__1[[#This Row],[Year]],'League Averages'!$A$3:$A$23,'League Averages'!$D$3:$D$23)</f>
        <v>0.20750257289879931</v>
      </c>
      <c r="AE162" s="6">
        <f>Cleaned_MLB_Stats_Dataset__1[[#This Row],[OPS (On Base + Slugging)]]-_xlfn.XLOOKUP(Cleaned_MLB_Stats_Dataset__1[[#This Row],[Year]],'League Averages'!$A$3:$A$23,'League Averages'!$E$3:$E$23)</f>
        <v>0.33253955725157314</v>
      </c>
      <c r="AF162" s="6">
        <f>Cleaned_MLB_Stats_Dataset__1[[#This Row],[ISO (Isolated Power]]-_xlfn.XLOOKUP(Cleaned_MLB_Stats_Dataset__1[[#This Row],[Year]],'League Averages'!$A$3:$A$23,'League Averages'!$F$3:$F$23)</f>
        <v>0.11301200686106347</v>
      </c>
    </row>
    <row r="163" spans="1:32" x14ac:dyDescent="0.2">
      <c r="A163" t="s">
        <v>310</v>
      </c>
      <c r="B163">
        <v>2011</v>
      </c>
      <c r="C163" t="s">
        <v>205</v>
      </c>
      <c r="D163" t="s">
        <v>6</v>
      </c>
      <c r="E163" t="s">
        <v>90</v>
      </c>
      <c r="F163" t="str">
        <f>_xlfn.XLOOKUP(Cleaned_MLB_Stats_Dataset__1[[#This Row],[Position'#]],$B$373:$B$382,$A$373:$A$382)</f>
        <v>3B</v>
      </c>
      <c r="G163">
        <v>5</v>
      </c>
      <c r="H163">
        <v>487</v>
      </c>
      <c r="I163">
        <v>144</v>
      </c>
      <c r="J163">
        <v>33</v>
      </c>
      <c r="K163">
        <v>0</v>
      </c>
      <c r="L163">
        <v>32</v>
      </c>
      <c r="M163">
        <v>82</v>
      </c>
      <c r="N163">
        <v>105</v>
      </c>
      <c r="O163">
        <v>53</v>
      </c>
      <c r="P163">
        <v>25</v>
      </c>
      <c r="Q163">
        <v>0</v>
      </c>
      <c r="R163">
        <v>5</v>
      </c>
      <c r="S163">
        <v>8</v>
      </c>
      <c r="T163">
        <v>0</v>
      </c>
      <c r="U163" s="6">
        <f>Cleaned_MLB_Stats_Dataset__1[[#This Row],[Hits]]/Cleaned_MLB_Stats_Dataset__1[[#This Row],[At Bats]]</f>
        <v>0.29568788501026694</v>
      </c>
      <c r="V163" s="6">
        <f>Cleaned_MLB_Stats_Dataset__1[[#This Row],[Strikeouts]]/(Cleaned_MLB_Stats_Dataset__1[[#This Row],[At Bats]]+Cleaned_MLB_Stats_Dataset__1[[#This Row],[Walks]])</f>
        <v>0.103515625</v>
      </c>
      <c r="W16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5.8027079303675046E-2</v>
      </c>
      <c r="X16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0.33142857142857141</v>
      </c>
      <c r="Y16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0.56057494866529778</v>
      </c>
      <c r="Z163" s="6">
        <f>Cleaned_MLB_Stats_Dataset__1[[#This Row],[On Base Percentage]]+Cleaned_MLB_Stats_Dataset__1[[#This Row],[Slugging %]]</f>
        <v>0.89200352009386918</v>
      </c>
      <c r="AA163" s="6">
        <f>Cleaned_MLB_Stats_Dataset__1[[#This Row],[Slugging %]]-Cleaned_MLB_Stats_Dataset__1[[#This Row],[Batting Average]]</f>
        <v>0.26488706365503084</v>
      </c>
      <c r="AB163" s="6">
        <f>Cleaned_MLB_Stats_Dataset__1[[#This Row],[Batting Average]]-_xlfn.XLOOKUP(Cleaned_MLB_Stats_Dataset__1[[#This Row],[Year]],'League Averages'!$A$3:$A$23,'League Averages'!$B$3:$B$23)</f>
        <v>4.0687885010266933E-2</v>
      </c>
      <c r="AC163" s="6">
        <f>Cleaned_MLB_Stats_Dataset__1[[#This Row],[On Base Percentage]]-_xlfn.XLOOKUP(Cleaned_MLB_Stats_Dataset__1[[#This Row],[Year]],'League Averages'!$A$3:$A$23,'League Averages'!$C$3:$C$23)</f>
        <v>1.0428571428571398E-2</v>
      </c>
      <c r="AD163" s="6">
        <f>Cleaned_MLB_Stats_Dataset__1[[#This Row],[Slugging %]]-_xlfn.XLOOKUP(Cleaned_MLB_Stats_Dataset__1[[#This Row],[Year]],'League Averages'!$A$3:$A$23,'League Averages'!$D$3:$D$23)</f>
        <v>0.16157494866529776</v>
      </c>
      <c r="AE163" s="6">
        <f>Cleaned_MLB_Stats_Dataset__1[[#This Row],[OPS (On Base + Slugging)]]-_xlfn.XLOOKUP(Cleaned_MLB_Stats_Dataset__1[[#This Row],[Year]],'League Averages'!$A$3:$A$23,'League Averages'!$E$3:$E$23)</f>
        <v>0.17200352009386921</v>
      </c>
      <c r="AF163" s="6">
        <f>Cleaned_MLB_Stats_Dataset__1[[#This Row],[ISO (Isolated Power]]-_xlfn.XLOOKUP(Cleaned_MLB_Stats_Dataset__1[[#This Row],[Year]],'League Averages'!$A$3:$A$23,'League Averages'!$F$3:$F$23)</f>
        <v>0.12088706365503085</v>
      </c>
    </row>
    <row r="164" spans="1:32" x14ac:dyDescent="0.2">
      <c r="A164" t="s">
        <v>310</v>
      </c>
      <c r="B164">
        <v>2006</v>
      </c>
      <c r="C164" t="s">
        <v>186</v>
      </c>
      <c r="D164" t="s">
        <v>6</v>
      </c>
      <c r="E164" t="s">
        <v>2</v>
      </c>
      <c r="F164" t="str">
        <f>_xlfn.XLOOKUP(Cleaned_MLB_Stats_Dataset__1[[#This Row],[Position'#]],$B$373:$B$382,$A$373:$A$382)</f>
        <v>LF</v>
      </c>
      <c r="G164">
        <v>7</v>
      </c>
      <c r="H164">
        <v>607</v>
      </c>
      <c r="I164">
        <v>200</v>
      </c>
      <c r="J164">
        <v>34</v>
      </c>
      <c r="K164">
        <v>1</v>
      </c>
      <c r="L164">
        <v>33</v>
      </c>
      <c r="M164">
        <v>92</v>
      </c>
      <c r="N164">
        <v>116</v>
      </c>
      <c r="O164">
        <v>68</v>
      </c>
      <c r="P164">
        <v>50</v>
      </c>
      <c r="Q164">
        <v>25</v>
      </c>
      <c r="R164">
        <v>4</v>
      </c>
      <c r="S164">
        <v>4</v>
      </c>
      <c r="T164">
        <v>0</v>
      </c>
      <c r="U164" s="6">
        <f>Cleaned_MLB_Stats_Dataset__1[[#This Row],[Hits]]/Cleaned_MLB_Stats_Dataset__1[[#This Row],[At Bats]]</f>
        <v>0.32948929159802304</v>
      </c>
      <c r="V164" s="6">
        <f>Cleaned_MLB_Stats_Dataset__1[[#This Row],[Strikeouts]]/(Cleaned_MLB_Stats_Dataset__1[[#This Row],[At Bats]]+Cleaned_MLB_Stats_Dataset__1[[#This Row],[Walks]])</f>
        <v>0.1035007610350076</v>
      </c>
      <c r="W16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8.169440242057488E-2</v>
      </c>
      <c r="X16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0.3819548872180451</v>
      </c>
      <c r="Y16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0.55189456342668863</v>
      </c>
      <c r="Z164" s="6">
        <f>Cleaned_MLB_Stats_Dataset__1[[#This Row],[On Base Percentage]]+Cleaned_MLB_Stats_Dataset__1[[#This Row],[Slugging %]]</f>
        <v>0.93384945064473368</v>
      </c>
      <c r="AA164" s="6">
        <f>Cleaned_MLB_Stats_Dataset__1[[#This Row],[Slugging %]]-Cleaned_MLB_Stats_Dataset__1[[#This Row],[Batting Average]]</f>
        <v>0.2224052718286656</v>
      </c>
      <c r="AB164" s="6">
        <f>Cleaned_MLB_Stats_Dataset__1[[#This Row],[Batting Average]]-_xlfn.XLOOKUP(Cleaned_MLB_Stats_Dataset__1[[#This Row],[Year]],'League Averages'!$A$3:$A$23,'League Averages'!$B$3:$B$23)</f>
        <v>6.0489291598023021E-2</v>
      </c>
      <c r="AC164" s="6">
        <f>Cleaned_MLB_Stats_Dataset__1[[#This Row],[On Base Percentage]]-_xlfn.XLOOKUP(Cleaned_MLB_Stats_Dataset__1[[#This Row],[Year]],'League Averages'!$A$3:$A$23,'League Averages'!$C$3:$C$23)</f>
        <v>4.5954887218045082E-2</v>
      </c>
      <c r="AD164" s="6">
        <f>Cleaned_MLB_Stats_Dataset__1[[#This Row],[Slugging %]]-_xlfn.XLOOKUP(Cleaned_MLB_Stats_Dataset__1[[#This Row],[Year]],'League Averages'!$A$3:$A$23,'League Averages'!$D$3:$D$23)</f>
        <v>0.11989456342668864</v>
      </c>
      <c r="AE164" s="6">
        <f>Cleaned_MLB_Stats_Dataset__1[[#This Row],[OPS (On Base + Slugging)]]-_xlfn.XLOOKUP(Cleaned_MLB_Stats_Dataset__1[[#This Row],[Year]],'League Averages'!$A$3:$A$23,'League Averages'!$E$3:$E$23)</f>
        <v>0.16584945064473366</v>
      </c>
      <c r="AF164" s="6">
        <f>Cleaned_MLB_Stats_Dataset__1[[#This Row],[ISO (Isolated Power]]-_xlfn.XLOOKUP(Cleaned_MLB_Stats_Dataset__1[[#This Row],[Year]],'League Averages'!$A$3:$A$23,'League Averages'!$F$3:$F$23)</f>
        <v>5.940527182866559E-2</v>
      </c>
    </row>
    <row r="165" spans="1:32" x14ac:dyDescent="0.2">
      <c r="A165" t="s">
        <v>310</v>
      </c>
      <c r="B165">
        <v>2007</v>
      </c>
      <c r="C165" t="s">
        <v>239</v>
      </c>
      <c r="D165" t="s">
        <v>3</v>
      </c>
      <c r="E165" t="s">
        <v>83</v>
      </c>
      <c r="F165" t="str">
        <f>_xlfn.XLOOKUP(Cleaned_MLB_Stats_Dataset__1[[#This Row],[Position'#]],$B$373:$B$382,$A$373:$A$382)</f>
        <v>SS</v>
      </c>
      <c r="G165">
        <v>6</v>
      </c>
      <c r="H165">
        <v>681</v>
      </c>
      <c r="I165">
        <v>191</v>
      </c>
      <c r="J165">
        <v>36</v>
      </c>
      <c r="K165">
        <v>12</v>
      </c>
      <c r="L165">
        <v>12</v>
      </c>
      <c r="M165">
        <v>119</v>
      </c>
      <c r="N165">
        <v>57</v>
      </c>
      <c r="O165">
        <v>78</v>
      </c>
      <c r="P165">
        <v>77</v>
      </c>
      <c r="Q165">
        <v>13</v>
      </c>
      <c r="R165">
        <v>1</v>
      </c>
      <c r="S165">
        <v>1</v>
      </c>
      <c r="T165">
        <v>5</v>
      </c>
      <c r="U165" s="6">
        <f>Cleaned_MLB_Stats_Dataset__1[[#This Row],[Hits]]/Cleaned_MLB_Stats_Dataset__1[[#This Row],[At Bats]]</f>
        <v>0.28046989720998533</v>
      </c>
      <c r="V165" s="6">
        <f>Cleaned_MLB_Stats_Dataset__1[[#This Row],[Strikeouts]]/(Cleaned_MLB_Stats_Dataset__1[[#This Row],[At Bats]]+Cleaned_MLB_Stats_Dataset__1[[#This Row],[Walks]])</f>
        <v>0.10290237467018469</v>
      </c>
      <c r="W16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0.10276679841897234</v>
      </c>
      <c r="X16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0.35394736842105262</v>
      </c>
      <c r="Y16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0.42143906020558003</v>
      </c>
      <c r="Z165" s="6">
        <f>Cleaned_MLB_Stats_Dataset__1[[#This Row],[On Base Percentage]]+Cleaned_MLB_Stats_Dataset__1[[#This Row],[Slugging %]]</f>
        <v>0.77538642862663265</v>
      </c>
      <c r="AA165" s="6">
        <f>Cleaned_MLB_Stats_Dataset__1[[#This Row],[Slugging %]]-Cleaned_MLB_Stats_Dataset__1[[#This Row],[Batting Average]]</f>
        <v>0.1409691629955947</v>
      </c>
      <c r="AB165" s="6">
        <f>Cleaned_MLB_Stats_Dataset__1[[#This Row],[Batting Average]]-_xlfn.XLOOKUP(Cleaned_MLB_Stats_Dataset__1[[#This Row],[Year]],'League Averages'!$A$3:$A$23,'League Averages'!$B$3:$B$23)</f>
        <v>1.2469897209985314E-2</v>
      </c>
      <c r="AC165" s="6">
        <f>Cleaned_MLB_Stats_Dataset__1[[#This Row],[On Base Percentage]]-_xlfn.XLOOKUP(Cleaned_MLB_Stats_Dataset__1[[#This Row],[Year]],'League Averages'!$A$3:$A$23,'League Averages'!$C$3:$C$23)</f>
        <v>1.7947368421052601E-2</v>
      </c>
      <c r="AD165" s="6">
        <f>Cleaned_MLB_Stats_Dataset__1[[#This Row],[Slugging %]]-_xlfn.XLOOKUP(Cleaned_MLB_Stats_Dataset__1[[#This Row],[Year]],'League Averages'!$A$3:$A$23,'League Averages'!$D$3:$D$23)</f>
        <v>-1.5609397944199577E-3</v>
      </c>
      <c r="AE165" s="6">
        <f>Cleaned_MLB_Stats_Dataset__1[[#This Row],[OPS (On Base + Slugging)]]-_xlfn.XLOOKUP(Cleaned_MLB_Stats_Dataset__1[[#This Row],[Year]],'League Averages'!$A$3:$A$23,'League Averages'!$E$3:$E$23)</f>
        <v>1.7386428626632644E-2</v>
      </c>
      <c r="AF165" s="6">
        <f>Cleaned_MLB_Stats_Dataset__1[[#This Row],[ISO (Isolated Power]]-_xlfn.XLOOKUP(Cleaned_MLB_Stats_Dataset__1[[#This Row],[Year]],'League Averages'!$A$3:$A$23,'League Averages'!$F$3:$F$23)</f>
        <v>-1.40308370044053E-2</v>
      </c>
    </row>
    <row r="166" spans="1:32" x14ac:dyDescent="0.2">
      <c r="A166" t="s">
        <v>310</v>
      </c>
      <c r="B166">
        <v>2013</v>
      </c>
      <c r="C166" t="s">
        <v>252</v>
      </c>
      <c r="D166" t="s">
        <v>3</v>
      </c>
      <c r="E166" t="s">
        <v>60</v>
      </c>
      <c r="F166" t="str">
        <f>_xlfn.XLOOKUP(Cleaned_MLB_Stats_Dataset__1[[#This Row],[Position'#]],$B$373:$B$382,$A$373:$A$382)</f>
        <v>C</v>
      </c>
      <c r="G166">
        <v>2</v>
      </c>
      <c r="H166">
        <v>505</v>
      </c>
      <c r="I166">
        <v>161</v>
      </c>
      <c r="J166">
        <v>44</v>
      </c>
      <c r="K166">
        <v>0</v>
      </c>
      <c r="L166">
        <v>12</v>
      </c>
      <c r="M166">
        <v>68</v>
      </c>
      <c r="N166">
        <v>80</v>
      </c>
      <c r="O166">
        <v>55</v>
      </c>
      <c r="P166">
        <v>30</v>
      </c>
      <c r="Q166">
        <v>4</v>
      </c>
      <c r="R166">
        <v>3</v>
      </c>
      <c r="S166">
        <v>3</v>
      </c>
      <c r="T166">
        <v>0</v>
      </c>
      <c r="U166" s="6">
        <f>Cleaned_MLB_Stats_Dataset__1[[#This Row],[Hits]]/Cleaned_MLB_Stats_Dataset__1[[#This Row],[At Bats]]</f>
        <v>0.31881188118811882</v>
      </c>
      <c r="V166" s="6">
        <f>Cleaned_MLB_Stats_Dataset__1[[#This Row],[Strikeouts]]/(Cleaned_MLB_Stats_Dataset__1[[#This Row],[At Bats]]+Cleaned_MLB_Stats_Dataset__1[[#This Row],[Walks]])</f>
        <v>0.10280373831775701</v>
      </c>
      <c r="W16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6.1338289962825282E-2</v>
      </c>
      <c r="X16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0.35859519408502771</v>
      </c>
      <c r="Y16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0.47722772277227721</v>
      </c>
      <c r="Z166" s="6">
        <f>Cleaned_MLB_Stats_Dataset__1[[#This Row],[On Base Percentage]]+Cleaned_MLB_Stats_Dataset__1[[#This Row],[Slugging %]]</f>
        <v>0.83582291685730492</v>
      </c>
      <c r="AA166" s="6">
        <f>Cleaned_MLB_Stats_Dataset__1[[#This Row],[Slugging %]]-Cleaned_MLB_Stats_Dataset__1[[#This Row],[Batting Average]]</f>
        <v>0.15841584158415839</v>
      </c>
      <c r="AB166" s="6">
        <f>Cleaned_MLB_Stats_Dataset__1[[#This Row],[Batting Average]]-_xlfn.XLOOKUP(Cleaned_MLB_Stats_Dataset__1[[#This Row],[Year]],'League Averages'!$A$3:$A$23,'League Averages'!$B$3:$B$23)</f>
        <v>6.5811881188118815E-2</v>
      </c>
      <c r="AC166" s="6">
        <f>Cleaned_MLB_Stats_Dataset__1[[#This Row],[On Base Percentage]]-_xlfn.XLOOKUP(Cleaned_MLB_Stats_Dataset__1[[#This Row],[Year]],'League Averages'!$A$3:$A$23,'League Averages'!$C$3:$C$23)</f>
        <v>4.0595194085027708E-2</v>
      </c>
      <c r="AD166" s="6">
        <f>Cleaned_MLB_Stats_Dataset__1[[#This Row],[Slugging %]]-_xlfn.XLOOKUP(Cleaned_MLB_Stats_Dataset__1[[#This Row],[Year]],'League Averages'!$A$3:$A$23,'League Averages'!$D$3:$D$23)</f>
        <v>8.1227722772277189E-2</v>
      </c>
      <c r="AE166" s="6">
        <f>Cleaned_MLB_Stats_Dataset__1[[#This Row],[OPS (On Base + Slugging)]]-_xlfn.XLOOKUP(Cleaned_MLB_Stats_Dataset__1[[#This Row],[Year]],'League Averages'!$A$3:$A$23,'League Averages'!$E$3:$E$23)</f>
        <v>0.12182291685730495</v>
      </c>
      <c r="AF166" s="6">
        <f>Cleaned_MLB_Stats_Dataset__1[[#This Row],[ISO (Isolated Power]]-_xlfn.XLOOKUP(Cleaned_MLB_Stats_Dataset__1[[#This Row],[Year]],'League Averages'!$A$3:$A$23,'League Averages'!$F$3:$F$23)</f>
        <v>1.5415841584158402E-2</v>
      </c>
    </row>
    <row r="167" spans="1:32" x14ac:dyDescent="0.2">
      <c r="A167" t="s">
        <v>310</v>
      </c>
      <c r="B167">
        <v>2005</v>
      </c>
      <c r="C167" t="s">
        <v>175</v>
      </c>
      <c r="D167" t="s">
        <v>6</v>
      </c>
      <c r="E167" t="s">
        <v>68</v>
      </c>
      <c r="F167" t="str">
        <f>_xlfn.XLOOKUP(Cleaned_MLB_Stats_Dataset__1[[#This Row],[Position'#]],$B$373:$B$382,$A$373:$A$382)</f>
        <v>CF</v>
      </c>
      <c r="G167">
        <v>8</v>
      </c>
      <c r="H167">
        <v>624</v>
      </c>
      <c r="I167">
        <v>197</v>
      </c>
      <c r="J167">
        <v>35</v>
      </c>
      <c r="K167">
        <v>6</v>
      </c>
      <c r="L167">
        <v>10</v>
      </c>
      <c r="M167">
        <v>117</v>
      </c>
      <c r="N167">
        <v>75</v>
      </c>
      <c r="O167">
        <v>69</v>
      </c>
      <c r="P167">
        <v>53</v>
      </c>
      <c r="Q167">
        <v>3</v>
      </c>
      <c r="R167">
        <v>2</v>
      </c>
      <c r="S167">
        <v>9</v>
      </c>
      <c r="T167">
        <v>0</v>
      </c>
      <c r="U167" s="6">
        <f>Cleaned_MLB_Stats_Dataset__1[[#This Row],[Hits]]/Cleaned_MLB_Stats_Dataset__1[[#This Row],[At Bats]]</f>
        <v>0.31570512820512819</v>
      </c>
      <c r="V167" s="6">
        <f>Cleaned_MLB_Stats_Dataset__1[[#This Row],[Strikeouts]]/(Cleaned_MLB_Stats_Dataset__1[[#This Row],[At Bats]]+Cleaned_MLB_Stats_Dataset__1[[#This Row],[Walks]])</f>
        <v>0.10192023633677991</v>
      </c>
      <c r="W16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8.1001472754050077E-2</v>
      </c>
      <c r="X16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0.36627906976744184</v>
      </c>
      <c r="Y16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0.4391025641025641</v>
      </c>
      <c r="Z167" s="6">
        <f>Cleaned_MLB_Stats_Dataset__1[[#This Row],[On Base Percentage]]+Cleaned_MLB_Stats_Dataset__1[[#This Row],[Slugging %]]</f>
        <v>0.80538163387000594</v>
      </c>
      <c r="AA167" s="6">
        <f>Cleaned_MLB_Stats_Dataset__1[[#This Row],[Slugging %]]-Cleaned_MLB_Stats_Dataset__1[[#This Row],[Batting Average]]</f>
        <v>0.1233974358974359</v>
      </c>
      <c r="AB167" s="6">
        <f>Cleaned_MLB_Stats_Dataset__1[[#This Row],[Batting Average]]-_xlfn.XLOOKUP(Cleaned_MLB_Stats_Dataset__1[[#This Row],[Year]],'League Averages'!$A$3:$A$23,'League Averages'!$B$3:$B$23)</f>
        <v>5.1705128205128181E-2</v>
      </c>
      <c r="AC167" s="6">
        <f>Cleaned_MLB_Stats_Dataset__1[[#This Row],[On Base Percentage]]-_xlfn.XLOOKUP(Cleaned_MLB_Stats_Dataset__1[[#This Row],[Year]],'League Averages'!$A$3:$A$23,'League Averages'!$C$3:$C$23)</f>
        <v>3.6279069767441829E-2</v>
      </c>
      <c r="AD167" s="6">
        <f>Cleaned_MLB_Stats_Dataset__1[[#This Row],[Slugging %]]-_xlfn.XLOOKUP(Cleaned_MLB_Stats_Dataset__1[[#This Row],[Year]],'League Averages'!$A$3:$A$23,'League Averages'!$D$3:$D$23)</f>
        <v>2.0102564102564113E-2</v>
      </c>
      <c r="AE167" s="6">
        <f>Cleaned_MLB_Stats_Dataset__1[[#This Row],[OPS (On Base + Slugging)]]-_xlfn.XLOOKUP(Cleaned_MLB_Stats_Dataset__1[[#This Row],[Year]],'League Averages'!$A$3:$A$23,'League Averages'!$E$3:$E$23)</f>
        <v>5.6381633870005943E-2</v>
      </c>
      <c r="AF167" s="6">
        <f>Cleaned_MLB_Stats_Dataset__1[[#This Row],[ISO (Isolated Power]]-_xlfn.XLOOKUP(Cleaned_MLB_Stats_Dataset__1[[#This Row],[Year]],'League Averages'!$A$3:$A$23,'League Averages'!$F$3:$F$23)</f>
        <v>-3.1602564102564096E-2</v>
      </c>
    </row>
    <row r="168" spans="1:32" x14ac:dyDescent="0.2">
      <c r="A168" t="s">
        <v>310</v>
      </c>
      <c r="B168">
        <v>2010</v>
      </c>
      <c r="C168" t="s">
        <v>252</v>
      </c>
      <c r="D168" t="s">
        <v>3</v>
      </c>
      <c r="E168" t="s">
        <v>60</v>
      </c>
      <c r="F168" t="str">
        <f>_xlfn.XLOOKUP(Cleaned_MLB_Stats_Dataset__1[[#This Row],[Position'#]],$B$373:$B$382,$A$373:$A$382)</f>
        <v>C</v>
      </c>
      <c r="G168">
        <v>2</v>
      </c>
      <c r="H168">
        <v>465</v>
      </c>
      <c r="I168">
        <v>122</v>
      </c>
      <c r="J168">
        <v>19</v>
      </c>
      <c r="K168">
        <v>0</v>
      </c>
      <c r="L168">
        <v>6</v>
      </c>
      <c r="M168">
        <v>34</v>
      </c>
      <c r="N168">
        <v>62</v>
      </c>
      <c r="O168">
        <v>51</v>
      </c>
      <c r="P168">
        <v>42</v>
      </c>
      <c r="Q168">
        <v>6</v>
      </c>
      <c r="R168">
        <v>7</v>
      </c>
      <c r="S168">
        <v>5</v>
      </c>
      <c r="T168">
        <v>2</v>
      </c>
      <c r="U168" s="6">
        <f>Cleaned_MLB_Stats_Dataset__1[[#This Row],[Hits]]/Cleaned_MLB_Stats_Dataset__1[[#This Row],[At Bats]]</f>
        <v>0.26236559139784948</v>
      </c>
      <c r="V168" s="6">
        <f>Cleaned_MLB_Stats_Dataset__1[[#This Row],[Strikeouts]]/(Cleaned_MLB_Stats_Dataset__1[[#This Row],[At Bats]]+Cleaned_MLB_Stats_Dataset__1[[#This Row],[Walks]])</f>
        <v>0.10059171597633136</v>
      </c>
      <c r="W16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9.5330739299610889E-2</v>
      </c>
      <c r="X16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0.32947976878612717</v>
      </c>
      <c r="Y16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0.34193548387096773</v>
      </c>
      <c r="Z168" s="6">
        <f>Cleaned_MLB_Stats_Dataset__1[[#This Row],[On Base Percentage]]+Cleaned_MLB_Stats_Dataset__1[[#This Row],[Slugging %]]</f>
        <v>0.6714152526570949</v>
      </c>
      <c r="AA168" s="6">
        <f>Cleaned_MLB_Stats_Dataset__1[[#This Row],[Slugging %]]-Cleaned_MLB_Stats_Dataset__1[[#This Row],[Batting Average]]</f>
        <v>7.9569892473118242E-2</v>
      </c>
      <c r="AB168" s="6">
        <f>Cleaned_MLB_Stats_Dataset__1[[#This Row],[Batting Average]]-_xlfn.XLOOKUP(Cleaned_MLB_Stats_Dataset__1[[#This Row],[Year]],'League Averages'!$A$3:$A$23,'League Averages'!$B$3:$B$23)</f>
        <v>5.3655913978494785E-3</v>
      </c>
      <c r="AC168" s="6">
        <f>Cleaned_MLB_Stats_Dataset__1[[#This Row],[On Base Percentage]]-_xlfn.XLOOKUP(Cleaned_MLB_Stats_Dataset__1[[#This Row],[Year]],'League Averages'!$A$3:$A$23,'League Averages'!$C$3:$C$23)</f>
        <v>4.4797687861271585E-3</v>
      </c>
      <c r="AD168" s="6">
        <f>Cleaned_MLB_Stats_Dataset__1[[#This Row],[Slugging %]]-_xlfn.XLOOKUP(Cleaned_MLB_Stats_Dataset__1[[#This Row],[Year]],'League Averages'!$A$3:$A$23,'League Averages'!$D$3:$D$23)</f>
        <v>-6.1064516129032298E-2</v>
      </c>
      <c r="AE168" s="6">
        <f>Cleaned_MLB_Stats_Dataset__1[[#This Row],[OPS (On Base + Slugging)]]-_xlfn.XLOOKUP(Cleaned_MLB_Stats_Dataset__1[[#This Row],[Year]],'League Averages'!$A$3:$A$23,'League Averages'!$E$3:$E$23)</f>
        <v>-5.6584747342905084E-2</v>
      </c>
      <c r="AF168" s="6">
        <f>Cleaned_MLB_Stats_Dataset__1[[#This Row],[ISO (Isolated Power]]-_xlfn.XLOOKUP(Cleaned_MLB_Stats_Dataset__1[[#This Row],[Year]],'League Averages'!$A$3:$A$23,'League Averages'!$F$3:$F$23)</f>
        <v>-6.6430107526881749E-2</v>
      </c>
    </row>
    <row r="169" spans="1:32" x14ac:dyDescent="0.2">
      <c r="A169" t="s">
        <v>310</v>
      </c>
      <c r="B169">
        <v>2003</v>
      </c>
      <c r="C169" t="s">
        <v>225</v>
      </c>
      <c r="D169" t="s">
        <v>3</v>
      </c>
      <c r="E169" t="s">
        <v>60</v>
      </c>
      <c r="F169" t="str">
        <f>_xlfn.XLOOKUP(Cleaned_MLB_Stats_Dataset__1[[#This Row],[Position'#]],$B$373:$B$382,$A$373:$A$382)</f>
        <v>LF</v>
      </c>
      <c r="G169">
        <v>7</v>
      </c>
      <c r="H169">
        <v>591</v>
      </c>
      <c r="I169">
        <v>212</v>
      </c>
      <c r="J169">
        <v>51</v>
      </c>
      <c r="K169">
        <v>1</v>
      </c>
      <c r="L169">
        <v>43</v>
      </c>
      <c r="M169">
        <v>137</v>
      </c>
      <c r="N169">
        <v>124</v>
      </c>
      <c r="O169">
        <v>65</v>
      </c>
      <c r="P169">
        <v>79</v>
      </c>
      <c r="Q169">
        <v>12</v>
      </c>
      <c r="R169">
        <v>10</v>
      </c>
      <c r="S169">
        <v>5</v>
      </c>
      <c r="T169">
        <v>0</v>
      </c>
      <c r="U169" s="6">
        <f>Cleaned_MLB_Stats_Dataset__1[[#This Row],[Hits]]/Cleaned_MLB_Stats_Dataset__1[[#This Row],[At Bats]]</f>
        <v>0.35871404399323181</v>
      </c>
      <c r="V169" s="6">
        <f>Cleaned_MLB_Stats_Dataset__1[[#This Row],[Strikeouts]]/(Cleaned_MLB_Stats_Dataset__1[[#This Row],[At Bats]]+Cleaned_MLB_Stats_Dataset__1[[#This Row],[Walks]])</f>
        <v>9.7014925373134331E-2</v>
      </c>
      <c r="W16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0.13088235294117648</v>
      </c>
      <c r="X16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0.43941605839416059</v>
      </c>
      <c r="Y16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0.66666666666666663</v>
      </c>
      <c r="Z169" s="6">
        <f>Cleaned_MLB_Stats_Dataset__1[[#This Row],[On Base Percentage]]+Cleaned_MLB_Stats_Dataset__1[[#This Row],[Slugging %]]</f>
        <v>1.1060827250608272</v>
      </c>
      <c r="AA169" s="6">
        <f>Cleaned_MLB_Stats_Dataset__1[[#This Row],[Slugging %]]-Cleaned_MLB_Stats_Dataset__1[[#This Row],[Batting Average]]</f>
        <v>0.30795262267343482</v>
      </c>
      <c r="AB169" s="6">
        <f>Cleaned_MLB_Stats_Dataset__1[[#This Row],[Batting Average]]-_xlfn.XLOOKUP(Cleaned_MLB_Stats_Dataset__1[[#This Row],[Year]],'League Averages'!$A$3:$A$23,'League Averages'!$B$3:$B$23)</f>
        <v>9.47140439932318E-2</v>
      </c>
      <c r="AC169" s="6">
        <f>Cleaned_MLB_Stats_Dataset__1[[#This Row],[On Base Percentage]]-_xlfn.XLOOKUP(Cleaned_MLB_Stats_Dataset__1[[#This Row],[Year]],'League Averages'!$A$3:$A$23,'League Averages'!$C$3:$C$23)</f>
        <v>0.10641605839416057</v>
      </c>
      <c r="AD169" s="6">
        <f>Cleaned_MLB_Stats_Dataset__1[[#This Row],[Slugging %]]-_xlfn.XLOOKUP(Cleaned_MLB_Stats_Dataset__1[[#This Row],[Year]],'League Averages'!$A$3:$A$23,'League Averages'!$D$3:$D$23)</f>
        <v>0.24466666666666664</v>
      </c>
      <c r="AE169" s="6">
        <f>Cleaned_MLB_Stats_Dataset__1[[#This Row],[OPS (On Base + Slugging)]]-_xlfn.XLOOKUP(Cleaned_MLB_Stats_Dataset__1[[#This Row],[Year]],'League Averages'!$A$3:$A$23,'League Averages'!$E$3:$E$23)</f>
        <v>0.35108272506082716</v>
      </c>
      <c r="AF169" s="6">
        <f>Cleaned_MLB_Stats_Dataset__1[[#This Row],[ISO (Isolated Power]]-_xlfn.XLOOKUP(Cleaned_MLB_Stats_Dataset__1[[#This Row],[Year]],'League Averages'!$A$3:$A$23,'League Averages'!$F$3:$F$23)</f>
        <v>0.14995262267343482</v>
      </c>
    </row>
    <row r="170" spans="1:32" x14ac:dyDescent="0.2">
      <c r="A170" t="s">
        <v>310</v>
      </c>
      <c r="B170">
        <v>2003</v>
      </c>
      <c r="C170" t="s">
        <v>228</v>
      </c>
      <c r="D170" t="s">
        <v>6</v>
      </c>
      <c r="E170" t="s">
        <v>91</v>
      </c>
      <c r="F170" t="str">
        <f>_xlfn.XLOOKUP(Cleaned_MLB_Stats_Dataset__1[[#This Row],[Position'#]],$B$373:$B$382,$A$373:$A$382)</f>
        <v>RF</v>
      </c>
      <c r="G170">
        <v>9</v>
      </c>
      <c r="H170">
        <v>679</v>
      </c>
      <c r="I170">
        <v>212</v>
      </c>
      <c r="J170">
        <v>29</v>
      </c>
      <c r="K170">
        <v>8</v>
      </c>
      <c r="L170">
        <v>13</v>
      </c>
      <c r="M170">
        <v>111</v>
      </c>
      <c r="N170">
        <v>62</v>
      </c>
      <c r="O170">
        <v>69</v>
      </c>
      <c r="P170">
        <v>36</v>
      </c>
      <c r="Q170">
        <v>7</v>
      </c>
      <c r="R170">
        <v>6</v>
      </c>
      <c r="S170">
        <v>1</v>
      </c>
      <c r="T170">
        <v>3</v>
      </c>
      <c r="U170" s="6">
        <f>Cleaned_MLB_Stats_Dataset__1[[#This Row],[Hits]]/Cleaned_MLB_Stats_Dataset__1[[#This Row],[At Bats]]</f>
        <v>0.31222385861561119</v>
      </c>
      <c r="V170" s="6">
        <f>Cleaned_MLB_Stats_Dataset__1[[#This Row],[Strikeouts]]/(Cleaned_MLB_Stats_Dataset__1[[#This Row],[At Bats]]+Cleaned_MLB_Stats_Dataset__1[[#This Row],[Walks]])</f>
        <v>9.6503496503496503E-2</v>
      </c>
      <c r="W17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5.8252427184466021E-2</v>
      </c>
      <c r="X17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0.35180055401662053</v>
      </c>
      <c r="Y17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0.43593519882179677</v>
      </c>
      <c r="Z170" s="6">
        <f>Cleaned_MLB_Stats_Dataset__1[[#This Row],[On Base Percentage]]+Cleaned_MLB_Stats_Dataset__1[[#This Row],[Slugging %]]</f>
        <v>0.78773575283841724</v>
      </c>
      <c r="AA170" s="6">
        <f>Cleaned_MLB_Stats_Dataset__1[[#This Row],[Slugging %]]-Cleaned_MLB_Stats_Dataset__1[[#This Row],[Batting Average]]</f>
        <v>0.12371134020618557</v>
      </c>
      <c r="AB170" s="6">
        <f>Cleaned_MLB_Stats_Dataset__1[[#This Row],[Batting Average]]-_xlfn.XLOOKUP(Cleaned_MLB_Stats_Dataset__1[[#This Row],[Year]],'League Averages'!$A$3:$A$23,'League Averages'!$B$3:$B$23)</f>
        <v>4.8223858615611181E-2</v>
      </c>
      <c r="AC170" s="6">
        <f>Cleaned_MLB_Stats_Dataset__1[[#This Row],[On Base Percentage]]-_xlfn.XLOOKUP(Cleaned_MLB_Stats_Dataset__1[[#This Row],[Year]],'League Averages'!$A$3:$A$23,'League Averages'!$C$3:$C$23)</f>
        <v>1.8800554016620508E-2</v>
      </c>
      <c r="AD170" s="6">
        <f>Cleaned_MLB_Stats_Dataset__1[[#This Row],[Slugging %]]-_xlfn.XLOOKUP(Cleaned_MLB_Stats_Dataset__1[[#This Row],[Year]],'League Averages'!$A$3:$A$23,'League Averages'!$D$3:$D$23)</f>
        <v>1.3935198821796779E-2</v>
      </c>
      <c r="AE170" s="6">
        <f>Cleaned_MLB_Stats_Dataset__1[[#This Row],[OPS (On Base + Slugging)]]-_xlfn.XLOOKUP(Cleaned_MLB_Stats_Dataset__1[[#This Row],[Year]],'League Averages'!$A$3:$A$23,'League Averages'!$E$3:$E$23)</f>
        <v>3.2735752838417231E-2</v>
      </c>
      <c r="AF170" s="6">
        <f>Cleaned_MLB_Stats_Dataset__1[[#This Row],[ISO (Isolated Power]]-_xlfn.XLOOKUP(Cleaned_MLB_Stats_Dataset__1[[#This Row],[Year]],'League Averages'!$A$3:$A$23,'League Averages'!$F$3:$F$23)</f>
        <v>-3.428865979381443E-2</v>
      </c>
    </row>
    <row r="171" spans="1:32" x14ac:dyDescent="0.2">
      <c r="A171" t="s">
        <v>310</v>
      </c>
      <c r="B171">
        <v>2007</v>
      </c>
      <c r="C171" t="s">
        <v>186</v>
      </c>
      <c r="D171" t="s">
        <v>6</v>
      </c>
      <c r="E171" t="s">
        <v>2</v>
      </c>
      <c r="F171" t="str">
        <f>_xlfn.XLOOKUP(Cleaned_MLB_Stats_Dataset__1[[#This Row],[Position'#]],$B$373:$B$382,$A$373:$A$382)</f>
        <v>RF</v>
      </c>
      <c r="G171">
        <v>9</v>
      </c>
      <c r="H171">
        <v>574</v>
      </c>
      <c r="I171">
        <v>186</v>
      </c>
      <c r="J171">
        <v>45</v>
      </c>
      <c r="K171">
        <v>1</v>
      </c>
      <c r="L171">
        <v>27</v>
      </c>
      <c r="M171">
        <v>89</v>
      </c>
      <c r="N171">
        <v>125</v>
      </c>
      <c r="O171">
        <v>62</v>
      </c>
      <c r="P171">
        <v>71</v>
      </c>
      <c r="Q171">
        <v>28</v>
      </c>
      <c r="R171">
        <v>9</v>
      </c>
      <c r="S171">
        <v>6</v>
      </c>
      <c r="T171">
        <v>0</v>
      </c>
      <c r="U171" s="6">
        <f>Cleaned_MLB_Stats_Dataset__1[[#This Row],[Hits]]/Cleaned_MLB_Stats_Dataset__1[[#This Row],[At Bats]]</f>
        <v>0.3240418118466899</v>
      </c>
      <c r="V171" s="6">
        <f>Cleaned_MLB_Stats_Dataset__1[[#This Row],[Strikeouts]]/(Cleaned_MLB_Stats_Dataset__1[[#This Row],[At Bats]]+Cleaned_MLB_Stats_Dataset__1[[#This Row],[Walks]])</f>
        <v>9.6124031007751937E-2</v>
      </c>
      <c r="W17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0.12232415902140673</v>
      </c>
      <c r="X17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0.40303030303030302</v>
      </c>
      <c r="Y17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0.54703832752613235</v>
      </c>
      <c r="Z171" s="6">
        <f>Cleaned_MLB_Stats_Dataset__1[[#This Row],[On Base Percentage]]+Cleaned_MLB_Stats_Dataset__1[[#This Row],[Slugging %]]</f>
        <v>0.95006863055643542</v>
      </c>
      <c r="AA171" s="6">
        <f>Cleaned_MLB_Stats_Dataset__1[[#This Row],[Slugging %]]-Cleaned_MLB_Stats_Dataset__1[[#This Row],[Batting Average]]</f>
        <v>0.22299651567944245</v>
      </c>
      <c r="AB171" s="6">
        <f>Cleaned_MLB_Stats_Dataset__1[[#This Row],[Batting Average]]-_xlfn.XLOOKUP(Cleaned_MLB_Stats_Dataset__1[[#This Row],[Year]],'League Averages'!$A$3:$A$23,'League Averages'!$B$3:$B$23)</f>
        <v>5.6041811846689882E-2</v>
      </c>
      <c r="AC171" s="6">
        <f>Cleaned_MLB_Stats_Dataset__1[[#This Row],[On Base Percentage]]-_xlfn.XLOOKUP(Cleaned_MLB_Stats_Dataset__1[[#This Row],[Year]],'League Averages'!$A$3:$A$23,'League Averages'!$C$3:$C$23)</f>
        <v>6.7030303030302996E-2</v>
      </c>
      <c r="AD171" s="6">
        <f>Cleaned_MLB_Stats_Dataset__1[[#This Row],[Slugging %]]-_xlfn.XLOOKUP(Cleaned_MLB_Stats_Dataset__1[[#This Row],[Year]],'League Averages'!$A$3:$A$23,'League Averages'!$D$3:$D$23)</f>
        <v>0.12403832752613236</v>
      </c>
      <c r="AE171" s="6">
        <f>Cleaned_MLB_Stats_Dataset__1[[#This Row],[OPS (On Base + Slugging)]]-_xlfn.XLOOKUP(Cleaned_MLB_Stats_Dataset__1[[#This Row],[Year]],'League Averages'!$A$3:$A$23,'League Averages'!$E$3:$E$23)</f>
        <v>0.19206863055643542</v>
      </c>
      <c r="AF171" s="6">
        <f>Cleaned_MLB_Stats_Dataset__1[[#This Row],[ISO (Isolated Power]]-_xlfn.XLOOKUP(Cleaned_MLB_Stats_Dataset__1[[#This Row],[Year]],'League Averages'!$A$3:$A$23,'League Averages'!$F$3:$F$23)</f>
        <v>6.7996515679442454E-2</v>
      </c>
    </row>
    <row r="172" spans="1:32" x14ac:dyDescent="0.2">
      <c r="A172" t="s">
        <v>310</v>
      </c>
      <c r="B172">
        <v>2010</v>
      </c>
      <c r="C172" t="s">
        <v>186</v>
      </c>
      <c r="D172" t="s">
        <v>6</v>
      </c>
      <c r="E172" t="s">
        <v>90</v>
      </c>
      <c r="F172" t="str">
        <f>_xlfn.XLOOKUP(Cleaned_MLB_Stats_Dataset__1[[#This Row],[Position'#]],$B$373:$B$382,$A$373:$A$382)</f>
        <v>DH</v>
      </c>
      <c r="G172">
        <v>10</v>
      </c>
      <c r="H172">
        <v>593</v>
      </c>
      <c r="I172">
        <v>178</v>
      </c>
      <c r="J172">
        <v>27</v>
      </c>
      <c r="K172">
        <v>1</v>
      </c>
      <c r="L172">
        <v>29</v>
      </c>
      <c r="M172">
        <v>83</v>
      </c>
      <c r="N172">
        <v>115</v>
      </c>
      <c r="O172">
        <v>60</v>
      </c>
      <c r="P172">
        <v>35</v>
      </c>
      <c r="Q172">
        <v>5</v>
      </c>
      <c r="R172">
        <v>9</v>
      </c>
      <c r="S172">
        <v>6</v>
      </c>
      <c r="T172">
        <v>0</v>
      </c>
      <c r="U172" s="6">
        <f>Cleaned_MLB_Stats_Dataset__1[[#This Row],[Hits]]/Cleaned_MLB_Stats_Dataset__1[[#This Row],[At Bats]]</f>
        <v>0.30016863406408095</v>
      </c>
      <c r="V172" s="6">
        <f>Cleaned_MLB_Stats_Dataset__1[[#This Row],[Strikeouts]]/(Cleaned_MLB_Stats_Dataset__1[[#This Row],[At Bats]]+Cleaned_MLB_Stats_Dataset__1[[#This Row],[Walks]])</f>
        <v>9.5541401273885357E-2</v>
      </c>
      <c r="W17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6.907378335949764E-2</v>
      </c>
      <c r="X17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0.3452566096423017</v>
      </c>
      <c r="Y17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0.49578414839797641</v>
      </c>
      <c r="Z172" s="6">
        <f>Cleaned_MLB_Stats_Dataset__1[[#This Row],[On Base Percentage]]+Cleaned_MLB_Stats_Dataset__1[[#This Row],[Slugging %]]</f>
        <v>0.84104075804027811</v>
      </c>
      <c r="AA172" s="6">
        <f>Cleaned_MLB_Stats_Dataset__1[[#This Row],[Slugging %]]-Cleaned_MLB_Stats_Dataset__1[[#This Row],[Batting Average]]</f>
        <v>0.19561551433389546</v>
      </c>
      <c r="AB172" s="6">
        <f>Cleaned_MLB_Stats_Dataset__1[[#This Row],[Batting Average]]-_xlfn.XLOOKUP(Cleaned_MLB_Stats_Dataset__1[[#This Row],[Year]],'League Averages'!$A$3:$A$23,'League Averages'!$B$3:$B$23)</f>
        <v>4.3168634064080946E-2</v>
      </c>
      <c r="AC172" s="6">
        <f>Cleaned_MLB_Stats_Dataset__1[[#This Row],[On Base Percentage]]-_xlfn.XLOOKUP(Cleaned_MLB_Stats_Dataset__1[[#This Row],[Year]],'League Averages'!$A$3:$A$23,'League Averages'!$C$3:$C$23)</f>
        <v>2.0256609642301693E-2</v>
      </c>
      <c r="AD172" s="6">
        <f>Cleaned_MLB_Stats_Dataset__1[[#This Row],[Slugging %]]-_xlfn.XLOOKUP(Cleaned_MLB_Stats_Dataset__1[[#This Row],[Year]],'League Averages'!$A$3:$A$23,'League Averages'!$D$3:$D$23)</f>
        <v>9.2784148397976385E-2</v>
      </c>
      <c r="AE172" s="6">
        <f>Cleaned_MLB_Stats_Dataset__1[[#This Row],[OPS (On Base + Slugging)]]-_xlfn.XLOOKUP(Cleaned_MLB_Stats_Dataset__1[[#This Row],[Year]],'League Averages'!$A$3:$A$23,'League Averages'!$E$3:$E$23)</f>
        <v>0.11304075804027813</v>
      </c>
      <c r="AF172" s="6">
        <f>Cleaned_MLB_Stats_Dataset__1[[#This Row],[ISO (Isolated Power]]-_xlfn.XLOOKUP(Cleaned_MLB_Stats_Dataset__1[[#This Row],[Year]],'League Averages'!$A$3:$A$23,'League Averages'!$F$3:$F$23)</f>
        <v>4.9615514333895466E-2</v>
      </c>
    </row>
    <row r="173" spans="1:32" x14ac:dyDescent="0.2">
      <c r="A173" t="s">
        <v>310</v>
      </c>
      <c r="B173">
        <v>2006</v>
      </c>
      <c r="C173" t="s">
        <v>228</v>
      </c>
      <c r="D173" t="s">
        <v>6</v>
      </c>
      <c r="E173" t="s">
        <v>91</v>
      </c>
      <c r="F173" t="str">
        <f>_xlfn.XLOOKUP(Cleaned_MLB_Stats_Dataset__1[[#This Row],[Position'#]],$B$373:$B$382,$A$373:$A$382)</f>
        <v>RF</v>
      </c>
      <c r="G173">
        <v>9</v>
      </c>
      <c r="H173">
        <v>695</v>
      </c>
      <c r="I173">
        <v>224</v>
      </c>
      <c r="J173">
        <v>20</v>
      </c>
      <c r="K173">
        <v>9</v>
      </c>
      <c r="L173">
        <v>9</v>
      </c>
      <c r="M173">
        <v>110</v>
      </c>
      <c r="N173">
        <v>49</v>
      </c>
      <c r="O173">
        <v>71</v>
      </c>
      <c r="P173">
        <v>49</v>
      </c>
      <c r="Q173">
        <v>16</v>
      </c>
      <c r="R173">
        <v>5</v>
      </c>
      <c r="S173">
        <v>2</v>
      </c>
      <c r="T173">
        <v>1</v>
      </c>
      <c r="U173" s="6">
        <f>Cleaned_MLB_Stats_Dataset__1[[#This Row],[Hits]]/Cleaned_MLB_Stats_Dataset__1[[#This Row],[At Bats]]</f>
        <v>0.32230215827338127</v>
      </c>
      <c r="V173" s="6">
        <f>Cleaned_MLB_Stats_Dataset__1[[#This Row],[Strikeouts]]/(Cleaned_MLB_Stats_Dataset__1[[#This Row],[At Bats]]+Cleaned_MLB_Stats_Dataset__1[[#This Row],[Walks]])</f>
        <v>9.5430107526881719E-2</v>
      </c>
      <c r="W17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7.209612817089453E-2</v>
      </c>
      <c r="X17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0.37017310252996005</v>
      </c>
      <c r="Y17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0.4158273381294964</v>
      </c>
      <c r="Z173" s="6">
        <f>Cleaned_MLB_Stats_Dataset__1[[#This Row],[On Base Percentage]]+Cleaned_MLB_Stats_Dataset__1[[#This Row],[Slugging %]]</f>
        <v>0.78600044065945651</v>
      </c>
      <c r="AA173" s="6">
        <f>Cleaned_MLB_Stats_Dataset__1[[#This Row],[Slugging %]]-Cleaned_MLB_Stats_Dataset__1[[#This Row],[Batting Average]]</f>
        <v>9.3525179856115137E-2</v>
      </c>
      <c r="AB173" s="6">
        <f>Cleaned_MLB_Stats_Dataset__1[[#This Row],[Batting Average]]-_xlfn.XLOOKUP(Cleaned_MLB_Stats_Dataset__1[[#This Row],[Year]],'League Averages'!$A$3:$A$23,'League Averages'!$B$3:$B$23)</f>
        <v>5.330215827338125E-2</v>
      </c>
      <c r="AC173" s="6">
        <f>Cleaned_MLB_Stats_Dataset__1[[#This Row],[On Base Percentage]]-_xlfn.XLOOKUP(Cleaned_MLB_Stats_Dataset__1[[#This Row],[Year]],'League Averages'!$A$3:$A$23,'League Averages'!$C$3:$C$23)</f>
        <v>3.4173102529960031E-2</v>
      </c>
      <c r="AD173" s="6">
        <f>Cleaned_MLB_Stats_Dataset__1[[#This Row],[Slugging %]]-_xlfn.XLOOKUP(Cleaned_MLB_Stats_Dataset__1[[#This Row],[Year]],'League Averages'!$A$3:$A$23,'League Averages'!$D$3:$D$23)</f>
        <v>-1.6172661870503591E-2</v>
      </c>
      <c r="AE173" s="6">
        <f>Cleaned_MLB_Stats_Dataset__1[[#This Row],[OPS (On Base + Slugging)]]-_xlfn.XLOOKUP(Cleaned_MLB_Stats_Dataset__1[[#This Row],[Year]],'League Averages'!$A$3:$A$23,'League Averages'!$E$3:$E$23)</f>
        <v>1.8000440659456496E-2</v>
      </c>
      <c r="AF173" s="6">
        <f>Cleaned_MLB_Stats_Dataset__1[[#This Row],[ISO (Isolated Power]]-_xlfn.XLOOKUP(Cleaned_MLB_Stats_Dataset__1[[#This Row],[Year]],'League Averages'!$A$3:$A$23,'League Averages'!$F$3:$F$23)</f>
        <v>-6.9474820143884869E-2</v>
      </c>
    </row>
    <row r="174" spans="1:32" x14ac:dyDescent="0.2">
      <c r="A174" t="s">
        <v>310</v>
      </c>
      <c r="B174">
        <v>2005</v>
      </c>
      <c r="C174" t="s">
        <v>225</v>
      </c>
      <c r="D174" t="s">
        <v>3</v>
      </c>
      <c r="E174" t="s">
        <v>60</v>
      </c>
      <c r="F174" t="str">
        <f>_xlfn.XLOOKUP(Cleaned_MLB_Stats_Dataset__1[[#This Row],[Position'#]],$B$373:$B$382,$A$373:$A$382)</f>
        <v>DH</v>
      </c>
      <c r="G174">
        <v>10</v>
      </c>
      <c r="H174">
        <v>591</v>
      </c>
      <c r="I174">
        <v>195</v>
      </c>
      <c r="J174">
        <v>38</v>
      </c>
      <c r="K174">
        <v>2</v>
      </c>
      <c r="L174">
        <v>41</v>
      </c>
      <c r="M174">
        <v>129</v>
      </c>
      <c r="N174">
        <v>117</v>
      </c>
      <c r="O174">
        <v>65</v>
      </c>
      <c r="P174">
        <v>97</v>
      </c>
      <c r="Q174">
        <v>27</v>
      </c>
      <c r="R174">
        <v>9</v>
      </c>
      <c r="S174">
        <v>3</v>
      </c>
      <c r="T174">
        <v>0</v>
      </c>
      <c r="U174" s="6">
        <f>Cleaned_MLB_Stats_Dataset__1[[#This Row],[Hits]]/Cleaned_MLB_Stats_Dataset__1[[#This Row],[At Bats]]</f>
        <v>0.32994923857868019</v>
      </c>
      <c r="V174" s="6">
        <f>Cleaned_MLB_Stats_Dataset__1[[#This Row],[Strikeouts]]/(Cleaned_MLB_Stats_Dataset__1[[#This Row],[At Bats]]+Cleaned_MLB_Stats_Dataset__1[[#This Row],[Walks]])</f>
        <v>9.4476744186046513E-2</v>
      </c>
      <c r="W17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0.15208034433285508</v>
      </c>
      <c r="X17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</v>
      </c>
      <c r="Y17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0.6091370558375635</v>
      </c>
      <c r="Z174" s="6">
        <f>Cleaned_MLB_Stats_Dataset__1[[#This Row],[On Base Percentage]]+Cleaned_MLB_Stats_Dataset__1[[#This Row],[Slugging %]]</f>
        <v>1.0391370558375634</v>
      </c>
      <c r="AA174" s="6">
        <f>Cleaned_MLB_Stats_Dataset__1[[#This Row],[Slugging %]]-Cleaned_MLB_Stats_Dataset__1[[#This Row],[Batting Average]]</f>
        <v>0.27918781725888331</v>
      </c>
      <c r="AB174" s="6">
        <f>Cleaned_MLB_Stats_Dataset__1[[#This Row],[Batting Average]]-_xlfn.XLOOKUP(Cleaned_MLB_Stats_Dataset__1[[#This Row],[Year]],'League Averages'!$A$3:$A$23,'League Averages'!$B$3:$B$23)</f>
        <v>6.594923857868018E-2</v>
      </c>
      <c r="AC174" s="6">
        <f>Cleaned_MLB_Stats_Dataset__1[[#This Row],[On Base Percentage]]-_xlfn.XLOOKUP(Cleaned_MLB_Stats_Dataset__1[[#This Row],[Year]],'League Averages'!$A$3:$A$23,'League Averages'!$C$3:$C$23)</f>
        <v>9.9999999999999978E-2</v>
      </c>
      <c r="AD174" s="6">
        <f>Cleaned_MLB_Stats_Dataset__1[[#This Row],[Slugging %]]-_xlfn.XLOOKUP(Cleaned_MLB_Stats_Dataset__1[[#This Row],[Year]],'League Averages'!$A$3:$A$23,'League Averages'!$D$3:$D$23)</f>
        <v>0.19013705583756352</v>
      </c>
      <c r="AE174" s="6">
        <f>Cleaned_MLB_Stats_Dataset__1[[#This Row],[OPS (On Base + Slugging)]]-_xlfn.XLOOKUP(Cleaned_MLB_Stats_Dataset__1[[#This Row],[Year]],'League Averages'!$A$3:$A$23,'League Averages'!$E$3:$E$23)</f>
        <v>0.29013705583756344</v>
      </c>
      <c r="AF174" s="6">
        <f>Cleaned_MLB_Stats_Dataset__1[[#This Row],[ISO (Isolated Power]]-_xlfn.XLOOKUP(Cleaned_MLB_Stats_Dataset__1[[#This Row],[Year]],'League Averages'!$A$3:$A$23,'League Averages'!$F$3:$F$23)</f>
        <v>0.12418781725888331</v>
      </c>
    </row>
    <row r="175" spans="1:32" x14ac:dyDescent="0.2">
      <c r="A175" t="s">
        <v>310</v>
      </c>
      <c r="B175">
        <v>2009</v>
      </c>
      <c r="C175" t="s">
        <v>225</v>
      </c>
      <c r="D175" t="s">
        <v>3</v>
      </c>
      <c r="E175" t="s">
        <v>60</v>
      </c>
      <c r="F175" t="str">
        <f>_xlfn.XLOOKUP(Cleaned_MLB_Stats_Dataset__1[[#This Row],[Position'#]],$B$373:$B$382,$A$373:$A$382)</f>
        <v>1B</v>
      </c>
      <c r="G175">
        <v>3</v>
      </c>
      <c r="H175">
        <v>568</v>
      </c>
      <c r="I175">
        <v>186</v>
      </c>
      <c r="J175">
        <v>45</v>
      </c>
      <c r="K175">
        <v>1</v>
      </c>
      <c r="L175">
        <v>47</v>
      </c>
      <c r="M175">
        <v>124</v>
      </c>
      <c r="N175">
        <v>135</v>
      </c>
      <c r="O175">
        <v>64</v>
      </c>
      <c r="P175">
        <v>115</v>
      </c>
      <c r="Q175">
        <v>44</v>
      </c>
      <c r="R175">
        <v>9</v>
      </c>
      <c r="S175">
        <v>8</v>
      </c>
      <c r="T175">
        <v>0</v>
      </c>
      <c r="U175" s="6">
        <f>Cleaned_MLB_Stats_Dataset__1[[#This Row],[Hits]]/Cleaned_MLB_Stats_Dataset__1[[#This Row],[At Bats]]</f>
        <v>0.32746478873239437</v>
      </c>
      <c r="V175" s="6">
        <f>Cleaned_MLB_Stats_Dataset__1[[#This Row],[Strikeouts]]/(Cleaned_MLB_Stats_Dataset__1[[#This Row],[At Bats]]+Cleaned_MLB_Stats_Dataset__1[[#This Row],[Walks]])</f>
        <v>9.3704245973645683E-2</v>
      </c>
      <c r="W17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0.1791907514450867</v>
      </c>
      <c r="X17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0.44285714285714284</v>
      </c>
      <c r="Y17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0.65845070422535212</v>
      </c>
      <c r="Z175" s="6">
        <f>Cleaned_MLB_Stats_Dataset__1[[#This Row],[On Base Percentage]]+Cleaned_MLB_Stats_Dataset__1[[#This Row],[Slugging %]]</f>
        <v>1.1013078470824951</v>
      </c>
      <c r="AA175" s="6">
        <f>Cleaned_MLB_Stats_Dataset__1[[#This Row],[Slugging %]]-Cleaned_MLB_Stats_Dataset__1[[#This Row],[Batting Average]]</f>
        <v>0.33098591549295775</v>
      </c>
      <c r="AB175" s="6">
        <f>Cleaned_MLB_Stats_Dataset__1[[#This Row],[Batting Average]]-_xlfn.XLOOKUP(Cleaned_MLB_Stats_Dataset__1[[#This Row],[Year]],'League Averages'!$A$3:$A$23,'League Averages'!$B$3:$B$23)</f>
        <v>6.5464788732394363E-2</v>
      </c>
      <c r="AC175" s="6">
        <f>Cleaned_MLB_Stats_Dataset__1[[#This Row],[On Base Percentage]]-_xlfn.XLOOKUP(Cleaned_MLB_Stats_Dataset__1[[#This Row],[Year]],'League Averages'!$A$3:$A$23,'League Averages'!$C$3:$C$23)</f>
        <v>0.10985714285714282</v>
      </c>
      <c r="AD175" s="6">
        <f>Cleaned_MLB_Stats_Dataset__1[[#This Row],[Slugging %]]-_xlfn.XLOOKUP(Cleaned_MLB_Stats_Dataset__1[[#This Row],[Year]],'League Averages'!$A$3:$A$23,'League Averages'!$D$3:$D$23)</f>
        <v>0.24045070422535214</v>
      </c>
      <c r="AE175" s="6">
        <f>Cleaned_MLB_Stats_Dataset__1[[#This Row],[OPS (On Base + Slugging)]]-_xlfn.XLOOKUP(Cleaned_MLB_Stats_Dataset__1[[#This Row],[Year]],'League Averages'!$A$3:$A$23,'League Averages'!$E$3:$E$23)</f>
        <v>0.35030784708249507</v>
      </c>
      <c r="AF175" s="6">
        <f>Cleaned_MLB_Stats_Dataset__1[[#This Row],[ISO (Isolated Power]]-_xlfn.XLOOKUP(Cleaned_MLB_Stats_Dataset__1[[#This Row],[Year]],'League Averages'!$A$3:$A$23,'League Averages'!$F$3:$F$23)</f>
        <v>0.17498591549295775</v>
      </c>
    </row>
    <row r="176" spans="1:32" x14ac:dyDescent="0.2">
      <c r="A176" t="s">
        <v>310</v>
      </c>
      <c r="B176">
        <v>2010</v>
      </c>
      <c r="C176" t="s">
        <v>251</v>
      </c>
      <c r="D176" t="s">
        <v>6</v>
      </c>
      <c r="E176" t="s">
        <v>81</v>
      </c>
      <c r="F176" t="str">
        <f>_xlfn.XLOOKUP(Cleaned_MLB_Stats_Dataset__1[[#This Row],[Position'#]],$B$373:$B$382,$A$373:$A$382)</f>
        <v>C</v>
      </c>
      <c r="G176">
        <v>2</v>
      </c>
      <c r="H176">
        <v>510</v>
      </c>
      <c r="I176">
        <v>167</v>
      </c>
      <c r="J176">
        <v>43</v>
      </c>
      <c r="K176">
        <v>1</v>
      </c>
      <c r="L176">
        <v>9</v>
      </c>
      <c r="M176">
        <v>88</v>
      </c>
      <c r="N176">
        <v>75</v>
      </c>
      <c r="O176">
        <v>53</v>
      </c>
      <c r="P176">
        <v>65</v>
      </c>
      <c r="Q176">
        <v>14</v>
      </c>
      <c r="R176">
        <v>3</v>
      </c>
      <c r="S176">
        <v>6</v>
      </c>
      <c r="T176">
        <v>0</v>
      </c>
      <c r="U176" s="6">
        <f>Cleaned_MLB_Stats_Dataset__1[[#This Row],[Hits]]/Cleaned_MLB_Stats_Dataset__1[[#This Row],[At Bats]]</f>
        <v>0.32745098039215687</v>
      </c>
      <c r="V176" s="6">
        <f>Cleaned_MLB_Stats_Dataset__1[[#This Row],[Strikeouts]]/(Cleaned_MLB_Stats_Dataset__1[[#This Row],[At Bats]]+Cleaned_MLB_Stats_Dataset__1[[#This Row],[Walks]])</f>
        <v>9.2173913043478259E-2</v>
      </c>
      <c r="W17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0.11764705882352941</v>
      </c>
      <c r="X17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0.4023972602739726</v>
      </c>
      <c r="Y17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0.46862745098039216</v>
      </c>
      <c r="Z176" s="6">
        <f>Cleaned_MLB_Stats_Dataset__1[[#This Row],[On Base Percentage]]+Cleaned_MLB_Stats_Dataset__1[[#This Row],[Slugging %]]</f>
        <v>0.87102471125436476</v>
      </c>
      <c r="AA176" s="6">
        <f>Cleaned_MLB_Stats_Dataset__1[[#This Row],[Slugging %]]-Cleaned_MLB_Stats_Dataset__1[[#This Row],[Batting Average]]</f>
        <v>0.14117647058823529</v>
      </c>
      <c r="AB176" s="6">
        <f>Cleaned_MLB_Stats_Dataset__1[[#This Row],[Batting Average]]-_xlfn.XLOOKUP(Cleaned_MLB_Stats_Dataset__1[[#This Row],[Year]],'League Averages'!$A$3:$A$23,'League Averages'!$B$3:$B$23)</f>
        <v>7.0450980392156859E-2</v>
      </c>
      <c r="AC176" s="6">
        <f>Cleaned_MLB_Stats_Dataset__1[[#This Row],[On Base Percentage]]-_xlfn.XLOOKUP(Cleaned_MLB_Stats_Dataset__1[[#This Row],[Year]],'League Averages'!$A$3:$A$23,'League Averages'!$C$3:$C$23)</f>
        <v>7.739726027397259E-2</v>
      </c>
      <c r="AD176" s="6">
        <f>Cleaned_MLB_Stats_Dataset__1[[#This Row],[Slugging %]]-_xlfn.XLOOKUP(Cleaned_MLB_Stats_Dataset__1[[#This Row],[Year]],'League Averages'!$A$3:$A$23,'League Averages'!$D$3:$D$23)</f>
        <v>6.5627450980392132E-2</v>
      </c>
      <c r="AE176" s="6">
        <f>Cleaned_MLB_Stats_Dataset__1[[#This Row],[OPS (On Base + Slugging)]]-_xlfn.XLOOKUP(Cleaned_MLB_Stats_Dataset__1[[#This Row],[Year]],'League Averages'!$A$3:$A$23,'League Averages'!$E$3:$E$23)</f>
        <v>0.14302471125436478</v>
      </c>
      <c r="AF176" s="6">
        <f>Cleaned_MLB_Stats_Dataset__1[[#This Row],[ISO (Isolated Power]]-_xlfn.XLOOKUP(Cleaned_MLB_Stats_Dataset__1[[#This Row],[Year]],'League Averages'!$A$3:$A$23,'League Averages'!$F$3:$F$23)</f>
        <v>-4.8235294117646987E-3</v>
      </c>
    </row>
    <row r="177" spans="1:32" x14ac:dyDescent="0.2">
      <c r="A177" t="s">
        <v>310</v>
      </c>
      <c r="B177">
        <v>2006</v>
      </c>
      <c r="C177" t="s">
        <v>179</v>
      </c>
      <c r="D177" t="s">
        <v>6</v>
      </c>
      <c r="E177" t="s">
        <v>68</v>
      </c>
      <c r="F177" t="str">
        <f>_xlfn.XLOOKUP(Cleaned_MLB_Stats_Dataset__1[[#This Row],[Position'#]],$B$373:$B$382,$A$373:$A$382)</f>
        <v>2B</v>
      </c>
      <c r="G177">
        <v>4</v>
      </c>
      <c r="H177">
        <v>635</v>
      </c>
      <c r="I177">
        <v>181</v>
      </c>
      <c r="J177">
        <v>33</v>
      </c>
      <c r="K177">
        <v>0</v>
      </c>
      <c r="L177">
        <v>5</v>
      </c>
      <c r="M177">
        <v>75</v>
      </c>
      <c r="N177">
        <v>59</v>
      </c>
      <c r="O177">
        <v>63</v>
      </c>
      <c r="P177">
        <v>49</v>
      </c>
      <c r="Q177">
        <v>1</v>
      </c>
      <c r="R177">
        <v>12</v>
      </c>
      <c r="S177">
        <v>5</v>
      </c>
      <c r="T177">
        <v>2</v>
      </c>
      <c r="U177" s="6">
        <f>Cleaned_MLB_Stats_Dataset__1[[#This Row],[Hits]]/Cleaned_MLB_Stats_Dataset__1[[#This Row],[At Bats]]</f>
        <v>0.28503937007874014</v>
      </c>
      <c r="V177" s="6">
        <f>Cleaned_MLB_Stats_Dataset__1[[#This Row],[Strikeouts]]/(Cleaned_MLB_Stats_Dataset__1[[#This Row],[At Bats]]+Cleaned_MLB_Stats_Dataset__1[[#This Row],[Walks]])</f>
        <v>9.2105263157894732E-2</v>
      </c>
      <c r="W17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8.7643678160919544E-2</v>
      </c>
      <c r="X17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0.34522111269614836</v>
      </c>
      <c r="Y17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0.3606299212598425</v>
      </c>
      <c r="Z177" s="6">
        <f>Cleaned_MLB_Stats_Dataset__1[[#This Row],[On Base Percentage]]+Cleaned_MLB_Stats_Dataset__1[[#This Row],[Slugging %]]</f>
        <v>0.70585103395599091</v>
      </c>
      <c r="AA177" s="6">
        <f>Cleaned_MLB_Stats_Dataset__1[[#This Row],[Slugging %]]-Cleaned_MLB_Stats_Dataset__1[[#This Row],[Batting Average]]</f>
        <v>7.5590551181102361E-2</v>
      </c>
      <c r="AB177" s="6">
        <f>Cleaned_MLB_Stats_Dataset__1[[#This Row],[Batting Average]]-_xlfn.XLOOKUP(Cleaned_MLB_Stats_Dataset__1[[#This Row],[Year]],'League Averages'!$A$3:$A$23,'League Averages'!$B$3:$B$23)</f>
        <v>1.6039370078740123E-2</v>
      </c>
      <c r="AC177" s="6">
        <f>Cleaned_MLB_Stats_Dataset__1[[#This Row],[On Base Percentage]]-_xlfn.XLOOKUP(Cleaned_MLB_Stats_Dataset__1[[#This Row],[Year]],'League Averages'!$A$3:$A$23,'League Averages'!$C$3:$C$23)</f>
        <v>9.221112696148337E-3</v>
      </c>
      <c r="AD177" s="6">
        <f>Cleaned_MLB_Stats_Dataset__1[[#This Row],[Slugging %]]-_xlfn.XLOOKUP(Cleaned_MLB_Stats_Dataset__1[[#This Row],[Year]],'League Averages'!$A$3:$A$23,'League Averages'!$D$3:$D$23)</f>
        <v>-7.1370078740157494E-2</v>
      </c>
      <c r="AE177" s="6">
        <f>Cleaned_MLB_Stats_Dataset__1[[#This Row],[OPS (On Base + Slugging)]]-_xlfn.XLOOKUP(Cleaned_MLB_Stats_Dataset__1[[#This Row],[Year]],'League Averages'!$A$3:$A$23,'League Averages'!$E$3:$E$23)</f>
        <v>-6.2148966044009102E-2</v>
      </c>
      <c r="AF177" s="6">
        <f>Cleaned_MLB_Stats_Dataset__1[[#This Row],[ISO (Isolated Power]]-_xlfn.XLOOKUP(Cleaned_MLB_Stats_Dataset__1[[#This Row],[Year]],'League Averages'!$A$3:$A$23,'League Averages'!$F$3:$F$23)</f>
        <v>-8.7409448818897645E-2</v>
      </c>
    </row>
    <row r="178" spans="1:32" x14ac:dyDescent="0.2">
      <c r="A178" t="s">
        <v>310</v>
      </c>
      <c r="B178">
        <v>2008</v>
      </c>
      <c r="C178" t="s">
        <v>228</v>
      </c>
      <c r="D178" t="s">
        <v>6</v>
      </c>
      <c r="E178" t="s">
        <v>91</v>
      </c>
      <c r="F178" t="str">
        <f>_xlfn.XLOOKUP(Cleaned_MLB_Stats_Dataset__1[[#This Row],[Position'#]],$B$373:$B$382,$A$373:$A$382)</f>
        <v>RF</v>
      </c>
      <c r="G178">
        <v>9</v>
      </c>
      <c r="H178">
        <v>686</v>
      </c>
      <c r="I178">
        <v>213</v>
      </c>
      <c r="J178">
        <v>20</v>
      </c>
      <c r="K178">
        <v>7</v>
      </c>
      <c r="L178">
        <v>6</v>
      </c>
      <c r="M178">
        <v>103</v>
      </c>
      <c r="N178">
        <v>42</v>
      </c>
      <c r="O178">
        <v>65</v>
      </c>
      <c r="P178">
        <v>51</v>
      </c>
      <c r="Q178">
        <v>12</v>
      </c>
      <c r="R178">
        <v>5</v>
      </c>
      <c r="S178">
        <v>4</v>
      </c>
      <c r="T178">
        <v>3</v>
      </c>
      <c r="U178" s="6">
        <f>Cleaned_MLB_Stats_Dataset__1[[#This Row],[Hits]]/Cleaned_MLB_Stats_Dataset__1[[#This Row],[At Bats]]</f>
        <v>0.31049562682215742</v>
      </c>
      <c r="V178" s="6">
        <f>Cleaned_MLB_Stats_Dataset__1[[#This Row],[Strikeouts]]/(Cleaned_MLB_Stats_Dataset__1[[#This Row],[At Bats]]+Cleaned_MLB_Stats_Dataset__1[[#This Row],[Walks]])</f>
        <v>8.819538670284939E-2</v>
      </c>
      <c r="W17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7.5471698113207544E-2</v>
      </c>
      <c r="X17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0.3605898123324397</v>
      </c>
      <c r="Y17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0.38629737609329445</v>
      </c>
      <c r="Z178" s="6">
        <f>Cleaned_MLB_Stats_Dataset__1[[#This Row],[On Base Percentage]]+Cleaned_MLB_Stats_Dataset__1[[#This Row],[Slugging %]]</f>
        <v>0.74688718842573421</v>
      </c>
      <c r="AA178" s="6">
        <f>Cleaned_MLB_Stats_Dataset__1[[#This Row],[Slugging %]]-Cleaned_MLB_Stats_Dataset__1[[#This Row],[Batting Average]]</f>
        <v>7.5801749271137031E-2</v>
      </c>
      <c r="AB178" s="6">
        <f>Cleaned_MLB_Stats_Dataset__1[[#This Row],[Batting Average]]-_xlfn.XLOOKUP(Cleaned_MLB_Stats_Dataset__1[[#This Row],[Year]],'League Averages'!$A$3:$A$23,'League Averages'!$B$3:$B$23)</f>
        <v>4.649562682215741E-2</v>
      </c>
      <c r="AC178" s="6">
        <f>Cleaned_MLB_Stats_Dataset__1[[#This Row],[On Base Percentage]]-_xlfn.XLOOKUP(Cleaned_MLB_Stats_Dataset__1[[#This Row],[Year]],'League Averages'!$A$3:$A$23,'League Averages'!$C$3:$C$23)</f>
        <v>2.7589812332439678E-2</v>
      </c>
      <c r="AD178" s="6">
        <f>Cleaned_MLB_Stats_Dataset__1[[#This Row],[Slugging %]]-_xlfn.XLOOKUP(Cleaned_MLB_Stats_Dataset__1[[#This Row],[Year]],'League Averages'!$A$3:$A$23,'League Averages'!$D$3:$D$23)</f>
        <v>-2.9702623906705528E-2</v>
      </c>
      <c r="AE178" s="6">
        <f>Cleaned_MLB_Stats_Dataset__1[[#This Row],[OPS (On Base + Slugging)]]-_xlfn.XLOOKUP(Cleaned_MLB_Stats_Dataset__1[[#This Row],[Year]],'League Averages'!$A$3:$A$23,'League Averages'!$E$3:$E$23)</f>
        <v>-2.1128115742657938E-3</v>
      </c>
      <c r="AF178" s="6">
        <f>Cleaned_MLB_Stats_Dataset__1[[#This Row],[ISO (Isolated Power]]-_xlfn.XLOOKUP(Cleaned_MLB_Stats_Dataset__1[[#This Row],[Year]],'League Averages'!$A$3:$A$23,'League Averages'!$F$3:$F$23)</f>
        <v>-7.6198250728862965E-2</v>
      </c>
    </row>
    <row r="179" spans="1:32" x14ac:dyDescent="0.2">
      <c r="A179" t="s">
        <v>310</v>
      </c>
      <c r="B179">
        <v>2003</v>
      </c>
      <c r="C179" t="s">
        <v>201</v>
      </c>
      <c r="D179" t="s">
        <v>3</v>
      </c>
      <c r="E179" t="s">
        <v>89</v>
      </c>
      <c r="F179" t="str">
        <f>_xlfn.XLOOKUP(Cleaned_MLB_Stats_Dataset__1[[#This Row],[Position'#]],$B$373:$B$382,$A$373:$A$382)</f>
        <v>2B</v>
      </c>
      <c r="G179">
        <v>4</v>
      </c>
      <c r="H179">
        <v>509</v>
      </c>
      <c r="I179">
        <v>158</v>
      </c>
      <c r="J179">
        <v>36</v>
      </c>
      <c r="K179">
        <v>0</v>
      </c>
      <c r="L179">
        <v>15</v>
      </c>
      <c r="M179">
        <v>77</v>
      </c>
      <c r="N179">
        <v>65</v>
      </c>
      <c r="O179">
        <v>50</v>
      </c>
      <c r="P179">
        <v>69</v>
      </c>
      <c r="Q179">
        <v>6</v>
      </c>
      <c r="R179">
        <v>7</v>
      </c>
      <c r="S179">
        <v>5</v>
      </c>
      <c r="T179">
        <v>2</v>
      </c>
      <c r="U179" s="6">
        <f>Cleaned_MLB_Stats_Dataset__1[[#This Row],[Hits]]/Cleaned_MLB_Stats_Dataset__1[[#This Row],[At Bats]]</f>
        <v>0.31041257367387032</v>
      </c>
      <c r="V179" s="6">
        <f>Cleaned_MLB_Stats_Dataset__1[[#This Row],[Strikeouts]]/(Cleaned_MLB_Stats_Dataset__1[[#This Row],[At Bats]]+Cleaned_MLB_Stats_Dataset__1[[#This Row],[Walks]])</f>
        <v>8.6505190311418678E-2</v>
      </c>
      <c r="W17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0.12991452991452992</v>
      </c>
      <c r="X17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0.39661016949152544</v>
      </c>
      <c r="Y17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0.46954813359528486</v>
      </c>
      <c r="Z179" s="6">
        <f>Cleaned_MLB_Stats_Dataset__1[[#This Row],[On Base Percentage]]+Cleaned_MLB_Stats_Dataset__1[[#This Row],[Slugging %]]</f>
        <v>0.8661583030868103</v>
      </c>
      <c r="AA179" s="6">
        <f>Cleaned_MLB_Stats_Dataset__1[[#This Row],[Slugging %]]-Cleaned_MLB_Stats_Dataset__1[[#This Row],[Batting Average]]</f>
        <v>0.15913555992141454</v>
      </c>
      <c r="AB179" s="6">
        <f>Cleaned_MLB_Stats_Dataset__1[[#This Row],[Batting Average]]-_xlfn.XLOOKUP(Cleaned_MLB_Stats_Dataset__1[[#This Row],[Year]],'League Averages'!$A$3:$A$23,'League Averages'!$B$3:$B$23)</f>
        <v>4.6412573673870305E-2</v>
      </c>
      <c r="AC179" s="6">
        <f>Cleaned_MLB_Stats_Dataset__1[[#This Row],[On Base Percentage]]-_xlfn.XLOOKUP(Cleaned_MLB_Stats_Dataset__1[[#This Row],[Year]],'League Averages'!$A$3:$A$23,'League Averages'!$C$3:$C$23)</f>
        <v>6.3610169491525426E-2</v>
      </c>
      <c r="AD179" s="6">
        <f>Cleaned_MLB_Stats_Dataset__1[[#This Row],[Slugging %]]-_xlfn.XLOOKUP(Cleaned_MLB_Stats_Dataset__1[[#This Row],[Year]],'League Averages'!$A$3:$A$23,'League Averages'!$D$3:$D$23)</f>
        <v>4.7548133595284869E-2</v>
      </c>
      <c r="AE179" s="6">
        <f>Cleaned_MLB_Stats_Dataset__1[[#This Row],[OPS (On Base + Slugging)]]-_xlfn.XLOOKUP(Cleaned_MLB_Stats_Dataset__1[[#This Row],[Year]],'League Averages'!$A$3:$A$23,'League Averages'!$E$3:$E$23)</f>
        <v>0.1111583030868103</v>
      </c>
      <c r="AF179" s="6">
        <f>Cleaned_MLB_Stats_Dataset__1[[#This Row],[ISO (Isolated Power]]-_xlfn.XLOOKUP(Cleaned_MLB_Stats_Dataset__1[[#This Row],[Year]],'League Averages'!$A$3:$A$23,'League Averages'!$F$3:$F$23)</f>
        <v>1.1355599214145362E-3</v>
      </c>
    </row>
    <row r="180" spans="1:32" x14ac:dyDescent="0.2">
      <c r="A180" t="s">
        <v>310</v>
      </c>
      <c r="B180">
        <v>2008</v>
      </c>
      <c r="C180" t="s">
        <v>225</v>
      </c>
      <c r="D180" t="s">
        <v>3</v>
      </c>
      <c r="E180" t="s">
        <v>60</v>
      </c>
      <c r="F180" t="str">
        <f>_xlfn.XLOOKUP(Cleaned_MLB_Stats_Dataset__1[[#This Row],[Position'#]],$B$373:$B$382,$A$373:$A$382)</f>
        <v>DH</v>
      </c>
      <c r="G180">
        <v>10</v>
      </c>
      <c r="H180">
        <v>524</v>
      </c>
      <c r="I180">
        <v>187</v>
      </c>
      <c r="J180">
        <v>44</v>
      </c>
      <c r="K180">
        <v>0</v>
      </c>
      <c r="L180">
        <v>37</v>
      </c>
      <c r="M180">
        <v>100</v>
      </c>
      <c r="N180">
        <v>116</v>
      </c>
      <c r="O180">
        <v>54</v>
      </c>
      <c r="P180">
        <v>104</v>
      </c>
      <c r="Q180">
        <v>34</v>
      </c>
      <c r="R180">
        <v>5</v>
      </c>
      <c r="S180">
        <v>8</v>
      </c>
      <c r="T180">
        <v>0</v>
      </c>
      <c r="U180" s="6">
        <f>Cleaned_MLB_Stats_Dataset__1[[#This Row],[Hits]]/Cleaned_MLB_Stats_Dataset__1[[#This Row],[At Bats]]</f>
        <v>0.3568702290076336</v>
      </c>
      <c r="V180" s="6">
        <f>Cleaned_MLB_Stats_Dataset__1[[#This Row],[Strikeouts]]/(Cleaned_MLB_Stats_Dataset__1[[#This Row],[At Bats]]+Cleaned_MLB_Stats_Dataset__1[[#This Row],[Walks]])</f>
        <v>8.598726114649681E-2</v>
      </c>
      <c r="W18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0.17219589257503951</v>
      </c>
      <c r="X18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0.46177847113884557</v>
      </c>
      <c r="Y18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0.65267175572519087</v>
      </c>
      <c r="Z180" s="6">
        <f>Cleaned_MLB_Stats_Dataset__1[[#This Row],[On Base Percentage]]+Cleaned_MLB_Stats_Dataset__1[[#This Row],[Slugging %]]</f>
        <v>1.1144502268640364</v>
      </c>
      <c r="AA180" s="6">
        <f>Cleaned_MLB_Stats_Dataset__1[[#This Row],[Slugging %]]-Cleaned_MLB_Stats_Dataset__1[[#This Row],[Batting Average]]</f>
        <v>0.29580152671755727</v>
      </c>
      <c r="AB180" s="6">
        <f>Cleaned_MLB_Stats_Dataset__1[[#This Row],[Batting Average]]-_xlfn.XLOOKUP(Cleaned_MLB_Stats_Dataset__1[[#This Row],[Year]],'League Averages'!$A$3:$A$23,'League Averages'!$B$3:$B$23)</f>
        <v>9.2870229007633587E-2</v>
      </c>
      <c r="AC180" s="6">
        <f>Cleaned_MLB_Stats_Dataset__1[[#This Row],[On Base Percentage]]-_xlfn.XLOOKUP(Cleaned_MLB_Stats_Dataset__1[[#This Row],[Year]],'League Averages'!$A$3:$A$23,'League Averages'!$C$3:$C$23)</f>
        <v>0.12877847113884555</v>
      </c>
      <c r="AD180" s="6">
        <f>Cleaned_MLB_Stats_Dataset__1[[#This Row],[Slugging %]]-_xlfn.XLOOKUP(Cleaned_MLB_Stats_Dataset__1[[#This Row],[Year]],'League Averages'!$A$3:$A$23,'League Averages'!$D$3:$D$23)</f>
        <v>0.23667175572519089</v>
      </c>
      <c r="AE180" s="6">
        <f>Cleaned_MLB_Stats_Dataset__1[[#This Row],[OPS (On Base + Slugging)]]-_xlfn.XLOOKUP(Cleaned_MLB_Stats_Dataset__1[[#This Row],[Year]],'League Averages'!$A$3:$A$23,'League Averages'!$E$3:$E$23)</f>
        <v>0.36545022686403639</v>
      </c>
      <c r="AF180" s="6">
        <f>Cleaned_MLB_Stats_Dataset__1[[#This Row],[ISO (Isolated Power]]-_xlfn.XLOOKUP(Cleaned_MLB_Stats_Dataset__1[[#This Row],[Year]],'League Averages'!$A$3:$A$23,'League Averages'!$F$3:$F$23)</f>
        <v>0.14380152671755728</v>
      </c>
    </row>
    <row r="181" spans="1:32" x14ac:dyDescent="0.2">
      <c r="A181" t="s">
        <v>310</v>
      </c>
      <c r="B181">
        <v>2004</v>
      </c>
      <c r="C181" t="s">
        <v>228</v>
      </c>
      <c r="D181" t="s">
        <v>6</v>
      </c>
      <c r="E181" t="s">
        <v>91</v>
      </c>
      <c r="F181" t="str">
        <f>_xlfn.XLOOKUP(Cleaned_MLB_Stats_Dataset__1[[#This Row],[Position'#]],$B$373:$B$382,$A$373:$A$382)</f>
        <v>CF</v>
      </c>
      <c r="G181">
        <v>8</v>
      </c>
      <c r="H181">
        <v>704</v>
      </c>
      <c r="I181">
        <v>262</v>
      </c>
      <c r="J181">
        <v>24</v>
      </c>
      <c r="K181">
        <v>5</v>
      </c>
      <c r="L181">
        <v>8</v>
      </c>
      <c r="M181">
        <v>101</v>
      </c>
      <c r="N181">
        <v>60</v>
      </c>
      <c r="O181">
        <v>63</v>
      </c>
      <c r="P181">
        <v>49</v>
      </c>
      <c r="Q181">
        <v>19</v>
      </c>
      <c r="R181">
        <v>4</v>
      </c>
      <c r="S181">
        <v>3</v>
      </c>
      <c r="T181">
        <v>2</v>
      </c>
      <c r="U181" s="6">
        <f>Cleaned_MLB_Stats_Dataset__1[[#This Row],[Hits]]/Cleaned_MLB_Stats_Dataset__1[[#This Row],[At Bats]]</f>
        <v>0.37215909090909088</v>
      </c>
      <c r="V181" s="6">
        <f>Cleaned_MLB_Stats_Dataset__1[[#This Row],[Strikeouts]]/(Cleaned_MLB_Stats_Dataset__1[[#This Row],[At Bats]]+Cleaned_MLB_Stats_Dataset__1[[#This Row],[Walks]])</f>
        <v>8.3665338645418322E-2</v>
      </c>
      <c r="W18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7.0013210039630125E-2</v>
      </c>
      <c r="X18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0.41447368421052633</v>
      </c>
      <c r="Y18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0.45454545454545453</v>
      </c>
      <c r="Z181" s="6">
        <f>Cleaned_MLB_Stats_Dataset__1[[#This Row],[On Base Percentage]]+Cleaned_MLB_Stats_Dataset__1[[#This Row],[Slugging %]]</f>
        <v>0.86901913875598091</v>
      </c>
      <c r="AA181" s="6">
        <f>Cleaned_MLB_Stats_Dataset__1[[#This Row],[Slugging %]]-Cleaned_MLB_Stats_Dataset__1[[#This Row],[Batting Average]]</f>
        <v>8.2386363636363646E-2</v>
      </c>
      <c r="AB181" s="6">
        <f>Cleaned_MLB_Stats_Dataset__1[[#This Row],[Batting Average]]-_xlfn.XLOOKUP(Cleaned_MLB_Stats_Dataset__1[[#This Row],[Year]],'League Averages'!$A$3:$A$23,'League Averages'!$B$3:$B$23)</f>
        <v>0.10615909090909087</v>
      </c>
      <c r="AC181" s="6">
        <f>Cleaned_MLB_Stats_Dataset__1[[#This Row],[On Base Percentage]]-_xlfn.XLOOKUP(Cleaned_MLB_Stats_Dataset__1[[#This Row],[Year]],'League Averages'!$A$3:$A$23,'League Averages'!$C$3:$C$23)</f>
        <v>7.9473684210526307E-2</v>
      </c>
      <c r="AD181" s="6">
        <f>Cleaned_MLB_Stats_Dataset__1[[#This Row],[Slugging %]]-_xlfn.XLOOKUP(Cleaned_MLB_Stats_Dataset__1[[#This Row],[Year]],'League Averages'!$A$3:$A$23,'League Averages'!$D$3:$D$23)</f>
        <v>2.6545454545454539E-2</v>
      </c>
      <c r="AE181" s="6">
        <f>Cleaned_MLB_Stats_Dataset__1[[#This Row],[OPS (On Base + Slugging)]]-_xlfn.XLOOKUP(Cleaned_MLB_Stats_Dataset__1[[#This Row],[Year]],'League Averages'!$A$3:$A$23,'League Averages'!$E$3:$E$23)</f>
        <v>0.1060191387559809</v>
      </c>
      <c r="AF181" s="6">
        <f>Cleaned_MLB_Stats_Dataset__1[[#This Row],[ISO (Isolated Power]]-_xlfn.XLOOKUP(Cleaned_MLB_Stats_Dataset__1[[#This Row],[Year]],'League Averages'!$A$3:$A$23,'League Averages'!$F$3:$F$23)</f>
        <v>-7.9613636363636359E-2</v>
      </c>
    </row>
    <row r="182" spans="1:32" x14ac:dyDescent="0.2">
      <c r="A182" t="s">
        <v>310</v>
      </c>
      <c r="B182">
        <v>2003</v>
      </c>
      <c r="C182" t="s">
        <v>134</v>
      </c>
      <c r="D182" t="s">
        <v>3</v>
      </c>
      <c r="E182" t="s">
        <v>85</v>
      </c>
      <c r="F182" t="str">
        <f>_xlfn.XLOOKUP(Cleaned_MLB_Stats_Dataset__1[[#This Row],[Position'#]],$B$373:$B$382,$A$373:$A$382)</f>
        <v>RF</v>
      </c>
      <c r="G182">
        <v>9</v>
      </c>
      <c r="H182">
        <v>576</v>
      </c>
      <c r="I182">
        <v>190</v>
      </c>
      <c r="J182">
        <v>37</v>
      </c>
      <c r="K182">
        <v>2</v>
      </c>
      <c r="L182">
        <v>39</v>
      </c>
      <c r="M182">
        <v>126</v>
      </c>
      <c r="N182">
        <v>132</v>
      </c>
      <c r="O182">
        <v>55</v>
      </c>
      <c r="P182">
        <v>86</v>
      </c>
      <c r="Q182">
        <v>6</v>
      </c>
      <c r="R182">
        <v>8</v>
      </c>
      <c r="S182">
        <v>8</v>
      </c>
      <c r="T182">
        <v>0</v>
      </c>
      <c r="U182" s="6">
        <f>Cleaned_MLB_Stats_Dataset__1[[#This Row],[Hits]]/Cleaned_MLB_Stats_Dataset__1[[#This Row],[At Bats]]</f>
        <v>0.3298611111111111</v>
      </c>
      <c r="V182" s="6">
        <f>Cleaned_MLB_Stats_Dataset__1[[#This Row],[Strikeouts]]/(Cleaned_MLB_Stats_Dataset__1[[#This Row],[At Bats]]+Cleaned_MLB_Stats_Dataset__1[[#This Row],[Walks]])</f>
        <v>8.3081570996978854E-2</v>
      </c>
      <c r="W18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0.14029850746268657</v>
      </c>
      <c r="X18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0.41887905604719766</v>
      </c>
      <c r="Y18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0.60416666666666663</v>
      </c>
      <c r="Z182" s="6">
        <f>Cleaned_MLB_Stats_Dataset__1[[#This Row],[On Base Percentage]]+Cleaned_MLB_Stats_Dataset__1[[#This Row],[Slugging %]]</f>
        <v>1.0230457227138643</v>
      </c>
      <c r="AA182" s="6">
        <f>Cleaned_MLB_Stats_Dataset__1[[#This Row],[Slugging %]]-Cleaned_MLB_Stats_Dataset__1[[#This Row],[Batting Average]]</f>
        <v>0.27430555555555552</v>
      </c>
      <c r="AB182" s="6">
        <f>Cleaned_MLB_Stats_Dataset__1[[#This Row],[Batting Average]]-_xlfn.XLOOKUP(Cleaned_MLB_Stats_Dataset__1[[#This Row],[Year]],'League Averages'!$A$3:$A$23,'League Averages'!$B$3:$B$23)</f>
        <v>6.5861111111111093E-2</v>
      </c>
      <c r="AC182" s="6">
        <f>Cleaned_MLB_Stats_Dataset__1[[#This Row],[On Base Percentage]]-_xlfn.XLOOKUP(Cleaned_MLB_Stats_Dataset__1[[#This Row],[Year]],'League Averages'!$A$3:$A$23,'League Averages'!$C$3:$C$23)</f>
        <v>8.5879056047197644E-2</v>
      </c>
      <c r="AD182" s="6">
        <f>Cleaned_MLB_Stats_Dataset__1[[#This Row],[Slugging %]]-_xlfn.XLOOKUP(Cleaned_MLB_Stats_Dataset__1[[#This Row],[Year]],'League Averages'!$A$3:$A$23,'League Averages'!$D$3:$D$23)</f>
        <v>0.18216666666666664</v>
      </c>
      <c r="AE182" s="6">
        <f>Cleaned_MLB_Stats_Dataset__1[[#This Row],[OPS (On Base + Slugging)]]-_xlfn.XLOOKUP(Cleaned_MLB_Stats_Dataset__1[[#This Row],[Year]],'League Averages'!$A$3:$A$23,'League Averages'!$E$3:$E$23)</f>
        <v>0.26804572271386429</v>
      </c>
      <c r="AF182" s="6">
        <f>Cleaned_MLB_Stats_Dataset__1[[#This Row],[ISO (Isolated Power]]-_xlfn.XLOOKUP(Cleaned_MLB_Stats_Dataset__1[[#This Row],[Year]],'League Averages'!$A$3:$A$23,'League Averages'!$F$3:$F$23)</f>
        <v>0.11630555555555552</v>
      </c>
    </row>
    <row r="183" spans="1:32" x14ac:dyDescent="0.2">
      <c r="A183" t="s">
        <v>310</v>
      </c>
      <c r="B183">
        <v>2003</v>
      </c>
      <c r="C183" t="s">
        <v>189</v>
      </c>
      <c r="D183" t="s">
        <v>3</v>
      </c>
      <c r="E183" t="s">
        <v>60</v>
      </c>
      <c r="F183" t="str">
        <f>_xlfn.XLOOKUP(Cleaned_MLB_Stats_Dataset__1[[#This Row],[Position'#]],$B$373:$B$382,$A$373:$A$382)</f>
        <v>SS</v>
      </c>
      <c r="G183">
        <v>6</v>
      </c>
      <c r="H183">
        <v>587</v>
      </c>
      <c r="I183">
        <v>194</v>
      </c>
      <c r="J183">
        <v>47</v>
      </c>
      <c r="K183">
        <v>1</v>
      </c>
      <c r="L183">
        <v>13</v>
      </c>
      <c r="M183">
        <v>96</v>
      </c>
      <c r="N183">
        <v>100</v>
      </c>
      <c r="O183">
        <v>54</v>
      </c>
      <c r="P183">
        <v>65</v>
      </c>
      <c r="Q183">
        <v>12</v>
      </c>
      <c r="R183">
        <v>1</v>
      </c>
      <c r="S183">
        <v>7</v>
      </c>
      <c r="T183">
        <v>3</v>
      </c>
      <c r="U183" s="6">
        <f>Cleaned_MLB_Stats_Dataset__1[[#This Row],[Hits]]/Cleaned_MLB_Stats_Dataset__1[[#This Row],[At Bats]]</f>
        <v>0.33049403747870526</v>
      </c>
      <c r="V183" s="6">
        <f>Cleaned_MLB_Stats_Dataset__1[[#This Row],[Strikeouts]]/(Cleaned_MLB_Stats_Dataset__1[[#This Row],[At Bats]]+Cleaned_MLB_Stats_Dataset__1[[#This Row],[Walks]])</f>
        <v>8.2822085889570546E-2</v>
      </c>
      <c r="W18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0.10107197549770292</v>
      </c>
      <c r="X18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0.39393939393939392</v>
      </c>
      <c r="Y18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0.48040885860306642</v>
      </c>
      <c r="Z183" s="6">
        <f>Cleaned_MLB_Stats_Dataset__1[[#This Row],[On Base Percentage]]+Cleaned_MLB_Stats_Dataset__1[[#This Row],[Slugging %]]</f>
        <v>0.8743482525424604</v>
      </c>
      <c r="AA183" s="6">
        <f>Cleaned_MLB_Stats_Dataset__1[[#This Row],[Slugging %]]-Cleaned_MLB_Stats_Dataset__1[[#This Row],[Batting Average]]</f>
        <v>0.14991482112436116</v>
      </c>
      <c r="AB183" s="6">
        <f>Cleaned_MLB_Stats_Dataset__1[[#This Row],[Batting Average]]-_xlfn.XLOOKUP(Cleaned_MLB_Stats_Dataset__1[[#This Row],[Year]],'League Averages'!$A$3:$A$23,'League Averages'!$B$3:$B$23)</f>
        <v>6.6494037478705248E-2</v>
      </c>
      <c r="AC183" s="6">
        <f>Cleaned_MLB_Stats_Dataset__1[[#This Row],[On Base Percentage]]-_xlfn.XLOOKUP(Cleaned_MLB_Stats_Dataset__1[[#This Row],[Year]],'League Averages'!$A$3:$A$23,'League Averages'!$C$3:$C$23)</f>
        <v>6.0939393939393904E-2</v>
      </c>
      <c r="AD183" s="6">
        <f>Cleaned_MLB_Stats_Dataset__1[[#This Row],[Slugging %]]-_xlfn.XLOOKUP(Cleaned_MLB_Stats_Dataset__1[[#This Row],[Year]],'League Averages'!$A$3:$A$23,'League Averages'!$D$3:$D$23)</f>
        <v>5.8408858603066438E-2</v>
      </c>
      <c r="AE183" s="6">
        <f>Cleaned_MLB_Stats_Dataset__1[[#This Row],[OPS (On Base + Slugging)]]-_xlfn.XLOOKUP(Cleaned_MLB_Stats_Dataset__1[[#This Row],[Year]],'League Averages'!$A$3:$A$23,'League Averages'!$E$3:$E$23)</f>
        <v>0.1193482525424604</v>
      </c>
      <c r="AF183" s="6">
        <f>Cleaned_MLB_Stats_Dataset__1[[#This Row],[ISO (Isolated Power]]-_xlfn.XLOOKUP(Cleaned_MLB_Stats_Dataset__1[[#This Row],[Year]],'League Averages'!$A$3:$A$23,'League Averages'!$F$3:$F$23)</f>
        <v>-8.0851788756388376E-3</v>
      </c>
    </row>
    <row r="184" spans="1:32" x14ac:dyDescent="0.2">
      <c r="A184" t="s">
        <v>310</v>
      </c>
      <c r="B184">
        <v>2005</v>
      </c>
      <c r="C184" t="s">
        <v>186</v>
      </c>
      <c r="D184" t="s">
        <v>6</v>
      </c>
      <c r="E184" t="s">
        <v>2</v>
      </c>
      <c r="F184" t="str">
        <f>_xlfn.XLOOKUP(Cleaned_MLB_Stats_Dataset__1[[#This Row],[Position'#]],$B$373:$B$382,$A$373:$A$382)</f>
        <v>RF</v>
      </c>
      <c r="G184">
        <v>9</v>
      </c>
      <c r="H184">
        <v>520</v>
      </c>
      <c r="I184">
        <v>165</v>
      </c>
      <c r="J184">
        <v>29</v>
      </c>
      <c r="K184">
        <v>2</v>
      </c>
      <c r="L184">
        <v>32</v>
      </c>
      <c r="M184">
        <v>95</v>
      </c>
      <c r="N184">
        <v>108</v>
      </c>
      <c r="O184">
        <v>48</v>
      </c>
      <c r="P184">
        <v>61</v>
      </c>
      <c r="Q184">
        <v>26</v>
      </c>
      <c r="R184">
        <v>8</v>
      </c>
      <c r="S184">
        <v>5</v>
      </c>
      <c r="T184">
        <v>0</v>
      </c>
      <c r="U184" s="6">
        <f>Cleaned_MLB_Stats_Dataset__1[[#This Row],[Hits]]/Cleaned_MLB_Stats_Dataset__1[[#This Row],[At Bats]]</f>
        <v>0.31730769230769229</v>
      </c>
      <c r="V184" s="6">
        <f>Cleaned_MLB_Stats_Dataset__1[[#This Row],[Strikeouts]]/(Cleaned_MLB_Stats_Dataset__1[[#This Row],[At Bats]]+Cleaned_MLB_Stats_Dataset__1[[#This Row],[Walks]])</f>
        <v>8.2616179001721177E-2</v>
      </c>
      <c r="W18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0.11714770797962648</v>
      </c>
      <c r="X18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0.39393939393939392</v>
      </c>
      <c r="Y18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0.56538461538461537</v>
      </c>
      <c r="Z184" s="6">
        <f>Cleaned_MLB_Stats_Dataset__1[[#This Row],[On Base Percentage]]+Cleaned_MLB_Stats_Dataset__1[[#This Row],[Slugging %]]</f>
        <v>0.9593240093240093</v>
      </c>
      <c r="AA184" s="6">
        <f>Cleaned_MLB_Stats_Dataset__1[[#This Row],[Slugging %]]-Cleaned_MLB_Stats_Dataset__1[[#This Row],[Batting Average]]</f>
        <v>0.24807692307692308</v>
      </c>
      <c r="AB184" s="6">
        <f>Cleaned_MLB_Stats_Dataset__1[[#This Row],[Batting Average]]-_xlfn.XLOOKUP(Cleaned_MLB_Stats_Dataset__1[[#This Row],[Year]],'League Averages'!$A$3:$A$23,'League Averages'!$B$3:$B$23)</f>
        <v>5.3307692307692278E-2</v>
      </c>
      <c r="AC184" s="6">
        <f>Cleaned_MLB_Stats_Dataset__1[[#This Row],[On Base Percentage]]-_xlfn.XLOOKUP(Cleaned_MLB_Stats_Dataset__1[[#This Row],[Year]],'League Averages'!$A$3:$A$23,'League Averages'!$C$3:$C$23)</f>
        <v>6.3939393939393907E-2</v>
      </c>
      <c r="AD184" s="6">
        <f>Cleaned_MLB_Stats_Dataset__1[[#This Row],[Slugging %]]-_xlfn.XLOOKUP(Cleaned_MLB_Stats_Dataset__1[[#This Row],[Year]],'League Averages'!$A$3:$A$23,'League Averages'!$D$3:$D$23)</f>
        <v>0.14638461538461539</v>
      </c>
      <c r="AE184" s="6">
        <f>Cleaned_MLB_Stats_Dataset__1[[#This Row],[OPS (On Base + Slugging)]]-_xlfn.XLOOKUP(Cleaned_MLB_Stats_Dataset__1[[#This Row],[Year]],'League Averages'!$A$3:$A$23,'League Averages'!$E$3:$E$23)</f>
        <v>0.2103240093240093</v>
      </c>
      <c r="AF184" s="6">
        <f>Cleaned_MLB_Stats_Dataset__1[[#This Row],[ISO (Isolated Power]]-_xlfn.XLOOKUP(Cleaned_MLB_Stats_Dataset__1[[#This Row],[Year]],'League Averages'!$A$3:$A$23,'League Averages'!$F$3:$F$23)</f>
        <v>9.3076923076923085E-2</v>
      </c>
    </row>
    <row r="185" spans="1:32" x14ac:dyDescent="0.2">
      <c r="A185" t="s">
        <v>310</v>
      </c>
      <c r="B185">
        <v>2008</v>
      </c>
      <c r="C185" t="s">
        <v>251</v>
      </c>
      <c r="D185" t="s">
        <v>6</v>
      </c>
      <c r="E185" t="s">
        <v>81</v>
      </c>
      <c r="F185" t="str">
        <f>_xlfn.XLOOKUP(Cleaned_MLB_Stats_Dataset__1[[#This Row],[Position'#]],$B$373:$B$382,$A$373:$A$382)</f>
        <v>C</v>
      </c>
      <c r="G185">
        <v>2</v>
      </c>
      <c r="H185">
        <v>536</v>
      </c>
      <c r="I185">
        <v>176</v>
      </c>
      <c r="J185">
        <v>31</v>
      </c>
      <c r="K185">
        <v>4</v>
      </c>
      <c r="L185">
        <v>9</v>
      </c>
      <c r="M185">
        <v>98</v>
      </c>
      <c r="N185">
        <v>85</v>
      </c>
      <c r="O185">
        <v>50</v>
      </c>
      <c r="P185">
        <v>84</v>
      </c>
      <c r="Q185">
        <v>8</v>
      </c>
      <c r="R185">
        <v>1</v>
      </c>
      <c r="S185">
        <v>11</v>
      </c>
      <c r="T185">
        <v>1</v>
      </c>
      <c r="U185" s="6">
        <f>Cleaned_MLB_Stats_Dataset__1[[#This Row],[Hits]]/Cleaned_MLB_Stats_Dataset__1[[#This Row],[At Bats]]</f>
        <v>0.32835820895522388</v>
      </c>
      <c r="V185" s="6">
        <f>Cleaned_MLB_Stats_Dataset__1[[#This Row],[Strikeouts]]/(Cleaned_MLB_Stats_Dataset__1[[#This Row],[At Bats]]+Cleaned_MLB_Stats_Dataset__1[[#This Row],[Walks]])</f>
        <v>8.0645161290322578E-2</v>
      </c>
      <c r="W18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0.13687600644122383</v>
      </c>
      <c r="X18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0.41297468354430378</v>
      </c>
      <c r="Y18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0.45149253731343286</v>
      </c>
      <c r="Z185" s="6">
        <f>Cleaned_MLB_Stats_Dataset__1[[#This Row],[On Base Percentage]]+Cleaned_MLB_Stats_Dataset__1[[#This Row],[Slugging %]]</f>
        <v>0.86446722085773664</v>
      </c>
      <c r="AA185" s="6">
        <f>Cleaned_MLB_Stats_Dataset__1[[#This Row],[Slugging %]]-Cleaned_MLB_Stats_Dataset__1[[#This Row],[Batting Average]]</f>
        <v>0.12313432835820898</v>
      </c>
      <c r="AB185" s="6">
        <f>Cleaned_MLB_Stats_Dataset__1[[#This Row],[Batting Average]]-_xlfn.XLOOKUP(Cleaned_MLB_Stats_Dataset__1[[#This Row],[Year]],'League Averages'!$A$3:$A$23,'League Averages'!$B$3:$B$23)</f>
        <v>6.4358208955223872E-2</v>
      </c>
      <c r="AC185" s="6">
        <f>Cleaned_MLB_Stats_Dataset__1[[#This Row],[On Base Percentage]]-_xlfn.XLOOKUP(Cleaned_MLB_Stats_Dataset__1[[#This Row],[Year]],'League Averages'!$A$3:$A$23,'League Averages'!$C$3:$C$23)</f>
        <v>7.997468354430376E-2</v>
      </c>
      <c r="AD185" s="6">
        <f>Cleaned_MLB_Stats_Dataset__1[[#This Row],[Slugging %]]-_xlfn.XLOOKUP(Cleaned_MLB_Stats_Dataset__1[[#This Row],[Year]],'League Averages'!$A$3:$A$23,'League Averages'!$D$3:$D$23)</f>
        <v>3.5492537313432881E-2</v>
      </c>
      <c r="AE185" s="6">
        <f>Cleaned_MLB_Stats_Dataset__1[[#This Row],[OPS (On Base + Slugging)]]-_xlfn.XLOOKUP(Cleaned_MLB_Stats_Dataset__1[[#This Row],[Year]],'League Averages'!$A$3:$A$23,'League Averages'!$E$3:$E$23)</f>
        <v>0.11546722085773664</v>
      </c>
      <c r="AF185" s="6">
        <f>Cleaned_MLB_Stats_Dataset__1[[#This Row],[ISO (Isolated Power]]-_xlfn.XLOOKUP(Cleaned_MLB_Stats_Dataset__1[[#This Row],[Year]],'League Averages'!$A$3:$A$23,'League Averages'!$F$3:$F$23)</f>
        <v>-2.8865671641791019E-2</v>
      </c>
    </row>
    <row r="186" spans="1:32" x14ac:dyDescent="0.2">
      <c r="A186" t="s">
        <v>310</v>
      </c>
      <c r="B186">
        <v>2006</v>
      </c>
      <c r="C186" t="s">
        <v>225</v>
      </c>
      <c r="D186" t="s">
        <v>3</v>
      </c>
      <c r="E186" t="s">
        <v>60</v>
      </c>
      <c r="F186" t="str">
        <f>_xlfn.XLOOKUP(Cleaned_MLB_Stats_Dataset__1[[#This Row],[Position'#]],$B$373:$B$382,$A$373:$A$382)</f>
        <v>1B</v>
      </c>
      <c r="G186">
        <v>3</v>
      </c>
      <c r="H186">
        <v>535</v>
      </c>
      <c r="I186">
        <v>177</v>
      </c>
      <c r="J186">
        <v>33</v>
      </c>
      <c r="K186">
        <v>1</v>
      </c>
      <c r="L186">
        <v>49</v>
      </c>
      <c r="M186">
        <v>119</v>
      </c>
      <c r="N186">
        <v>137</v>
      </c>
      <c r="O186">
        <v>50</v>
      </c>
      <c r="P186">
        <v>92</v>
      </c>
      <c r="Q186">
        <v>28</v>
      </c>
      <c r="R186">
        <v>4</v>
      </c>
      <c r="S186">
        <v>3</v>
      </c>
      <c r="T186">
        <v>0</v>
      </c>
      <c r="U186" s="6">
        <f>Cleaned_MLB_Stats_Dataset__1[[#This Row],[Hits]]/Cleaned_MLB_Stats_Dataset__1[[#This Row],[At Bats]]</f>
        <v>0.33084112149532713</v>
      </c>
      <c r="V186" s="6">
        <f>Cleaned_MLB_Stats_Dataset__1[[#This Row],[Strikeouts]]/(Cleaned_MLB_Stats_Dataset__1[[#This Row],[At Bats]]+Cleaned_MLB_Stats_Dataset__1[[#This Row],[Walks]])</f>
        <v>7.9744816586921854E-2</v>
      </c>
      <c r="W18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0.15213946117274169</v>
      </c>
      <c r="X18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0.43059936908517349</v>
      </c>
      <c r="Y18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0.67102803738317762</v>
      </c>
      <c r="Z186" s="6">
        <f>Cleaned_MLB_Stats_Dataset__1[[#This Row],[On Base Percentage]]+Cleaned_MLB_Stats_Dataset__1[[#This Row],[Slugging %]]</f>
        <v>1.1016274064683511</v>
      </c>
      <c r="AA186" s="6">
        <f>Cleaned_MLB_Stats_Dataset__1[[#This Row],[Slugging %]]-Cleaned_MLB_Stats_Dataset__1[[#This Row],[Batting Average]]</f>
        <v>0.34018691588785049</v>
      </c>
      <c r="AB186" s="6">
        <f>Cleaned_MLB_Stats_Dataset__1[[#This Row],[Batting Average]]-_xlfn.XLOOKUP(Cleaned_MLB_Stats_Dataset__1[[#This Row],[Year]],'League Averages'!$A$3:$A$23,'League Averages'!$B$3:$B$23)</f>
        <v>6.1841121495327112E-2</v>
      </c>
      <c r="AC186" s="6">
        <f>Cleaned_MLB_Stats_Dataset__1[[#This Row],[On Base Percentage]]-_xlfn.XLOOKUP(Cleaned_MLB_Stats_Dataset__1[[#This Row],[Year]],'League Averages'!$A$3:$A$23,'League Averages'!$C$3:$C$23)</f>
        <v>9.4599369085173468E-2</v>
      </c>
      <c r="AD186" s="6">
        <f>Cleaned_MLB_Stats_Dataset__1[[#This Row],[Slugging %]]-_xlfn.XLOOKUP(Cleaned_MLB_Stats_Dataset__1[[#This Row],[Year]],'League Averages'!$A$3:$A$23,'League Averages'!$D$3:$D$23)</f>
        <v>0.23902803738317763</v>
      </c>
      <c r="AE186" s="6">
        <f>Cleaned_MLB_Stats_Dataset__1[[#This Row],[OPS (On Base + Slugging)]]-_xlfn.XLOOKUP(Cleaned_MLB_Stats_Dataset__1[[#This Row],[Year]],'League Averages'!$A$3:$A$23,'League Averages'!$E$3:$E$23)</f>
        <v>0.3336274064683511</v>
      </c>
      <c r="AF186" s="6">
        <f>Cleaned_MLB_Stats_Dataset__1[[#This Row],[ISO (Isolated Power]]-_xlfn.XLOOKUP(Cleaned_MLB_Stats_Dataset__1[[#This Row],[Year]],'League Averages'!$A$3:$A$23,'League Averages'!$F$3:$F$23)</f>
        <v>0.17718691588785049</v>
      </c>
    </row>
    <row r="187" spans="1:32" x14ac:dyDescent="0.2">
      <c r="A187" t="s">
        <v>310</v>
      </c>
      <c r="B187">
        <v>2004</v>
      </c>
      <c r="C187" t="s">
        <v>225</v>
      </c>
      <c r="D187" t="s">
        <v>3</v>
      </c>
      <c r="E187" t="s">
        <v>60</v>
      </c>
      <c r="F187" t="str">
        <f>_xlfn.XLOOKUP(Cleaned_MLB_Stats_Dataset__1[[#This Row],[Position'#]],$B$373:$B$382,$A$373:$A$382)</f>
        <v>1B</v>
      </c>
      <c r="G187">
        <v>3</v>
      </c>
      <c r="H187">
        <v>592</v>
      </c>
      <c r="I187">
        <v>196</v>
      </c>
      <c r="J187">
        <v>51</v>
      </c>
      <c r="K187">
        <v>2</v>
      </c>
      <c r="L187">
        <v>46</v>
      </c>
      <c r="M187">
        <v>133</v>
      </c>
      <c r="N187">
        <v>123</v>
      </c>
      <c r="O187">
        <v>52</v>
      </c>
      <c r="P187">
        <v>84</v>
      </c>
      <c r="Q187">
        <v>12</v>
      </c>
      <c r="R187">
        <v>7</v>
      </c>
      <c r="S187">
        <v>9</v>
      </c>
      <c r="T187">
        <v>0</v>
      </c>
      <c r="U187" s="6">
        <f>Cleaned_MLB_Stats_Dataset__1[[#This Row],[Hits]]/Cleaned_MLB_Stats_Dataset__1[[#This Row],[At Bats]]</f>
        <v>0.33108108108108109</v>
      </c>
      <c r="V187" s="6">
        <f>Cleaned_MLB_Stats_Dataset__1[[#This Row],[Strikeouts]]/(Cleaned_MLB_Stats_Dataset__1[[#This Row],[At Bats]]+Cleaned_MLB_Stats_Dataset__1[[#This Row],[Walks]])</f>
        <v>7.6923076923076927E-2</v>
      </c>
      <c r="W18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0.13323572474377746</v>
      </c>
      <c r="X18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0.41473988439306358</v>
      </c>
      <c r="Y18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0.65709459459459463</v>
      </c>
      <c r="Z187" s="6">
        <f>Cleaned_MLB_Stats_Dataset__1[[#This Row],[On Base Percentage]]+Cleaned_MLB_Stats_Dataset__1[[#This Row],[Slugging %]]</f>
        <v>1.0718344789876582</v>
      </c>
      <c r="AA187" s="6">
        <f>Cleaned_MLB_Stats_Dataset__1[[#This Row],[Slugging %]]-Cleaned_MLB_Stats_Dataset__1[[#This Row],[Batting Average]]</f>
        <v>0.32601351351351354</v>
      </c>
      <c r="AB187" s="6">
        <f>Cleaned_MLB_Stats_Dataset__1[[#This Row],[Batting Average]]-_xlfn.XLOOKUP(Cleaned_MLB_Stats_Dataset__1[[#This Row],[Year]],'League Averages'!$A$3:$A$23,'League Averages'!$B$3:$B$23)</f>
        <v>6.5081081081081071E-2</v>
      </c>
      <c r="AC187" s="6">
        <f>Cleaned_MLB_Stats_Dataset__1[[#This Row],[On Base Percentage]]-_xlfn.XLOOKUP(Cleaned_MLB_Stats_Dataset__1[[#This Row],[Year]],'League Averages'!$A$3:$A$23,'League Averages'!$C$3:$C$23)</f>
        <v>7.9739884393063565E-2</v>
      </c>
      <c r="AD187" s="6">
        <f>Cleaned_MLB_Stats_Dataset__1[[#This Row],[Slugging %]]-_xlfn.XLOOKUP(Cleaned_MLB_Stats_Dataset__1[[#This Row],[Year]],'League Averages'!$A$3:$A$23,'League Averages'!$D$3:$D$23)</f>
        <v>0.22909459459459464</v>
      </c>
      <c r="AE187" s="6">
        <f>Cleaned_MLB_Stats_Dataset__1[[#This Row],[OPS (On Base + Slugging)]]-_xlfn.XLOOKUP(Cleaned_MLB_Stats_Dataset__1[[#This Row],[Year]],'League Averages'!$A$3:$A$23,'League Averages'!$E$3:$E$23)</f>
        <v>0.30883447898765815</v>
      </c>
      <c r="AF187" s="6">
        <f>Cleaned_MLB_Stats_Dataset__1[[#This Row],[ISO (Isolated Power]]-_xlfn.XLOOKUP(Cleaned_MLB_Stats_Dataset__1[[#This Row],[Year]],'League Averages'!$A$3:$A$23,'League Averages'!$F$3:$F$23)</f>
        <v>0.16401351351351354</v>
      </c>
    </row>
    <row r="188" spans="1:32" x14ac:dyDescent="0.2">
      <c r="A188" t="s">
        <v>310</v>
      </c>
      <c r="B188">
        <v>2008</v>
      </c>
      <c r="C188" t="s">
        <v>271</v>
      </c>
      <c r="D188" t="s">
        <v>6</v>
      </c>
      <c r="E188" t="s">
        <v>68</v>
      </c>
      <c r="F188" t="str">
        <f>_xlfn.XLOOKUP(Cleaned_MLB_Stats_Dataset__1[[#This Row],[Position'#]],$B$373:$B$382,$A$373:$A$382)</f>
        <v>2B</v>
      </c>
      <c r="G188">
        <v>4</v>
      </c>
      <c r="H188">
        <v>653</v>
      </c>
      <c r="I188">
        <v>213</v>
      </c>
      <c r="J188">
        <v>54</v>
      </c>
      <c r="K188">
        <v>2</v>
      </c>
      <c r="L188">
        <v>17</v>
      </c>
      <c r="M188">
        <v>118</v>
      </c>
      <c r="N188">
        <v>83</v>
      </c>
      <c r="O188">
        <v>52</v>
      </c>
      <c r="P188">
        <v>50</v>
      </c>
      <c r="Q188">
        <v>1</v>
      </c>
      <c r="R188">
        <v>7</v>
      </c>
      <c r="S188">
        <v>9</v>
      </c>
      <c r="T188">
        <v>7</v>
      </c>
      <c r="U188" s="6">
        <f>Cleaned_MLB_Stats_Dataset__1[[#This Row],[Hits]]/Cleaned_MLB_Stats_Dataset__1[[#This Row],[At Bats]]</f>
        <v>0.32618683001531396</v>
      </c>
      <c r="V188" s="6">
        <f>Cleaned_MLB_Stats_Dataset__1[[#This Row],[Strikeouts]]/(Cleaned_MLB_Stats_Dataset__1[[#This Row],[At Bats]]+Cleaned_MLB_Stats_Dataset__1[[#This Row],[Walks]])</f>
        <v>7.3968705547652919E-2</v>
      </c>
      <c r="W18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8.0281690140845074E-2</v>
      </c>
      <c r="X18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0.37552155771905427</v>
      </c>
      <c r="Y18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0.49310872894333846</v>
      </c>
      <c r="Z188" s="6">
        <f>Cleaned_MLB_Stats_Dataset__1[[#This Row],[On Base Percentage]]+Cleaned_MLB_Stats_Dataset__1[[#This Row],[Slugging %]]</f>
        <v>0.86863028666239273</v>
      </c>
      <c r="AA188" s="6">
        <f>Cleaned_MLB_Stats_Dataset__1[[#This Row],[Slugging %]]-Cleaned_MLB_Stats_Dataset__1[[#This Row],[Batting Average]]</f>
        <v>0.1669218989280245</v>
      </c>
      <c r="AB188" s="6">
        <f>Cleaned_MLB_Stats_Dataset__1[[#This Row],[Batting Average]]-_xlfn.XLOOKUP(Cleaned_MLB_Stats_Dataset__1[[#This Row],[Year]],'League Averages'!$A$3:$A$23,'League Averages'!$B$3:$B$23)</f>
        <v>6.2186830015313943E-2</v>
      </c>
      <c r="AC188" s="6">
        <f>Cleaned_MLB_Stats_Dataset__1[[#This Row],[On Base Percentage]]-_xlfn.XLOOKUP(Cleaned_MLB_Stats_Dataset__1[[#This Row],[Year]],'League Averages'!$A$3:$A$23,'League Averages'!$C$3:$C$23)</f>
        <v>4.2521557719054248E-2</v>
      </c>
      <c r="AD188" s="6">
        <f>Cleaned_MLB_Stats_Dataset__1[[#This Row],[Slugging %]]-_xlfn.XLOOKUP(Cleaned_MLB_Stats_Dataset__1[[#This Row],[Year]],'League Averages'!$A$3:$A$23,'League Averages'!$D$3:$D$23)</f>
        <v>7.7108728943338478E-2</v>
      </c>
      <c r="AE188" s="6">
        <f>Cleaned_MLB_Stats_Dataset__1[[#This Row],[OPS (On Base + Slugging)]]-_xlfn.XLOOKUP(Cleaned_MLB_Stats_Dataset__1[[#This Row],[Year]],'League Averages'!$A$3:$A$23,'League Averages'!$E$3:$E$23)</f>
        <v>0.11963028666239273</v>
      </c>
      <c r="AF188" s="6">
        <f>Cleaned_MLB_Stats_Dataset__1[[#This Row],[ISO (Isolated Power]]-_xlfn.XLOOKUP(Cleaned_MLB_Stats_Dataset__1[[#This Row],[Year]],'League Averages'!$A$3:$A$23,'League Averages'!$F$3:$F$23)</f>
        <v>1.4921898928024507E-2</v>
      </c>
    </row>
    <row r="189" spans="1:32" x14ac:dyDescent="0.2">
      <c r="A189" t="s">
        <v>310</v>
      </c>
      <c r="B189">
        <v>2009</v>
      </c>
      <c r="C189" t="s">
        <v>252</v>
      </c>
      <c r="D189" t="s">
        <v>3</v>
      </c>
      <c r="E189" t="s">
        <v>60</v>
      </c>
      <c r="F189" t="str">
        <f>_xlfn.XLOOKUP(Cleaned_MLB_Stats_Dataset__1[[#This Row],[Position'#]],$B$373:$B$382,$A$373:$A$382)</f>
        <v>C</v>
      </c>
      <c r="G189">
        <v>2</v>
      </c>
      <c r="H189">
        <v>481</v>
      </c>
      <c r="I189">
        <v>141</v>
      </c>
      <c r="J189">
        <v>23</v>
      </c>
      <c r="K189">
        <v>1</v>
      </c>
      <c r="L189">
        <v>6</v>
      </c>
      <c r="M189">
        <v>45</v>
      </c>
      <c r="N189">
        <v>54</v>
      </c>
      <c r="O189">
        <v>39</v>
      </c>
      <c r="P189">
        <v>50</v>
      </c>
      <c r="Q189">
        <v>2</v>
      </c>
      <c r="R189">
        <v>6</v>
      </c>
      <c r="S189">
        <v>1</v>
      </c>
      <c r="T189">
        <v>6</v>
      </c>
      <c r="U189" s="6">
        <f>Cleaned_MLB_Stats_Dataset__1[[#This Row],[Hits]]/Cleaned_MLB_Stats_Dataset__1[[#This Row],[At Bats]]</f>
        <v>0.29313929313929316</v>
      </c>
      <c r="V189" s="6">
        <f>Cleaned_MLB_Stats_Dataset__1[[#This Row],[Strikeouts]]/(Cleaned_MLB_Stats_Dataset__1[[#This Row],[At Bats]]+Cleaned_MLB_Stats_Dataset__1[[#This Row],[Walks]])</f>
        <v>7.3446327683615822E-2</v>
      </c>
      <c r="W18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0.1042830540037244</v>
      </c>
      <c r="X18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0.36617100371747213</v>
      </c>
      <c r="Y18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0.38253638253638256</v>
      </c>
      <c r="Z189" s="6">
        <f>Cleaned_MLB_Stats_Dataset__1[[#This Row],[On Base Percentage]]+Cleaned_MLB_Stats_Dataset__1[[#This Row],[Slugging %]]</f>
        <v>0.74870738625385469</v>
      </c>
      <c r="AA189" s="6">
        <f>Cleaned_MLB_Stats_Dataset__1[[#This Row],[Slugging %]]-Cleaned_MLB_Stats_Dataset__1[[#This Row],[Batting Average]]</f>
        <v>8.9397089397089402E-2</v>
      </c>
      <c r="AB189" s="6">
        <f>Cleaned_MLB_Stats_Dataset__1[[#This Row],[Batting Average]]-_xlfn.XLOOKUP(Cleaned_MLB_Stats_Dataset__1[[#This Row],[Year]],'League Averages'!$A$3:$A$23,'League Averages'!$B$3:$B$23)</f>
        <v>3.1139293139293145E-2</v>
      </c>
      <c r="AC189" s="6">
        <f>Cleaned_MLB_Stats_Dataset__1[[#This Row],[On Base Percentage]]-_xlfn.XLOOKUP(Cleaned_MLB_Stats_Dataset__1[[#This Row],[Year]],'League Averages'!$A$3:$A$23,'League Averages'!$C$3:$C$23)</f>
        <v>3.3171003717472114E-2</v>
      </c>
      <c r="AD189" s="6">
        <f>Cleaned_MLB_Stats_Dataset__1[[#This Row],[Slugging %]]-_xlfn.XLOOKUP(Cleaned_MLB_Stats_Dataset__1[[#This Row],[Year]],'League Averages'!$A$3:$A$23,'League Averages'!$D$3:$D$23)</f>
        <v>-3.5463617463617425E-2</v>
      </c>
      <c r="AE189" s="6">
        <f>Cleaned_MLB_Stats_Dataset__1[[#This Row],[OPS (On Base + Slugging)]]-_xlfn.XLOOKUP(Cleaned_MLB_Stats_Dataset__1[[#This Row],[Year]],'League Averages'!$A$3:$A$23,'League Averages'!$E$3:$E$23)</f>
        <v>-2.2926137461453111E-3</v>
      </c>
      <c r="AF189" s="6">
        <f>Cleaned_MLB_Stats_Dataset__1[[#This Row],[ISO (Isolated Power]]-_xlfn.XLOOKUP(Cleaned_MLB_Stats_Dataset__1[[#This Row],[Year]],'League Averages'!$A$3:$A$23,'League Averages'!$F$3:$F$23)</f>
        <v>-6.6602910602910598E-2</v>
      </c>
    </row>
    <row r="190" spans="1:32" x14ac:dyDescent="0.2">
      <c r="A190" t="s">
        <v>310</v>
      </c>
      <c r="B190">
        <v>2006</v>
      </c>
      <c r="C190" t="s">
        <v>209</v>
      </c>
      <c r="D190" t="s">
        <v>3</v>
      </c>
      <c r="E190" t="s">
        <v>83</v>
      </c>
      <c r="F190" t="str">
        <f>_xlfn.XLOOKUP(Cleaned_MLB_Stats_Dataset__1[[#This Row],[Position'#]],$B$373:$B$382,$A$373:$A$382)</f>
        <v>C</v>
      </c>
      <c r="G190">
        <v>2</v>
      </c>
      <c r="H190">
        <v>512</v>
      </c>
      <c r="I190">
        <v>163</v>
      </c>
      <c r="J190">
        <v>39</v>
      </c>
      <c r="K190">
        <v>1</v>
      </c>
      <c r="L190">
        <v>5</v>
      </c>
      <c r="M190">
        <v>80</v>
      </c>
      <c r="N190">
        <v>49</v>
      </c>
      <c r="O190">
        <v>38</v>
      </c>
      <c r="P190">
        <v>24</v>
      </c>
      <c r="Q190">
        <v>0</v>
      </c>
      <c r="R190">
        <v>6</v>
      </c>
      <c r="S190">
        <v>2</v>
      </c>
      <c r="T190">
        <v>7</v>
      </c>
      <c r="U190" s="6">
        <f>Cleaned_MLB_Stats_Dataset__1[[#This Row],[Hits]]/Cleaned_MLB_Stats_Dataset__1[[#This Row],[At Bats]]</f>
        <v>0.318359375</v>
      </c>
      <c r="V190" s="6">
        <f>Cleaned_MLB_Stats_Dataset__1[[#This Row],[Strikeouts]]/(Cleaned_MLB_Stats_Dataset__1[[#This Row],[At Bats]]+Cleaned_MLB_Stats_Dataset__1[[#This Row],[Walks]])</f>
        <v>7.0895522388059698E-2</v>
      </c>
      <c r="W19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5.5350553505535055E-2</v>
      </c>
      <c r="X19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0.3547794117647059</v>
      </c>
      <c r="Y19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0.427734375</v>
      </c>
      <c r="Z190" s="6">
        <f>Cleaned_MLB_Stats_Dataset__1[[#This Row],[On Base Percentage]]+Cleaned_MLB_Stats_Dataset__1[[#This Row],[Slugging %]]</f>
        <v>0.78251378676470584</v>
      </c>
      <c r="AA190" s="6">
        <f>Cleaned_MLB_Stats_Dataset__1[[#This Row],[Slugging %]]-Cleaned_MLB_Stats_Dataset__1[[#This Row],[Batting Average]]</f>
        <v>0.109375</v>
      </c>
      <c r="AB190" s="6">
        <f>Cleaned_MLB_Stats_Dataset__1[[#This Row],[Batting Average]]-_xlfn.XLOOKUP(Cleaned_MLB_Stats_Dataset__1[[#This Row],[Year]],'League Averages'!$A$3:$A$23,'League Averages'!$B$3:$B$23)</f>
        <v>4.9359374999999983E-2</v>
      </c>
      <c r="AC190" s="6">
        <f>Cleaned_MLB_Stats_Dataset__1[[#This Row],[On Base Percentage]]-_xlfn.XLOOKUP(Cleaned_MLB_Stats_Dataset__1[[#This Row],[Year]],'League Averages'!$A$3:$A$23,'League Averages'!$C$3:$C$23)</f>
        <v>1.8779411764705878E-2</v>
      </c>
      <c r="AD190" s="6">
        <f>Cleaned_MLB_Stats_Dataset__1[[#This Row],[Slugging %]]-_xlfn.XLOOKUP(Cleaned_MLB_Stats_Dataset__1[[#This Row],[Year]],'League Averages'!$A$3:$A$23,'League Averages'!$D$3:$D$23)</f>
        <v>-4.2656249999999951E-3</v>
      </c>
      <c r="AE190" s="6">
        <f>Cleaned_MLB_Stats_Dataset__1[[#This Row],[OPS (On Base + Slugging)]]-_xlfn.XLOOKUP(Cleaned_MLB_Stats_Dataset__1[[#This Row],[Year]],'League Averages'!$A$3:$A$23,'League Averages'!$E$3:$E$23)</f>
        <v>1.4513786764705827E-2</v>
      </c>
      <c r="AF190" s="6">
        <f>Cleaned_MLB_Stats_Dataset__1[[#This Row],[ISO (Isolated Power]]-_xlfn.XLOOKUP(Cleaned_MLB_Stats_Dataset__1[[#This Row],[Year]],'League Averages'!$A$3:$A$23,'League Averages'!$F$3:$F$23)</f>
        <v>-5.3625000000000006E-2</v>
      </c>
    </row>
    <row r="191" spans="1:32" x14ac:dyDescent="0.2">
      <c r="A191" t="s">
        <v>310</v>
      </c>
      <c r="B191">
        <v>2004</v>
      </c>
      <c r="C191" t="s">
        <v>110</v>
      </c>
      <c r="D191" t="s">
        <v>3</v>
      </c>
      <c r="E191" t="s">
        <v>79</v>
      </c>
      <c r="F191" t="str">
        <f>_xlfn.XLOOKUP(Cleaned_MLB_Stats_Dataset__1[[#This Row],[Position'#]],$B$373:$B$382,$A$373:$A$382)</f>
        <v>LF</v>
      </c>
      <c r="G191">
        <v>7</v>
      </c>
      <c r="H191">
        <v>373</v>
      </c>
      <c r="I191">
        <v>135</v>
      </c>
      <c r="J191">
        <v>27</v>
      </c>
      <c r="K191">
        <v>3</v>
      </c>
      <c r="L191">
        <v>45</v>
      </c>
      <c r="M191">
        <v>129</v>
      </c>
      <c r="N191">
        <v>101</v>
      </c>
      <c r="O191">
        <v>41</v>
      </c>
      <c r="P191">
        <v>232</v>
      </c>
      <c r="Q191">
        <v>120</v>
      </c>
      <c r="R191">
        <v>9</v>
      </c>
      <c r="S191">
        <v>3</v>
      </c>
      <c r="T191">
        <v>0</v>
      </c>
      <c r="U191" s="6">
        <f>Cleaned_MLB_Stats_Dataset__1[[#This Row],[Hits]]/Cleaned_MLB_Stats_Dataset__1[[#This Row],[At Bats]]</f>
        <v>0.36193029490616624</v>
      </c>
      <c r="V191" s="6">
        <f>Cleaned_MLB_Stats_Dataset__1[[#This Row],[Strikeouts]]/(Cleaned_MLB_Stats_Dataset__1[[#This Row],[At Bats]]+Cleaned_MLB_Stats_Dataset__1[[#This Row],[Walks]])</f>
        <v>6.7768595041322308E-2</v>
      </c>
      <c r="W19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0.39250814332247558</v>
      </c>
      <c r="X19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0.60940032414910861</v>
      </c>
      <c r="Y19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0.81233243967828417</v>
      </c>
      <c r="Z191" s="6">
        <f>Cleaned_MLB_Stats_Dataset__1[[#This Row],[On Base Percentage]]+Cleaned_MLB_Stats_Dataset__1[[#This Row],[Slugging %]]</f>
        <v>1.4217327638273929</v>
      </c>
      <c r="AA191" s="6">
        <f>Cleaned_MLB_Stats_Dataset__1[[#This Row],[Slugging %]]-Cleaned_MLB_Stats_Dataset__1[[#This Row],[Batting Average]]</f>
        <v>0.45040214477211793</v>
      </c>
      <c r="AB191" s="6">
        <f>Cleaned_MLB_Stats_Dataset__1[[#This Row],[Batting Average]]-_xlfn.XLOOKUP(Cleaned_MLB_Stats_Dataset__1[[#This Row],[Year]],'League Averages'!$A$3:$A$23,'League Averages'!$B$3:$B$23)</f>
        <v>9.5930294906166225E-2</v>
      </c>
      <c r="AC191" s="6">
        <f>Cleaned_MLB_Stats_Dataset__1[[#This Row],[On Base Percentage]]-_xlfn.XLOOKUP(Cleaned_MLB_Stats_Dataset__1[[#This Row],[Year]],'League Averages'!$A$3:$A$23,'League Averages'!$C$3:$C$23)</f>
        <v>0.27440032414910859</v>
      </c>
      <c r="AD191" s="6">
        <f>Cleaned_MLB_Stats_Dataset__1[[#This Row],[Slugging %]]-_xlfn.XLOOKUP(Cleaned_MLB_Stats_Dataset__1[[#This Row],[Year]],'League Averages'!$A$3:$A$23,'League Averages'!$D$3:$D$23)</f>
        <v>0.38433243967828418</v>
      </c>
      <c r="AE191" s="6">
        <f>Cleaned_MLB_Stats_Dataset__1[[#This Row],[OPS (On Base + Slugging)]]-_xlfn.XLOOKUP(Cleaned_MLB_Stats_Dataset__1[[#This Row],[Year]],'League Averages'!$A$3:$A$23,'League Averages'!$E$3:$E$23)</f>
        <v>0.65873276382739288</v>
      </c>
      <c r="AF191" s="6">
        <f>Cleaned_MLB_Stats_Dataset__1[[#This Row],[ISO (Isolated Power]]-_xlfn.XLOOKUP(Cleaned_MLB_Stats_Dataset__1[[#This Row],[Year]],'League Averages'!$A$3:$A$23,'League Averages'!$F$3:$F$23)</f>
        <v>0.2884021447721179</v>
      </c>
    </row>
    <row r="192" spans="1:32" x14ac:dyDescent="0.2">
      <c r="A192" t="s">
        <v>310</v>
      </c>
      <c r="B192">
        <v>2005</v>
      </c>
      <c r="C192" t="s">
        <v>223</v>
      </c>
      <c r="D192" t="s">
        <v>3</v>
      </c>
      <c r="E192" t="s">
        <v>60</v>
      </c>
      <c r="F192" t="str">
        <f>_xlfn.XLOOKUP(Cleaned_MLB_Stats_Dataset__1[[#This Row],[Position'#]],$B$373:$B$382,$A$373:$A$382)</f>
        <v>SS</v>
      </c>
      <c r="G192">
        <v>6</v>
      </c>
      <c r="H192">
        <v>630</v>
      </c>
      <c r="I192">
        <v>185</v>
      </c>
      <c r="J192">
        <v>26</v>
      </c>
      <c r="K192">
        <v>7</v>
      </c>
      <c r="L192">
        <v>8</v>
      </c>
      <c r="M192">
        <v>90</v>
      </c>
      <c r="N192">
        <v>61</v>
      </c>
      <c r="O192">
        <v>44</v>
      </c>
      <c r="P192">
        <v>58</v>
      </c>
      <c r="Q192">
        <v>0</v>
      </c>
      <c r="R192">
        <v>13</v>
      </c>
      <c r="S192">
        <v>4</v>
      </c>
      <c r="T192">
        <v>8</v>
      </c>
      <c r="U192" s="6">
        <f>Cleaned_MLB_Stats_Dataset__1[[#This Row],[Hits]]/Cleaned_MLB_Stats_Dataset__1[[#This Row],[At Bats]]</f>
        <v>0.29365079365079366</v>
      </c>
      <c r="V192" s="6">
        <f>Cleaned_MLB_Stats_Dataset__1[[#This Row],[Strikeouts]]/(Cleaned_MLB_Stats_Dataset__1[[#This Row],[At Bats]]+Cleaned_MLB_Stats_Dataset__1[[#This Row],[Walks]])</f>
        <v>6.3953488372093026E-2</v>
      </c>
      <c r="W19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0.10128388017118402</v>
      </c>
      <c r="X19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0.36312056737588655</v>
      </c>
      <c r="Y19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0.39523809523809522</v>
      </c>
      <c r="Z192" s="6">
        <f>Cleaned_MLB_Stats_Dataset__1[[#This Row],[On Base Percentage]]+Cleaned_MLB_Stats_Dataset__1[[#This Row],[Slugging %]]</f>
        <v>0.75835866261398177</v>
      </c>
      <c r="AA192" s="6">
        <f>Cleaned_MLB_Stats_Dataset__1[[#This Row],[Slugging %]]-Cleaned_MLB_Stats_Dataset__1[[#This Row],[Batting Average]]</f>
        <v>0.10158730158730156</v>
      </c>
      <c r="AB192" s="6">
        <f>Cleaned_MLB_Stats_Dataset__1[[#This Row],[Batting Average]]-_xlfn.XLOOKUP(Cleaned_MLB_Stats_Dataset__1[[#This Row],[Year]],'League Averages'!$A$3:$A$23,'League Averages'!$B$3:$B$23)</f>
        <v>2.965079365079365E-2</v>
      </c>
      <c r="AC192" s="6">
        <f>Cleaned_MLB_Stats_Dataset__1[[#This Row],[On Base Percentage]]-_xlfn.XLOOKUP(Cleaned_MLB_Stats_Dataset__1[[#This Row],[Year]],'League Averages'!$A$3:$A$23,'League Averages'!$C$3:$C$23)</f>
        <v>3.3120567375886534E-2</v>
      </c>
      <c r="AD192" s="6">
        <f>Cleaned_MLB_Stats_Dataset__1[[#This Row],[Slugging %]]-_xlfn.XLOOKUP(Cleaned_MLB_Stats_Dataset__1[[#This Row],[Year]],'League Averages'!$A$3:$A$23,'League Averages'!$D$3:$D$23)</f>
        <v>-2.3761904761904762E-2</v>
      </c>
      <c r="AE192" s="6">
        <f>Cleaned_MLB_Stats_Dataset__1[[#This Row],[OPS (On Base + Slugging)]]-_xlfn.XLOOKUP(Cleaned_MLB_Stats_Dataset__1[[#This Row],[Year]],'League Averages'!$A$3:$A$23,'League Averages'!$E$3:$E$23)</f>
        <v>9.3586626139817719E-3</v>
      </c>
      <c r="AF192" s="6">
        <f>Cleaned_MLB_Stats_Dataset__1[[#This Row],[ISO (Isolated Power]]-_xlfn.XLOOKUP(Cleaned_MLB_Stats_Dataset__1[[#This Row],[Year]],'League Averages'!$A$3:$A$23,'League Averages'!$F$3:$F$23)</f>
        <v>-5.3412698412698439E-2</v>
      </c>
    </row>
    <row r="193" spans="1:32" x14ac:dyDescent="0.2">
      <c r="A193" t="s">
        <v>310</v>
      </c>
      <c r="B193">
        <v>2007</v>
      </c>
      <c r="C193" t="s">
        <v>210</v>
      </c>
      <c r="D193" t="s">
        <v>6</v>
      </c>
      <c r="E193" t="s">
        <v>67</v>
      </c>
      <c r="F193" t="str">
        <f>_xlfn.XLOOKUP(Cleaned_MLB_Stats_Dataset__1[[#This Row],[Position'#]],$B$373:$B$382,$A$373:$A$382)</f>
        <v>2B</v>
      </c>
      <c r="G193">
        <v>4</v>
      </c>
      <c r="H193">
        <v>587</v>
      </c>
      <c r="I193">
        <v>200</v>
      </c>
      <c r="J193">
        <v>36</v>
      </c>
      <c r="K193">
        <v>3</v>
      </c>
      <c r="L193">
        <v>9</v>
      </c>
      <c r="M193">
        <v>105</v>
      </c>
      <c r="N193">
        <v>67</v>
      </c>
      <c r="O193">
        <v>30</v>
      </c>
      <c r="P193">
        <v>37</v>
      </c>
      <c r="Q193">
        <v>3</v>
      </c>
      <c r="R193">
        <v>11</v>
      </c>
      <c r="S193">
        <v>4</v>
      </c>
      <c r="T193">
        <v>2</v>
      </c>
      <c r="U193" s="6">
        <f>Cleaned_MLB_Stats_Dataset__1[[#This Row],[Hits]]/Cleaned_MLB_Stats_Dataset__1[[#This Row],[At Bats]]</f>
        <v>0.34071550255536626</v>
      </c>
      <c r="V193" s="6">
        <f>Cleaned_MLB_Stats_Dataset__1[[#This Row],[Strikeouts]]/(Cleaned_MLB_Stats_Dataset__1[[#This Row],[At Bats]]+Cleaned_MLB_Stats_Dataset__1[[#This Row],[Walks]])</f>
        <v>4.807692307692308E-2</v>
      </c>
      <c r="W19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7.5590551181102361E-2</v>
      </c>
      <c r="X19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0.38810641627543035</v>
      </c>
      <c r="Y19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0.45826235093696766</v>
      </c>
      <c r="Z193" s="6">
        <f>Cleaned_MLB_Stats_Dataset__1[[#This Row],[On Base Percentage]]+Cleaned_MLB_Stats_Dataset__1[[#This Row],[Slugging %]]</f>
        <v>0.84636876721239807</v>
      </c>
      <c r="AA193" s="6">
        <f>Cleaned_MLB_Stats_Dataset__1[[#This Row],[Slugging %]]-Cleaned_MLB_Stats_Dataset__1[[#This Row],[Batting Average]]</f>
        <v>0.1175468483816014</v>
      </c>
      <c r="AB193" s="6">
        <f>Cleaned_MLB_Stats_Dataset__1[[#This Row],[Batting Average]]-_xlfn.XLOOKUP(Cleaned_MLB_Stats_Dataset__1[[#This Row],[Year]],'League Averages'!$A$3:$A$23,'League Averages'!$B$3:$B$23)</f>
        <v>7.271550255536624E-2</v>
      </c>
      <c r="AC193" s="6">
        <f>Cleaned_MLB_Stats_Dataset__1[[#This Row],[On Base Percentage]]-_xlfn.XLOOKUP(Cleaned_MLB_Stats_Dataset__1[[#This Row],[Year]],'League Averages'!$A$3:$A$23,'League Averages'!$C$3:$C$23)</f>
        <v>5.2106416275430334E-2</v>
      </c>
      <c r="AD193" s="6">
        <f>Cleaned_MLB_Stats_Dataset__1[[#This Row],[Slugging %]]-_xlfn.XLOOKUP(Cleaned_MLB_Stats_Dataset__1[[#This Row],[Year]],'League Averages'!$A$3:$A$23,'League Averages'!$D$3:$D$23)</f>
        <v>3.5262350936967668E-2</v>
      </c>
      <c r="AE193" s="6">
        <f>Cleaned_MLB_Stats_Dataset__1[[#This Row],[OPS (On Base + Slugging)]]-_xlfn.XLOOKUP(Cleaned_MLB_Stats_Dataset__1[[#This Row],[Year]],'League Averages'!$A$3:$A$23,'League Averages'!$E$3:$E$23)</f>
        <v>8.8368767212398058E-2</v>
      </c>
      <c r="AF193" s="6">
        <f>Cleaned_MLB_Stats_Dataset__1[[#This Row],[ISO (Isolated Power]]-_xlfn.XLOOKUP(Cleaned_MLB_Stats_Dataset__1[[#This Row],[Year]],'League Averages'!$A$3:$A$23,'League Averages'!$F$3:$F$23)</f>
        <v>-3.74531516183986E-2</v>
      </c>
    </row>
    <row r="194" spans="1:32" x14ac:dyDescent="0.2">
      <c r="A194" t="s">
        <v>309</v>
      </c>
      <c r="B194">
        <v>1999</v>
      </c>
      <c r="C194" t="s">
        <v>156</v>
      </c>
      <c r="D194" t="s">
        <v>6</v>
      </c>
      <c r="E194" t="s">
        <v>66</v>
      </c>
      <c r="F194" t="str">
        <f>_xlfn.XLOOKUP(Cleaned_MLB_Stats_Dataset__1[[#This Row],[Position'#]],$B$373:$B$382,$A$373:$A$382)</f>
        <v>1B</v>
      </c>
      <c r="G194">
        <v>3</v>
      </c>
      <c r="H194">
        <v>494</v>
      </c>
      <c r="I194">
        <v>137</v>
      </c>
      <c r="J194">
        <v>27</v>
      </c>
      <c r="K194">
        <v>2</v>
      </c>
      <c r="L194">
        <v>33</v>
      </c>
      <c r="M194">
        <v>101</v>
      </c>
      <c r="N194">
        <v>108</v>
      </c>
      <c r="O194">
        <v>171</v>
      </c>
      <c r="P194">
        <v>127</v>
      </c>
      <c r="Q194">
        <v>13</v>
      </c>
      <c r="R194">
        <v>4</v>
      </c>
      <c r="S194">
        <v>4</v>
      </c>
      <c r="T194">
        <v>0</v>
      </c>
      <c r="U194" s="6">
        <f>Cleaned_MLB_Stats_Dataset__1[[#This Row],[Hits]]/Cleaned_MLB_Stats_Dataset__1[[#This Row],[At Bats]]</f>
        <v>0.27732793522267207</v>
      </c>
      <c r="V194" s="6">
        <f>Cleaned_MLB_Stats_Dataset__1[[#This Row],[Strikeouts]]/(Cleaned_MLB_Stats_Dataset__1[[#This Row],[At Bats]]+Cleaned_MLB_Stats_Dataset__1[[#This Row],[Walks]])</f>
        <v>0.27536231884057971</v>
      </c>
      <c r="W19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0.20960000000000001</v>
      </c>
      <c r="X19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0.42607313195548491</v>
      </c>
      <c r="Y19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0.54048582995951422</v>
      </c>
      <c r="Z194" s="6">
        <f>Cleaned_MLB_Stats_Dataset__1[[#This Row],[On Base Percentage]]+Cleaned_MLB_Stats_Dataset__1[[#This Row],[Slugging %]]</f>
        <v>0.96655896191499913</v>
      </c>
      <c r="AA194" s="6">
        <f>Cleaned_MLB_Stats_Dataset__1[[#This Row],[Slugging %]]-Cleaned_MLB_Stats_Dataset__1[[#This Row],[Batting Average]]</f>
        <v>0.26315789473684215</v>
      </c>
      <c r="AB194" s="6">
        <f>Cleaned_MLB_Stats_Dataset__1[[#This Row],[Batting Average]]-_xlfn.XLOOKUP(Cleaned_MLB_Stats_Dataset__1[[#This Row],[Year]],'League Averages'!$A$3:$A$23,'League Averages'!$B$3:$B$23)</f>
        <v>6.3279352226720542E-3</v>
      </c>
      <c r="AC194" s="6">
        <f>Cleaned_MLB_Stats_Dataset__1[[#This Row],[On Base Percentage]]-_xlfn.XLOOKUP(Cleaned_MLB_Stats_Dataset__1[[#This Row],[Year]],'League Averages'!$A$3:$A$23,'League Averages'!$C$3:$C$23)</f>
        <v>8.1073131955484934E-2</v>
      </c>
      <c r="AD194" s="6">
        <f>Cleaned_MLB_Stats_Dataset__1[[#This Row],[Slugging %]]-_xlfn.XLOOKUP(Cleaned_MLB_Stats_Dataset__1[[#This Row],[Year]],'League Averages'!$A$3:$A$23,'League Averages'!$D$3:$D$23)</f>
        <v>0.10648582995951422</v>
      </c>
      <c r="AE194" s="6">
        <f>Cleaned_MLB_Stats_Dataset__1[[#This Row],[OPS (On Base + Slugging)]]-_xlfn.XLOOKUP(Cleaned_MLB_Stats_Dataset__1[[#This Row],[Year]],'League Averages'!$A$3:$A$23,'League Averages'!$E$3:$E$23)</f>
        <v>0.1885589619149991</v>
      </c>
      <c r="AF194" s="6">
        <f>Cleaned_MLB_Stats_Dataset__1[[#This Row],[ISO (Isolated Power]]-_xlfn.XLOOKUP(Cleaned_MLB_Stats_Dataset__1[[#This Row],[Year]],'League Averages'!$A$3:$A$23,'League Averages'!$F$3:$F$23)</f>
        <v>0.10015789473684214</v>
      </c>
    </row>
    <row r="195" spans="1:32" x14ac:dyDescent="0.2">
      <c r="A195" t="s">
        <v>309</v>
      </c>
      <c r="B195">
        <v>1998</v>
      </c>
      <c r="C195" t="s">
        <v>156</v>
      </c>
      <c r="D195" t="s">
        <v>6</v>
      </c>
      <c r="E195" t="s">
        <v>66</v>
      </c>
      <c r="F195" t="str">
        <f>_xlfn.XLOOKUP(Cleaned_MLB_Stats_Dataset__1[[#This Row],[Position'#]],$B$373:$B$382,$A$373:$A$382)</f>
        <v>1B</v>
      </c>
      <c r="G195">
        <v>3</v>
      </c>
      <c r="H195">
        <v>440</v>
      </c>
      <c r="I195">
        <v>129</v>
      </c>
      <c r="J195">
        <v>34</v>
      </c>
      <c r="K195">
        <v>2</v>
      </c>
      <c r="L195">
        <v>30</v>
      </c>
      <c r="M195">
        <v>89</v>
      </c>
      <c r="N195">
        <v>85</v>
      </c>
      <c r="O195">
        <v>141</v>
      </c>
      <c r="P195">
        <v>89</v>
      </c>
      <c r="Q195">
        <v>8</v>
      </c>
      <c r="R195">
        <v>4</v>
      </c>
      <c r="S195">
        <v>4</v>
      </c>
      <c r="T195">
        <v>0</v>
      </c>
      <c r="U195" s="6">
        <f>Cleaned_MLB_Stats_Dataset__1[[#This Row],[Hits]]/Cleaned_MLB_Stats_Dataset__1[[#This Row],[At Bats]]</f>
        <v>0.29318181818181815</v>
      </c>
      <c r="V195" s="6">
        <f>Cleaned_MLB_Stats_Dataset__1[[#This Row],[Strikeouts]]/(Cleaned_MLB_Stats_Dataset__1[[#This Row],[At Bats]]+Cleaned_MLB_Stats_Dataset__1[[#This Row],[Walks]])</f>
        <v>0.26654064272211719</v>
      </c>
      <c r="W19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0.17448405253283303</v>
      </c>
      <c r="X19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0.41340782122905029</v>
      </c>
      <c r="Y19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0.58409090909090911</v>
      </c>
      <c r="Z195" s="6">
        <f>Cleaned_MLB_Stats_Dataset__1[[#This Row],[On Base Percentage]]+Cleaned_MLB_Stats_Dataset__1[[#This Row],[Slugging %]]</f>
        <v>0.99749873031995939</v>
      </c>
      <c r="AA195" s="6">
        <f>Cleaned_MLB_Stats_Dataset__1[[#This Row],[Slugging %]]-Cleaned_MLB_Stats_Dataset__1[[#This Row],[Batting Average]]</f>
        <v>0.29090909090909095</v>
      </c>
      <c r="AB195" s="6">
        <f>Cleaned_MLB_Stats_Dataset__1[[#This Row],[Batting Average]]-_xlfn.XLOOKUP(Cleaned_MLB_Stats_Dataset__1[[#This Row],[Year]],'League Averages'!$A$3:$A$23,'League Averages'!$B$3:$B$23)</f>
        <v>2.718181818181814E-2</v>
      </c>
      <c r="AC195" s="6">
        <f>Cleaned_MLB_Stats_Dataset__1[[#This Row],[On Base Percentage]]-_xlfn.XLOOKUP(Cleaned_MLB_Stats_Dataset__1[[#This Row],[Year]],'League Averages'!$A$3:$A$23,'League Averages'!$C$3:$C$23)</f>
        <v>7.8407821229050267E-2</v>
      </c>
      <c r="AD195" s="6">
        <f>Cleaned_MLB_Stats_Dataset__1[[#This Row],[Slugging %]]-_xlfn.XLOOKUP(Cleaned_MLB_Stats_Dataset__1[[#This Row],[Year]],'League Averages'!$A$3:$A$23,'League Averages'!$D$3:$D$23)</f>
        <v>0.16409090909090912</v>
      </c>
      <c r="AE195" s="6">
        <f>Cleaned_MLB_Stats_Dataset__1[[#This Row],[OPS (On Base + Slugging)]]-_xlfn.XLOOKUP(Cleaned_MLB_Stats_Dataset__1[[#This Row],[Year]],'League Averages'!$A$3:$A$23,'League Averages'!$E$3:$E$23)</f>
        <v>0.24249873031995939</v>
      </c>
      <c r="AF195" s="6">
        <f>Cleaned_MLB_Stats_Dataset__1[[#This Row],[ISO (Isolated Power]]-_xlfn.XLOOKUP(Cleaned_MLB_Stats_Dataset__1[[#This Row],[Year]],'League Averages'!$A$3:$A$23,'League Averages'!$F$3:$F$23)</f>
        <v>0.13690909090909095</v>
      </c>
    </row>
    <row r="196" spans="1:32" x14ac:dyDescent="0.2">
      <c r="A196" t="s">
        <v>309</v>
      </c>
      <c r="B196">
        <v>2000</v>
      </c>
      <c r="C196" t="s">
        <v>168</v>
      </c>
      <c r="D196" t="s">
        <v>3</v>
      </c>
      <c r="E196" t="s">
        <v>60</v>
      </c>
      <c r="F196" t="str">
        <f>_xlfn.XLOOKUP(Cleaned_MLB_Stats_Dataset__1[[#This Row],[Position'#]],$B$373:$B$382,$A$373:$A$382)</f>
        <v>CF</v>
      </c>
      <c r="G196">
        <v>8</v>
      </c>
      <c r="H196">
        <v>525</v>
      </c>
      <c r="I196">
        <v>155</v>
      </c>
      <c r="J196">
        <v>25</v>
      </c>
      <c r="K196">
        <v>0</v>
      </c>
      <c r="L196">
        <v>42</v>
      </c>
      <c r="M196">
        <v>129</v>
      </c>
      <c r="N196">
        <v>108</v>
      </c>
      <c r="O196">
        <v>167</v>
      </c>
      <c r="P196">
        <v>103</v>
      </c>
      <c r="Q196">
        <v>3</v>
      </c>
      <c r="R196">
        <v>6</v>
      </c>
      <c r="S196">
        <v>8</v>
      </c>
      <c r="T196">
        <v>1</v>
      </c>
      <c r="U196" s="6">
        <f>Cleaned_MLB_Stats_Dataset__1[[#This Row],[Hits]]/Cleaned_MLB_Stats_Dataset__1[[#This Row],[At Bats]]</f>
        <v>0.29523809523809524</v>
      </c>
      <c r="V196" s="6">
        <f>Cleaned_MLB_Stats_Dataset__1[[#This Row],[Strikeouts]]/(Cleaned_MLB_Stats_Dataset__1[[#This Row],[At Bats]]+Cleaned_MLB_Stats_Dataset__1[[#This Row],[Walks]])</f>
        <v>0.26592356687898089</v>
      </c>
      <c r="W19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0.1719242902208202</v>
      </c>
      <c r="X19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0.41121495327102803</v>
      </c>
      <c r="Y19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0.58285714285714285</v>
      </c>
      <c r="Z196" s="6">
        <f>Cleaned_MLB_Stats_Dataset__1[[#This Row],[On Base Percentage]]+Cleaned_MLB_Stats_Dataset__1[[#This Row],[Slugging %]]</f>
        <v>0.99407209612817082</v>
      </c>
      <c r="AA196" s="6">
        <f>Cleaned_MLB_Stats_Dataset__1[[#This Row],[Slugging %]]-Cleaned_MLB_Stats_Dataset__1[[#This Row],[Batting Average]]</f>
        <v>0.28761904761904761</v>
      </c>
      <c r="AB196" s="6">
        <f>Cleaned_MLB_Stats_Dataset__1[[#This Row],[Batting Average]]-_xlfn.XLOOKUP(Cleaned_MLB_Stats_Dataset__1[[#This Row],[Year]],'League Averages'!$A$3:$A$23,'League Averages'!$B$3:$B$23)</f>
        <v>2.5238095238095226E-2</v>
      </c>
      <c r="AC196" s="6">
        <f>Cleaned_MLB_Stats_Dataset__1[[#This Row],[On Base Percentage]]-_xlfn.XLOOKUP(Cleaned_MLB_Stats_Dataset__1[[#This Row],[Year]],'League Averages'!$A$3:$A$23,'League Averages'!$C$3:$C$23)</f>
        <v>6.6214953271028054E-2</v>
      </c>
      <c r="AD196" s="6">
        <f>Cleaned_MLB_Stats_Dataset__1[[#This Row],[Slugging %]]-_xlfn.XLOOKUP(Cleaned_MLB_Stats_Dataset__1[[#This Row],[Year]],'League Averages'!$A$3:$A$23,'League Averages'!$D$3:$D$23)</f>
        <v>0.14585714285714285</v>
      </c>
      <c r="AE196" s="6">
        <f>Cleaned_MLB_Stats_Dataset__1[[#This Row],[OPS (On Base + Slugging)]]-_xlfn.XLOOKUP(Cleaned_MLB_Stats_Dataset__1[[#This Row],[Year]],'League Averages'!$A$3:$A$23,'League Averages'!$E$3:$E$23)</f>
        <v>0.2120720961281708</v>
      </c>
      <c r="AF196" s="6">
        <f>Cleaned_MLB_Stats_Dataset__1[[#This Row],[ISO (Isolated Power]]-_xlfn.XLOOKUP(Cleaned_MLB_Stats_Dataset__1[[#This Row],[Year]],'League Averages'!$A$3:$A$23,'League Averages'!$F$3:$F$23)</f>
        <v>0.1206190476190476</v>
      </c>
    </row>
    <row r="197" spans="1:32" x14ac:dyDescent="0.2">
      <c r="A197" t="s">
        <v>309</v>
      </c>
      <c r="B197">
        <v>1999</v>
      </c>
      <c r="C197" t="s">
        <v>143</v>
      </c>
      <c r="D197" t="s">
        <v>3</v>
      </c>
      <c r="E197" t="s">
        <v>27</v>
      </c>
      <c r="F197" t="str">
        <f>_xlfn.XLOOKUP(Cleaned_MLB_Stats_Dataset__1[[#This Row],[Position'#]],$B$373:$B$382,$A$373:$A$382)</f>
        <v>CF</v>
      </c>
      <c r="G197">
        <v>8</v>
      </c>
      <c r="H197">
        <v>625</v>
      </c>
      <c r="I197">
        <v>180</v>
      </c>
      <c r="J197">
        <v>24</v>
      </c>
      <c r="K197">
        <v>2</v>
      </c>
      <c r="L197">
        <v>63</v>
      </c>
      <c r="M197">
        <v>114</v>
      </c>
      <c r="N197">
        <v>141</v>
      </c>
      <c r="O197">
        <v>171</v>
      </c>
      <c r="P197">
        <v>78</v>
      </c>
      <c r="Q197">
        <v>8</v>
      </c>
      <c r="R197">
        <v>3</v>
      </c>
      <c r="S197">
        <v>6</v>
      </c>
      <c r="T197">
        <v>0</v>
      </c>
      <c r="U197" s="6">
        <f>Cleaned_MLB_Stats_Dataset__1[[#This Row],[Hits]]/Cleaned_MLB_Stats_Dataset__1[[#This Row],[At Bats]]</f>
        <v>0.28799999999999998</v>
      </c>
      <c r="V197" s="6">
        <f>Cleaned_MLB_Stats_Dataset__1[[#This Row],[Strikeouts]]/(Cleaned_MLB_Stats_Dataset__1[[#This Row],[At Bats]]+Cleaned_MLB_Stats_Dataset__1[[#This Row],[Walks]])</f>
        <v>0.24324324324324326</v>
      </c>
      <c r="W19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0.11473087818696884</v>
      </c>
      <c r="X19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0.36657303370786515</v>
      </c>
      <c r="Y19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0.63519999999999999</v>
      </c>
      <c r="Z197" s="6">
        <f>Cleaned_MLB_Stats_Dataset__1[[#This Row],[On Base Percentage]]+Cleaned_MLB_Stats_Dataset__1[[#This Row],[Slugging %]]</f>
        <v>1.0017730337078652</v>
      </c>
      <c r="AA197" s="6">
        <f>Cleaned_MLB_Stats_Dataset__1[[#This Row],[Slugging %]]-Cleaned_MLB_Stats_Dataset__1[[#This Row],[Batting Average]]</f>
        <v>0.34720000000000001</v>
      </c>
      <c r="AB197" s="6">
        <f>Cleaned_MLB_Stats_Dataset__1[[#This Row],[Batting Average]]-_xlfn.XLOOKUP(Cleaned_MLB_Stats_Dataset__1[[#This Row],[Year]],'League Averages'!$A$3:$A$23,'League Averages'!$B$3:$B$23)</f>
        <v>1.699999999999996E-2</v>
      </c>
      <c r="AC197" s="6">
        <f>Cleaned_MLB_Stats_Dataset__1[[#This Row],[On Base Percentage]]-_xlfn.XLOOKUP(Cleaned_MLB_Stats_Dataset__1[[#This Row],[Year]],'League Averages'!$A$3:$A$23,'League Averages'!$C$3:$C$23)</f>
        <v>2.1573033707865175E-2</v>
      </c>
      <c r="AD197" s="6">
        <f>Cleaned_MLB_Stats_Dataset__1[[#This Row],[Slugging %]]-_xlfn.XLOOKUP(Cleaned_MLB_Stats_Dataset__1[[#This Row],[Year]],'League Averages'!$A$3:$A$23,'League Averages'!$D$3:$D$23)</f>
        <v>0.20119999999999999</v>
      </c>
      <c r="AE197" s="6">
        <f>Cleaned_MLB_Stats_Dataset__1[[#This Row],[OPS (On Base + Slugging)]]-_xlfn.XLOOKUP(Cleaned_MLB_Stats_Dataset__1[[#This Row],[Year]],'League Averages'!$A$3:$A$23,'League Averages'!$E$3:$E$23)</f>
        <v>0.22377303370786517</v>
      </c>
      <c r="AF197" s="6">
        <f>Cleaned_MLB_Stats_Dataset__1[[#This Row],[ISO (Isolated Power]]-_xlfn.XLOOKUP(Cleaned_MLB_Stats_Dataset__1[[#This Row],[Year]],'League Averages'!$A$3:$A$23,'League Averages'!$F$3:$F$23)</f>
        <v>0.1842</v>
      </c>
    </row>
    <row r="198" spans="1:32" x14ac:dyDescent="0.2">
      <c r="A198" t="s">
        <v>309</v>
      </c>
      <c r="B198">
        <v>2000</v>
      </c>
      <c r="C198" t="s">
        <v>143</v>
      </c>
      <c r="D198" t="s">
        <v>3</v>
      </c>
      <c r="E198" t="s">
        <v>27</v>
      </c>
      <c r="F198" t="str">
        <f>_xlfn.XLOOKUP(Cleaned_MLB_Stats_Dataset__1[[#This Row],[Position'#]],$B$373:$B$382,$A$373:$A$382)</f>
        <v>RF</v>
      </c>
      <c r="G198">
        <v>9</v>
      </c>
      <c r="H198">
        <v>604</v>
      </c>
      <c r="I198">
        <v>193</v>
      </c>
      <c r="J198">
        <v>38</v>
      </c>
      <c r="K198">
        <v>1</v>
      </c>
      <c r="L198">
        <v>50</v>
      </c>
      <c r="M198">
        <v>106</v>
      </c>
      <c r="N198">
        <v>138</v>
      </c>
      <c r="O198">
        <v>168</v>
      </c>
      <c r="P198">
        <v>91</v>
      </c>
      <c r="Q198">
        <v>19</v>
      </c>
      <c r="R198">
        <v>2</v>
      </c>
      <c r="S198">
        <v>8</v>
      </c>
      <c r="T198">
        <v>0</v>
      </c>
      <c r="U198" s="6">
        <f>Cleaned_MLB_Stats_Dataset__1[[#This Row],[Hits]]/Cleaned_MLB_Stats_Dataset__1[[#This Row],[At Bats]]</f>
        <v>0.31953642384105962</v>
      </c>
      <c r="V198" s="6">
        <f>Cleaned_MLB_Stats_Dataset__1[[#This Row],[Strikeouts]]/(Cleaned_MLB_Stats_Dataset__1[[#This Row],[At Bats]]+Cleaned_MLB_Stats_Dataset__1[[#This Row],[Walks]])</f>
        <v>0.24172661870503598</v>
      </c>
      <c r="W19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0.13342898134863701</v>
      </c>
      <c r="X19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0.4056737588652482</v>
      </c>
      <c r="Y19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0.63410596026490063</v>
      </c>
      <c r="Z198" s="6">
        <f>Cleaned_MLB_Stats_Dataset__1[[#This Row],[On Base Percentage]]+Cleaned_MLB_Stats_Dataset__1[[#This Row],[Slugging %]]</f>
        <v>1.0397797191301488</v>
      </c>
      <c r="AA198" s="6">
        <f>Cleaned_MLB_Stats_Dataset__1[[#This Row],[Slugging %]]-Cleaned_MLB_Stats_Dataset__1[[#This Row],[Batting Average]]</f>
        <v>0.314569536423841</v>
      </c>
      <c r="AB198" s="6">
        <f>Cleaned_MLB_Stats_Dataset__1[[#This Row],[Batting Average]]-_xlfn.XLOOKUP(Cleaned_MLB_Stats_Dataset__1[[#This Row],[Year]],'League Averages'!$A$3:$A$23,'League Averages'!$B$3:$B$23)</f>
        <v>4.9536423841059607E-2</v>
      </c>
      <c r="AC198" s="6">
        <f>Cleaned_MLB_Stats_Dataset__1[[#This Row],[On Base Percentage]]-_xlfn.XLOOKUP(Cleaned_MLB_Stats_Dataset__1[[#This Row],[Year]],'League Averages'!$A$3:$A$23,'League Averages'!$C$3:$C$23)</f>
        <v>6.0673758865248228E-2</v>
      </c>
      <c r="AD198" s="6">
        <f>Cleaned_MLB_Stats_Dataset__1[[#This Row],[Slugging %]]-_xlfn.XLOOKUP(Cleaned_MLB_Stats_Dataset__1[[#This Row],[Year]],'League Averages'!$A$3:$A$23,'League Averages'!$D$3:$D$23)</f>
        <v>0.19710596026490063</v>
      </c>
      <c r="AE198" s="6">
        <f>Cleaned_MLB_Stats_Dataset__1[[#This Row],[OPS (On Base + Slugging)]]-_xlfn.XLOOKUP(Cleaned_MLB_Stats_Dataset__1[[#This Row],[Year]],'League Averages'!$A$3:$A$23,'League Averages'!$E$3:$E$23)</f>
        <v>0.25777971913014874</v>
      </c>
      <c r="AF198" s="6">
        <f>Cleaned_MLB_Stats_Dataset__1[[#This Row],[ISO (Isolated Power]]-_xlfn.XLOOKUP(Cleaned_MLB_Stats_Dataset__1[[#This Row],[Year]],'League Averages'!$A$3:$A$23,'League Averages'!$F$3:$F$23)</f>
        <v>0.14756953642384099</v>
      </c>
    </row>
    <row r="199" spans="1:32" x14ac:dyDescent="0.2">
      <c r="A199" t="s">
        <v>309</v>
      </c>
      <c r="B199">
        <v>2002</v>
      </c>
      <c r="C199" t="s">
        <v>181</v>
      </c>
      <c r="D199" t="s">
        <v>6</v>
      </c>
      <c r="E199" t="s">
        <v>71</v>
      </c>
      <c r="F199" t="str">
        <f>_xlfn.XLOOKUP(Cleaned_MLB_Stats_Dataset__1[[#This Row],[Position'#]],$B$373:$B$382,$A$373:$A$382)</f>
        <v>C</v>
      </c>
      <c r="G199">
        <v>2</v>
      </c>
      <c r="H199">
        <v>511</v>
      </c>
      <c r="I199">
        <v>137</v>
      </c>
      <c r="J199">
        <v>40</v>
      </c>
      <c r="K199">
        <v>1</v>
      </c>
      <c r="L199">
        <v>20</v>
      </c>
      <c r="M199">
        <v>79</v>
      </c>
      <c r="N199">
        <v>99</v>
      </c>
      <c r="O199">
        <v>143</v>
      </c>
      <c r="P199">
        <v>81</v>
      </c>
      <c r="Q199">
        <v>9</v>
      </c>
      <c r="R199">
        <v>3</v>
      </c>
      <c r="S199">
        <v>3</v>
      </c>
      <c r="T199">
        <v>0</v>
      </c>
      <c r="U199" s="6">
        <f>Cleaned_MLB_Stats_Dataset__1[[#This Row],[Hits]]/Cleaned_MLB_Stats_Dataset__1[[#This Row],[At Bats]]</f>
        <v>0.26810176125244617</v>
      </c>
      <c r="V199" s="6">
        <f>Cleaned_MLB_Stats_Dataset__1[[#This Row],[Strikeouts]]/(Cleaned_MLB_Stats_Dataset__1[[#This Row],[At Bats]]+Cleaned_MLB_Stats_Dataset__1[[#This Row],[Walks]])</f>
        <v>0.24155405405405406</v>
      </c>
      <c r="W19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0.14117647058823529</v>
      </c>
      <c r="X19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0.36956521739130432</v>
      </c>
      <c r="Y19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0.46771037181996084</v>
      </c>
      <c r="Z199" s="6">
        <f>Cleaned_MLB_Stats_Dataset__1[[#This Row],[On Base Percentage]]+Cleaned_MLB_Stats_Dataset__1[[#This Row],[Slugging %]]</f>
        <v>0.8372755892112651</v>
      </c>
      <c r="AA199" s="6">
        <f>Cleaned_MLB_Stats_Dataset__1[[#This Row],[Slugging %]]-Cleaned_MLB_Stats_Dataset__1[[#This Row],[Batting Average]]</f>
        <v>0.19960861056751467</v>
      </c>
      <c r="AB199" s="6">
        <f>Cleaned_MLB_Stats_Dataset__1[[#This Row],[Batting Average]]-_xlfn.XLOOKUP(Cleaned_MLB_Stats_Dataset__1[[#This Row],[Year]],'League Averages'!$A$3:$A$23,'League Averages'!$B$3:$B$23)</f>
        <v>7.1017612524461593E-3</v>
      </c>
      <c r="AC199" s="6">
        <f>Cleaned_MLB_Stats_Dataset__1[[#This Row],[On Base Percentage]]-_xlfn.XLOOKUP(Cleaned_MLB_Stats_Dataset__1[[#This Row],[Year]],'League Averages'!$A$3:$A$23,'League Averages'!$C$3:$C$23)</f>
        <v>3.8565217391304307E-2</v>
      </c>
      <c r="AD199" s="6">
        <f>Cleaned_MLB_Stats_Dataset__1[[#This Row],[Slugging %]]-_xlfn.XLOOKUP(Cleaned_MLB_Stats_Dataset__1[[#This Row],[Year]],'League Averages'!$A$3:$A$23,'League Averages'!$D$3:$D$23)</f>
        <v>5.0710371819960853E-2</v>
      </c>
      <c r="AE199" s="6">
        <f>Cleaned_MLB_Stats_Dataset__1[[#This Row],[OPS (On Base + Slugging)]]-_xlfn.XLOOKUP(Cleaned_MLB_Stats_Dataset__1[[#This Row],[Year]],'League Averages'!$A$3:$A$23,'League Averages'!$E$3:$E$23)</f>
        <v>8.9275589211265105E-2</v>
      </c>
      <c r="AF199" s="6">
        <f>Cleaned_MLB_Stats_Dataset__1[[#This Row],[ISO (Isolated Power]]-_xlfn.XLOOKUP(Cleaned_MLB_Stats_Dataset__1[[#This Row],[Year]],'League Averages'!$A$3:$A$23,'League Averages'!$F$3:$F$23)</f>
        <v>4.3608610567514666E-2</v>
      </c>
    </row>
    <row r="200" spans="1:32" x14ac:dyDescent="0.2">
      <c r="A200" t="s">
        <v>309</v>
      </c>
      <c r="B200">
        <v>2001</v>
      </c>
      <c r="C200" t="s">
        <v>171</v>
      </c>
      <c r="D200" t="s">
        <v>6</v>
      </c>
      <c r="E200" t="s">
        <v>68</v>
      </c>
      <c r="F200" t="str">
        <f>_xlfn.XLOOKUP(Cleaned_MLB_Stats_Dataset__1[[#This Row],[Position'#]],$B$373:$B$382,$A$373:$A$382)</f>
        <v>LF</v>
      </c>
      <c r="G200">
        <v>7</v>
      </c>
      <c r="H200">
        <v>529</v>
      </c>
      <c r="I200">
        <v>162</v>
      </c>
      <c r="J200">
        <v>33</v>
      </c>
      <c r="K200">
        <v>2</v>
      </c>
      <c r="L200">
        <v>41</v>
      </c>
      <c r="M200">
        <v>93</v>
      </c>
      <c r="N200">
        <v>125</v>
      </c>
      <c r="O200">
        <v>147</v>
      </c>
      <c r="P200">
        <v>81</v>
      </c>
      <c r="Q200">
        <v>25</v>
      </c>
      <c r="R200">
        <v>8</v>
      </c>
      <c r="S200">
        <v>2</v>
      </c>
      <c r="T200">
        <v>0</v>
      </c>
      <c r="U200" s="6">
        <f>Cleaned_MLB_Stats_Dataset__1[[#This Row],[Hits]]/Cleaned_MLB_Stats_Dataset__1[[#This Row],[At Bats]]</f>
        <v>0.30623818525519847</v>
      </c>
      <c r="V200" s="6">
        <f>Cleaned_MLB_Stats_Dataset__1[[#This Row],[Strikeouts]]/(Cleaned_MLB_Stats_Dataset__1[[#This Row],[At Bats]]+Cleaned_MLB_Stats_Dataset__1[[#This Row],[Walks]])</f>
        <v>0.24098360655737705</v>
      </c>
      <c r="W20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0.14401294498381878</v>
      </c>
      <c r="X20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0.40483870967741936</v>
      </c>
      <c r="Y20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0.60869565217391308</v>
      </c>
      <c r="Z200" s="6">
        <f>Cleaned_MLB_Stats_Dataset__1[[#This Row],[On Base Percentage]]+Cleaned_MLB_Stats_Dataset__1[[#This Row],[Slugging %]]</f>
        <v>1.0135343618513324</v>
      </c>
      <c r="AA200" s="6">
        <f>Cleaned_MLB_Stats_Dataset__1[[#This Row],[Slugging %]]-Cleaned_MLB_Stats_Dataset__1[[#This Row],[Batting Average]]</f>
        <v>0.30245746691871461</v>
      </c>
      <c r="AB200" s="6">
        <f>Cleaned_MLB_Stats_Dataset__1[[#This Row],[Batting Average]]-_xlfn.XLOOKUP(Cleaned_MLB_Stats_Dataset__1[[#This Row],[Year]],'League Averages'!$A$3:$A$23,'League Averages'!$B$3:$B$23)</f>
        <v>4.2238185255198457E-2</v>
      </c>
      <c r="AC200" s="6">
        <f>Cleaned_MLB_Stats_Dataset__1[[#This Row],[On Base Percentage]]-_xlfn.XLOOKUP(Cleaned_MLB_Stats_Dataset__1[[#This Row],[Year]],'League Averages'!$A$3:$A$23,'League Averages'!$C$3:$C$23)</f>
        <v>7.2838709677419344E-2</v>
      </c>
      <c r="AD200" s="6">
        <f>Cleaned_MLB_Stats_Dataset__1[[#This Row],[Slugging %]]-_xlfn.XLOOKUP(Cleaned_MLB_Stats_Dataset__1[[#This Row],[Year]],'League Averages'!$A$3:$A$23,'League Averages'!$D$3:$D$23)</f>
        <v>0.18169565217391309</v>
      </c>
      <c r="AE200" s="6">
        <f>Cleaned_MLB_Stats_Dataset__1[[#This Row],[OPS (On Base + Slugging)]]-_xlfn.XLOOKUP(Cleaned_MLB_Stats_Dataset__1[[#This Row],[Year]],'League Averages'!$A$3:$A$23,'League Averages'!$E$3:$E$23)</f>
        <v>0.25453436185133238</v>
      </c>
      <c r="AF200" s="6">
        <f>Cleaned_MLB_Stats_Dataset__1[[#This Row],[ISO (Isolated Power]]-_xlfn.XLOOKUP(Cleaned_MLB_Stats_Dataset__1[[#This Row],[Year]],'League Averages'!$A$3:$A$23,'League Averages'!$F$3:$F$23)</f>
        <v>0.13945746691871461</v>
      </c>
    </row>
    <row r="201" spans="1:32" x14ac:dyDescent="0.2">
      <c r="A201" t="s">
        <v>309</v>
      </c>
      <c r="B201">
        <v>2000</v>
      </c>
      <c r="C201" t="s">
        <v>107</v>
      </c>
      <c r="D201" t="s">
        <v>3</v>
      </c>
      <c r="E201" t="s">
        <v>85</v>
      </c>
      <c r="F201" t="str">
        <f>_xlfn.XLOOKUP(Cleaned_MLB_Stats_Dataset__1[[#This Row],[Position'#]],$B$373:$B$382,$A$373:$A$382)</f>
        <v>1B</v>
      </c>
      <c r="G201">
        <v>3</v>
      </c>
      <c r="H201">
        <v>494</v>
      </c>
      <c r="I201">
        <v>149</v>
      </c>
      <c r="J201">
        <v>25</v>
      </c>
      <c r="K201">
        <v>1</v>
      </c>
      <c r="L201">
        <v>28</v>
      </c>
      <c r="M201">
        <v>67</v>
      </c>
      <c r="N201">
        <v>100</v>
      </c>
      <c r="O201">
        <v>126</v>
      </c>
      <c r="P201">
        <v>36</v>
      </c>
      <c r="Q201">
        <v>5</v>
      </c>
      <c r="R201">
        <v>17</v>
      </c>
      <c r="S201">
        <v>1</v>
      </c>
      <c r="T201">
        <v>0</v>
      </c>
      <c r="U201" s="6">
        <f>Cleaned_MLB_Stats_Dataset__1[[#This Row],[Hits]]/Cleaned_MLB_Stats_Dataset__1[[#This Row],[At Bats]]</f>
        <v>0.30161943319838058</v>
      </c>
      <c r="V201" s="6">
        <f>Cleaned_MLB_Stats_Dataset__1[[#This Row],[Strikeouts]]/(Cleaned_MLB_Stats_Dataset__1[[#This Row],[At Bats]]+Cleaned_MLB_Stats_Dataset__1[[#This Row],[Walks]])</f>
        <v>0.23773584905660378</v>
      </c>
      <c r="W20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9.6892138939670927E-2</v>
      </c>
      <c r="X20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0.36861313868613138</v>
      </c>
      <c r="Y20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0.52631578947368418</v>
      </c>
      <c r="Z201" s="6">
        <f>Cleaned_MLB_Stats_Dataset__1[[#This Row],[On Base Percentage]]+Cleaned_MLB_Stats_Dataset__1[[#This Row],[Slugging %]]</f>
        <v>0.89492892815981562</v>
      </c>
      <c r="AA201" s="6">
        <f>Cleaned_MLB_Stats_Dataset__1[[#This Row],[Slugging %]]-Cleaned_MLB_Stats_Dataset__1[[#This Row],[Batting Average]]</f>
        <v>0.2246963562753036</v>
      </c>
      <c r="AB201" s="6">
        <f>Cleaned_MLB_Stats_Dataset__1[[#This Row],[Batting Average]]-_xlfn.XLOOKUP(Cleaned_MLB_Stats_Dataset__1[[#This Row],[Year]],'League Averages'!$A$3:$A$23,'League Averages'!$B$3:$B$23)</f>
        <v>3.1619433198380564E-2</v>
      </c>
      <c r="AC201" s="6">
        <f>Cleaned_MLB_Stats_Dataset__1[[#This Row],[On Base Percentage]]-_xlfn.XLOOKUP(Cleaned_MLB_Stats_Dataset__1[[#This Row],[Year]],'League Averages'!$A$3:$A$23,'League Averages'!$C$3:$C$23)</f>
        <v>2.3613138686131407E-2</v>
      </c>
      <c r="AD201" s="6">
        <f>Cleaned_MLB_Stats_Dataset__1[[#This Row],[Slugging %]]-_xlfn.XLOOKUP(Cleaned_MLB_Stats_Dataset__1[[#This Row],[Year]],'League Averages'!$A$3:$A$23,'League Averages'!$D$3:$D$23)</f>
        <v>8.9315789473684182E-2</v>
      </c>
      <c r="AE201" s="6">
        <f>Cleaned_MLB_Stats_Dataset__1[[#This Row],[OPS (On Base + Slugging)]]-_xlfn.XLOOKUP(Cleaned_MLB_Stats_Dataset__1[[#This Row],[Year]],'League Averages'!$A$3:$A$23,'League Averages'!$E$3:$E$23)</f>
        <v>0.11292892815981559</v>
      </c>
      <c r="AF201" s="6">
        <f>Cleaned_MLB_Stats_Dataset__1[[#This Row],[ISO (Isolated Power]]-_xlfn.XLOOKUP(Cleaned_MLB_Stats_Dataset__1[[#This Row],[Year]],'League Averages'!$A$3:$A$23,'League Averages'!$F$3:$F$23)</f>
        <v>5.769635627530359E-2</v>
      </c>
    </row>
    <row r="202" spans="1:32" x14ac:dyDescent="0.2">
      <c r="A202" t="s">
        <v>309</v>
      </c>
      <c r="B202">
        <v>1998</v>
      </c>
      <c r="C202" t="s">
        <v>115</v>
      </c>
      <c r="D202" t="s">
        <v>3</v>
      </c>
      <c r="E202" t="s">
        <v>60</v>
      </c>
      <c r="F202" t="str">
        <f>_xlfn.XLOOKUP(Cleaned_MLB_Stats_Dataset__1[[#This Row],[Position'#]],$B$373:$B$382,$A$373:$A$382)</f>
        <v>1B</v>
      </c>
      <c r="G202">
        <v>3</v>
      </c>
      <c r="H202">
        <v>509</v>
      </c>
      <c r="I202">
        <v>152</v>
      </c>
      <c r="J202">
        <v>21</v>
      </c>
      <c r="K202">
        <v>0</v>
      </c>
      <c r="L202">
        <v>70</v>
      </c>
      <c r="M202">
        <v>130</v>
      </c>
      <c r="N202">
        <v>147</v>
      </c>
      <c r="O202">
        <v>155</v>
      </c>
      <c r="P202">
        <v>162</v>
      </c>
      <c r="Q202">
        <v>28</v>
      </c>
      <c r="R202">
        <v>6</v>
      </c>
      <c r="S202">
        <v>4</v>
      </c>
      <c r="T202">
        <v>0</v>
      </c>
      <c r="U202" s="6">
        <f>Cleaned_MLB_Stats_Dataset__1[[#This Row],[Hits]]/Cleaned_MLB_Stats_Dataset__1[[#This Row],[At Bats]]</f>
        <v>0.29862475442043224</v>
      </c>
      <c r="V202" s="6">
        <f>Cleaned_MLB_Stats_Dataset__1[[#This Row],[Strikeouts]]/(Cleaned_MLB_Stats_Dataset__1[[#This Row],[At Bats]]+Cleaned_MLB_Stats_Dataset__1[[#This Row],[Walks]])</f>
        <v>0.23099850968703428</v>
      </c>
      <c r="W20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0.2481536189069424</v>
      </c>
      <c r="X20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0.4698972099853157</v>
      </c>
      <c r="Y20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0.75245579567779963</v>
      </c>
      <c r="Z202" s="6">
        <f>Cleaned_MLB_Stats_Dataset__1[[#This Row],[On Base Percentage]]+Cleaned_MLB_Stats_Dataset__1[[#This Row],[Slugging %]]</f>
        <v>1.2223530056631153</v>
      </c>
      <c r="AA202" s="6">
        <f>Cleaned_MLB_Stats_Dataset__1[[#This Row],[Slugging %]]-Cleaned_MLB_Stats_Dataset__1[[#This Row],[Batting Average]]</f>
        <v>0.4538310412573674</v>
      </c>
      <c r="AB202" s="6">
        <f>Cleaned_MLB_Stats_Dataset__1[[#This Row],[Batting Average]]-_xlfn.XLOOKUP(Cleaned_MLB_Stats_Dataset__1[[#This Row],[Year]],'League Averages'!$A$3:$A$23,'League Averages'!$B$3:$B$23)</f>
        <v>3.2624754420432223E-2</v>
      </c>
      <c r="AC202" s="6">
        <f>Cleaned_MLB_Stats_Dataset__1[[#This Row],[On Base Percentage]]-_xlfn.XLOOKUP(Cleaned_MLB_Stats_Dataset__1[[#This Row],[Year]],'League Averages'!$A$3:$A$23,'League Averages'!$C$3:$C$23)</f>
        <v>0.13489720998531568</v>
      </c>
      <c r="AD202" s="6">
        <f>Cleaned_MLB_Stats_Dataset__1[[#This Row],[Slugging %]]-_xlfn.XLOOKUP(Cleaned_MLB_Stats_Dataset__1[[#This Row],[Year]],'League Averages'!$A$3:$A$23,'League Averages'!$D$3:$D$23)</f>
        <v>0.33245579567779965</v>
      </c>
      <c r="AE202" s="6">
        <f>Cleaned_MLB_Stats_Dataset__1[[#This Row],[OPS (On Base + Slugging)]]-_xlfn.XLOOKUP(Cleaned_MLB_Stats_Dataset__1[[#This Row],[Year]],'League Averages'!$A$3:$A$23,'League Averages'!$E$3:$E$23)</f>
        <v>0.46735300566311533</v>
      </c>
      <c r="AF202" s="6">
        <f>Cleaned_MLB_Stats_Dataset__1[[#This Row],[ISO (Isolated Power]]-_xlfn.XLOOKUP(Cleaned_MLB_Stats_Dataset__1[[#This Row],[Year]],'League Averages'!$A$3:$A$23,'League Averages'!$F$3:$F$23)</f>
        <v>0.29983104125736737</v>
      </c>
    </row>
    <row r="203" spans="1:32" x14ac:dyDescent="0.2">
      <c r="A203" t="s">
        <v>309</v>
      </c>
      <c r="B203">
        <v>1997</v>
      </c>
      <c r="C203" t="s">
        <v>148</v>
      </c>
      <c r="D203" t="s">
        <v>3</v>
      </c>
      <c r="E203" t="s">
        <v>60</v>
      </c>
      <c r="F203" t="str">
        <f>_xlfn.XLOOKUP(Cleaned_MLB_Stats_Dataset__1[[#This Row],[Position'#]],$B$373:$B$382,$A$373:$A$382)</f>
        <v>CF</v>
      </c>
      <c r="G203">
        <v>8</v>
      </c>
      <c r="H203">
        <v>465</v>
      </c>
      <c r="I203">
        <v>137</v>
      </c>
      <c r="J203">
        <v>36</v>
      </c>
      <c r="K203">
        <v>3</v>
      </c>
      <c r="L203">
        <v>31</v>
      </c>
      <c r="M203">
        <v>94</v>
      </c>
      <c r="N203">
        <v>98</v>
      </c>
      <c r="O203">
        <v>125</v>
      </c>
      <c r="P203">
        <v>95</v>
      </c>
      <c r="Q203">
        <v>10</v>
      </c>
      <c r="R203">
        <v>0</v>
      </c>
      <c r="S203">
        <v>5</v>
      </c>
      <c r="T203">
        <v>0</v>
      </c>
      <c r="U203" s="6">
        <f>Cleaned_MLB_Stats_Dataset__1[[#This Row],[Hits]]/Cleaned_MLB_Stats_Dataset__1[[#This Row],[At Bats]]</f>
        <v>0.29462365591397849</v>
      </c>
      <c r="V203" s="6">
        <f>Cleaned_MLB_Stats_Dataset__1[[#This Row],[Strikeouts]]/(Cleaned_MLB_Stats_Dataset__1[[#This Row],[At Bats]]+Cleaned_MLB_Stats_Dataset__1[[#This Row],[Walks]])</f>
        <v>0.22321428571428573</v>
      </c>
      <c r="W20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0.16964285714285715</v>
      </c>
      <c r="X20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0.41061946902654867</v>
      </c>
      <c r="Y20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0.5849462365591398</v>
      </c>
      <c r="Z203" s="6">
        <f>Cleaned_MLB_Stats_Dataset__1[[#This Row],[On Base Percentage]]+Cleaned_MLB_Stats_Dataset__1[[#This Row],[Slugging %]]</f>
        <v>0.99556570558568847</v>
      </c>
      <c r="AA203" s="6">
        <f>Cleaned_MLB_Stats_Dataset__1[[#This Row],[Slugging %]]-Cleaned_MLB_Stats_Dataset__1[[#This Row],[Batting Average]]</f>
        <v>0.29032258064516131</v>
      </c>
      <c r="AB203" s="6">
        <f>Cleaned_MLB_Stats_Dataset__1[[#This Row],[Batting Average]]-_xlfn.XLOOKUP(Cleaned_MLB_Stats_Dataset__1[[#This Row],[Year]],'League Averages'!$A$3:$A$23,'League Averages'!$B$3:$B$23)</f>
        <v>2.7623655913978473E-2</v>
      </c>
      <c r="AC203" s="6">
        <f>Cleaned_MLB_Stats_Dataset__1[[#This Row],[On Base Percentage]]-_xlfn.XLOOKUP(Cleaned_MLB_Stats_Dataset__1[[#This Row],[Year]],'League Averages'!$A$3:$A$23,'League Averages'!$C$3:$C$23)</f>
        <v>7.3619469026548645E-2</v>
      </c>
      <c r="AD203" s="6">
        <f>Cleaned_MLB_Stats_Dataset__1[[#This Row],[Slugging %]]-_xlfn.XLOOKUP(Cleaned_MLB_Stats_Dataset__1[[#This Row],[Year]],'League Averages'!$A$3:$A$23,'League Averages'!$D$3:$D$23)</f>
        <v>0.16594623655913981</v>
      </c>
      <c r="AE203" s="6">
        <f>Cleaned_MLB_Stats_Dataset__1[[#This Row],[OPS (On Base + Slugging)]]-_xlfn.XLOOKUP(Cleaned_MLB_Stats_Dataset__1[[#This Row],[Year]],'League Averages'!$A$3:$A$23,'League Averages'!$E$3:$E$23)</f>
        <v>0.23956570558568846</v>
      </c>
      <c r="AF203" s="6">
        <f>Cleaned_MLB_Stats_Dataset__1[[#This Row],[ISO (Isolated Power]]-_xlfn.XLOOKUP(Cleaned_MLB_Stats_Dataset__1[[#This Row],[Year]],'League Averages'!$A$3:$A$23,'League Averages'!$F$3:$F$23)</f>
        <v>0.13832258064516131</v>
      </c>
    </row>
    <row r="204" spans="1:32" x14ac:dyDescent="0.2">
      <c r="A204" t="s">
        <v>309</v>
      </c>
      <c r="B204">
        <v>1995</v>
      </c>
      <c r="C204" t="s">
        <v>120</v>
      </c>
      <c r="D204" t="s">
        <v>3</v>
      </c>
      <c r="E204" t="s">
        <v>53</v>
      </c>
      <c r="F204" t="str">
        <f>_xlfn.XLOOKUP(Cleaned_MLB_Stats_Dataset__1[[#This Row],[Position'#]],$B$373:$B$382,$A$373:$A$382)</f>
        <v>DH</v>
      </c>
      <c r="G204">
        <v>10</v>
      </c>
      <c r="H204">
        <v>410</v>
      </c>
      <c r="I204">
        <v>113</v>
      </c>
      <c r="J204">
        <v>19</v>
      </c>
      <c r="K204">
        <v>4</v>
      </c>
      <c r="L204">
        <v>29</v>
      </c>
      <c r="M204">
        <v>79</v>
      </c>
      <c r="N204">
        <v>88</v>
      </c>
      <c r="O204">
        <v>108</v>
      </c>
      <c r="P204">
        <v>74</v>
      </c>
      <c r="Q204">
        <v>5</v>
      </c>
      <c r="R204">
        <v>3</v>
      </c>
      <c r="S204">
        <v>5</v>
      </c>
      <c r="T204">
        <v>1</v>
      </c>
      <c r="U204" s="6">
        <f>Cleaned_MLB_Stats_Dataset__1[[#This Row],[Hits]]/Cleaned_MLB_Stats_Dataset__1[[#This Row],[At Bats]]</f>
        <v>0.275609756097561</v>
      </c>
      <c r="V204" s="6">
        <f>Cleaned_MLB_Stats_Dataset__1[[#This Row],[Strikeouts]]/(Cleaned_MLB_Stats_Dataset__1[[#This Row],[At Bats]]+Cleaned_MLB_Stats_Dataset__1[[#This Row],[Walks]])</f>
        <v>0.2231404958677686</v>
      </c>
      <c r="W20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0.15811088295687886</v>
      </c>
      <c r="X20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0.38617886178861788</v>
      </c>
      <c r="Y20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0.5536585365853659</v>
      </c>
      <c r="Z204" s="6">
        <f>Cleaned_MLB_Stats_Dataset__1[[#This Row],[On Base Percentage]]+Cleaned_MLB_Stats_Dataset__1[[#This Row],[Slugging %]]</f>
        <v>0.93983739837398383</v>
      </c>
      <c r="AA204" s="6">
        <f>Cleaned_MLB_Stats_Dataset__1[[#This Row],[Slugging %]]-Cleaned_MLB_Stats_Dataset__1[[#This Row],[Batting Average]]</f>
        <v>0.2780487804878049</v>
      </c>
      <c r="AB204" s="6">
        <f>Cleaned_MLB_Stats_Dataset__1[[#This Row],[Batting Average]]-_xlfn.XLOOKUP(Cleaned_MLB_Stats_Dataset__1[[#This Row],[Year]],'League Averages'!$A$3:$A$23,'League Averages'!$B$3:$B$23)</f>
        <v>8.6097560975609833E-3</v>
      </c>
      <c r="AC204" s="6">
        <f>Cleaned_MLB_Stats_Dataset__1[[#This Row],[On Base Percentage]]-_xlfn.XLOOKUP(Cleaned_MLB_Stats_Dataset__1[[#This Row],[Year]],'League Averages'!$A$3:$A$23,'League Averages'!$C$3:$C$23)</f>
        <v>4.8178861788617855E-2</v>
      </c>
      <c r="AD204" s="6">
        <f>Cleaned_MLB_Stats_Dataset__1[[#This Row],[Slugging %]]-_xlfn.XLOOKUP(Cleaned_MLB_Stats_Dataset__1[[#This Row],[Year]],'League Averages'!$A$3:$A$23,'League Averages'!$D$3:$D$23)</f>
        <v>0.13665853658536592</v>
      </c>
      <c r="AE204" s="6">
        <f>Cleaned_MLB_Stats_Dataset__1[[#This Row],[OPS (On Base + Slugging)]]-_xlfn.XLOOKUP(Cleaned_MLB_Stats_Dataset__1[[#This Row],[Year]],'League Averages'!$A$3:$A$23,'League Averages'!$E$3:$E$23)</f>
        <v>0.18483739837398383</v>
      </c>
      <c r="AF204" s="6">
        <f>Cleaned_MLB_Stats_Dataset__1[[#This Row],[ISO (Isolated Power]]-_xlfn.XLOOKUP(Cleaned_MLB_Stats_Dataset__1[[#This Row],[Year]],'League Averages'!$A$3:$A$23,'League Averages'!$F$3:$F$23)</f>
        <v>0.12804878048780491</v>
      </c>
    </row>
    <row r="205" spans="1:32" x14ac:dyDescent="0.2">
      <c r="A205" t="s">
        <v>309</v>
      </c>
      <c r="B205">
        <v>1999</v>
      </c>
      <c r="C205" t="s">
        <v>166</v>
      </c>
      <c r="D205" t="s">
        <v>3</v>
      </c>
      <c r="E205" t="s">
        <v>204</v>
      </c>
      <c r="F205" t="str">
        <f>_xlfn.XLOOKUP(Cleaned_MLB_Stats_Dataset__1[[#This Row],[Position'#]],$B$373:$B$382,$A$373:$A$382)</f>
        <v>LF</v>
      </c>
      <c r="G205">
        <v>7</v>
      </c>
      <c r="H205">
        <v>467</v>
      </c>
      <c r="I205">
        <v>126</v>
      </c>
      <c r="J205">
        <v>33</v>
      </c>
      <c r="K205">
        <v>2</v>
      </c>
      <c r="L205">
        <v>33</v>
      </c>
      <c r="M205">
        <v>87</v>
      </c>
      <c r="N205">
        <v>103</v>
      </c>
      <c r="O205">
        <v>124</v>
      </c>
      <c r="P205">
        <v>91</v>
      </c>
      <c r="Q205">
        <v>7</v>
      </c>
      <c r="R205">
        <v>16</v>
      </c>
      <c r="S205">
        <v>6</v>
      </c>
      <c r="T205">
        <v>0</v>
      </c>
      <c r="U205" s="6">
        <f>Cleaned_MLB_Stats_Dataset__1[[#This Row],[Hits]]/Cleaned_MLB_Stats_Dataset__1[[#This Row],[At Bats]]</f>
        <v>0.26980728051391861</v>
      </c>
      <c r="V205" s="6">
        <f>Cleaned_MLB_Stats_Dataset__1[[#This Row],[Strikeouts]]/(Cleaned_MLB_Stats_Dataset__1[[#This Row],[At Bats]]+Cleaned_MLB_Stats_Dataset__1[[#This Row],[Walks]])</f>
        <v>0.22222222222222221</v>
      </c>
      <c r="W20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0.18641114982578397</v>
      </c>
      <c r="X20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0.40172413793103451</v>
      </c>
      <c r="Y20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0.56102783725910066</v>
      </c>
      <c r="Z205" s="6">
        <f>Cleaned_MLB_Stats_Dataset__1[[#This Row],[On Base Percentage]]+Cleaned_MLB_Stats_Dataset__1[[#This Row],[Slugging %]]</f>
        <v>0.96275197519013522</v>
      </c>
      <c r="AA205" s="6">
        <f>Cleaned_MLB_Stats_Dataset__1[[#This Row],[Slugging %]]-Cleaned_MLB_Stats_Dataset__1[[#This Row],[Batting Average]]</f>
        <v>0.29122055674518205</v>
      </c>
      <c r="AB205" s="6">
        <f>Cleaned_MLB_Stats_Dataset__1[[#This Row],[Batting Average]]-_xlfn.XLOOKUP(Cleaned_MLB_Stats_Dataset__1[[#This Row],[Year]],'League Averages'!$A$3:$A$23,'League Averages'!$B$3:$B$23)</f>
        <v>-1.1927194860814061E-3</v>
      </c>
      <c r="AC205" s="6">
        <f>Cleaned_MLB_Stats_Dataset__1[[#This Row],[On Base Percentage]]-_xlfn.XLOOKUP(Cleaned_MLB_Stats_Dataset__1[[#This Row],[Year]],'League Averages'!$A$3:$A$23,'League Averages'!$C$3:$C$23)</f>
        <v>5.6724137931034535E-2</v>
      </c>
      <c r="AD205" s="6">
        <f>Cleaned_MLB_Stats_Dataset__1[[#This Row],[Slugging %]]-_xlfn.XLOOKUP(Cleaned_MLB_Stats_Dataset__1[[#This Row],[Year]],'League Averages'!$A$3:$A$23,'League Averages'!$D$3:$D$23)</f>
        <v>0.12702783725910066</v>
      </c>
      <c r="AE205" s="6">
        <f>Cleaned_MLB_Stats_Dataset__1[[#This Row],[OPS (On Base + Slugging)]]-_xlfn.XLOOKUP(Cleaned_MLB_Stats_Dataset__1[[#This Row],[Year]],'League Averages'!$A$3:$A$23,'League Averages'!$E$3:$E$23)</f>
        <v>0.1847519751901352</v>
      </c>
      <c r="AF205" s="6">
        <f>Cleaned_MLB_Stats_Dataset__1[[#This Row],[ISO (Isolated Power]]-_xlfn.XLOOKUP(Cleaned_MLB_Stats_Dataset__1[[#This Row],[Year]],'League Averages'!$A$3:$A$23,'League Averages'!$F$3:$F$23)</f>
        <v>0.12822055674518204</v>
      </c>
    </row>
    <row r="206" spans="1:32" x14ac:dyDescent="0.2">
      <c r="A206" t="s">
        <v>309</v>
      </c>
      <c r="B206">
        <v>2001</v>
      </c>
      <c r="C206" t="s">
        <v>143</v>
      </c>
      <c r="D206" t="s">
        <v>3</v>
      </c>
      <c r="E206" t="s">
        <v>27</v>
      </c>
      <c r="F206" t="str">
        <f>_xlfn.XLOOKUP(Cleaned_MLB_Stats_Dataset__1[[#This Row],[Position'#]],$B$373:$B$382,$A$373:$A$382)</f>
        <v>RF</v>
      </c>
      <c r="G206">
        <v>9</v>
      </c>
      <c r="H206">
        <v>577</v>
      </c>
      <c r="I206">
        <v>189</v>
      </c>
      <c r="J206">
        <v>34</v>
      </c>
      <c r="K206">
        <v>5</v>
      </c>
      <c r="L206">
        <v>64</v>
      </c>
      <c r="M206">
        <v>146</v>
      </c>
      <c r="N206">
        <v>160</v>
      </c>
      <c r="O206">
        <v>153</v>
      </c>
      <c r="P206">
        <v>116</v>
      </c>
      <c r="Q206">
        <v>37</v>
      </c>
      <c r="R206">
        <v>6</v>
      </c>
      <c r="S206">
        <v>12</v>
      </c>
      <c r="T206">
        <v>0</v>
      </c>
      <c r="U206" s="6">
        <f>Cleaned_MLB_Stats_Dataset__1[[#This Row],[Hits]]/Cleaned_MLB_Stats_Dataset__1[[#This Row],[At Bats]]</f>
        <v>0.32755632582322358</v>
      </c>
      <c r="V206" s="6">
        <f>Cleaned_MLB_Stats_Dataset__1[[#This Row],[Strikeouts]]/(Cleaned_MLB_Stats_Dataset__1[[#This Row],[At Bats]]+Cleaned_MLB_Stats_Dataset__1[[#This Row],[Walks]])</f>
        <v>0.22077922077922077</v>
      </c>
      <c r="W20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0.17453505007153075</v>
      </c>
      <c r="X20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0.43741209563994377</v>
      </c>
      <c r="Y20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0.7365684575389948</v>
      </c>
      <c r="Z206" s="6">
        <f>Cleaned_MLB_Stats_Dataset__1[[#This Row],[On Base Percentage]]+Cleaned_MLB_Stats_Dataset__1[[#This Row],[Slugging %]]</f>
        <v>1.1739805531789385</v>
      </c>
      <c r="AA206" s="6">
        <f>Cleaned_MLB_Stats_Dataset__1[[#This Row],[Slugging %]]-Cleaned_MLB_Stats_Dataset__1[[#This Row],[Batting Average]]</f>
        <v>0.40901213171577122</v>
      </c>
      <c r="AB206" s="6">
        <f>Cleaned_MLB_Stats_Dataset__1[[#This Row],[Batting Average]]-_xlfn.XLOOKUP(Cleaned_MLB_Stats_Dataset__1[[#This Row],[Year]],'League Averages'!$A$3:$A$23,'League Averages'!$B$3:$B$23)</f>
        <v>6.3556325823223569E-2</v>
      </c>
      <c r="AC206" s="6">
        <f>Cleaned_MLB_Stats_Dataset__1[[#This Row],[On Base Percentage]]-_xlfn.XLOOKUP(Cleaned_MLB_Stats_Dataset__1[[#This Row],[Year]],'League Averages'!$A$3:$A$23,'League Averages'!$C$3:$C$23)</f>
        <v>0.10541209563994375</v>
      </c>
      <c r="AD206" s="6">
        <f>Cleaned_MLB_Stats_Dataset__1[[#This Row],[Slugging %]]-_xlfn.XLOOKUP(Cleaned_MLB_Stats_Dataset__1[[#This Row],[Year]],'League Averages'!$A$3:$A$23,'League Averages'!$D$3:$D$23)</f>
        <v>0.30956845753899481</v>
      </c>
      <c r="AE206" s="6">
        <f>Cleaned_MLB_Stats_Dataset__1[[#This Row],[OPS (On Base + Slugging)]]-_xlfn.XLOOKUP(Cleaned_MLB_Stats_Dataset__1[[#This Row],[Year]],'League Averages'!$A$3:$A$23,'League Averages'!$E$3:$E$23)</f>
        <v>0.41498055317893845</v>
      </c>
      <c r="AF206" s="6">
        <f>Cleaned_MLB_Stats_Dataset__1[[#This Row],[ISO (Isolated Power]]-_xlfn.XLOOKUP(Cleaned_MLB_Stats_Dataset__1[[#This Row],[Year]],'League Averages'!$A$3:$A$23,'League Averages'!$F$3:$F$23)</f>
        <v>0.24601213171577122</v>
      </c>
    </row>
    <row r="207" spans="1:32" x14ac:dyDescent="0.2">
      <c r="A207" t="s">
        <v>309</v>
      </c>
      <c r="B207">
        <v>2002</v>
      </c>
      <c r="C207" t="s">
        <v>143</v>
      </c>
      <c r="D207" t="s">
        <v>3</v>
      </c>
      <c r="E207" t="s">
        <v>27</v>
      </c>
      <c r="F207" t="str">
        <f>_xlfn.XLOOKUP(Cleaned_MLB_Stats_Dataset__1[[#This Row],[Position'#]],$B$373:$B$382,$A$373:$A$382)</f>
        <v>RF</v>
      </c>
      <c r="G207">
        <v>9</v>
      </c>
      <c r="H207">
        <v>556</v>
      </c>
      <c r="I207">
        <v>160</v>
      </c>
      <c r="J207">
        <v>19</v>
      </c>
      <c r="K207">
        <v>2</v>
      </c>
      <c r="L207">
        <v>49</v>
      </c>
      <c r="M207">
        <v>122</v>
      </c>
      <c r="N207">
        <v>108</v>
      </c>
      <c r="O207">
        <v>144</v>
      </c>
      <c r="P207">
        <v>103</v>
      </c>
      <c r="Q207">
        <v>15</v>
      </c>
      <c r="R207">
        <v>3</v>
      </c>
      <c r="S207">
        <v>4</v>
      </c>
      <c r="T207">
        <v>0</v>
      </c>
      <c r="U207" s="6">
        <f>Cleaned_MLB_Stats_Dataset__1[[#This Row],[Hits]]/Cleaned_MLB_Stats_Dataset__1[[#This Row],[At Bats]]</f>
        <v>0.28776978417266186</v>
      </c>
      <c r="V207" s="6">
        <f>Cleaned_MLB_Stats_Dataset__1[[#This Row],[Strikeouts]]/(Cleaned_MLB_Stats_Dataset__1[[#This Row],[At Bats]]+Cleaned_MLB_Stats_Dataset__1[[#This Row],[Walks]])</f>
        <v>0.21851289833080426</v>
      </c>
      <c r="W20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0.16012084592145015</v>
      </c>
      <c r="X20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0.39939939939939939</v>
      </c>
      <c r="Y20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0.59352517985611508</v>
      </c>
      <c r="Z207" s="6">
        <f>Cleaned_MLB_Stats_Dataset__1[[#This Row],[On Base Percentage]]+Cleaned_MLB_Stats_Dataset__1[[#This Row],[Slugging %]]</f>
        <v>0.99292457925551447</v>
      </c>
      <c r="AA207" s="6">
        <f>Cleaned_MLB_Stats_Dataset__1[[#This Row],[Slugging %]]-Cleaned_MLB_Stats_Dataset__1[[#This Row],[Batting Average]]</f>
        <v>0.30575539568345322</v>
      </c>
      <c r="AB207" s="6">
        <f>Cleaned_MLB_Stats_Dataset__1[[#This Row],[Batting Average]]-_xlfn.XLOOKUP(Cleaned_MLB_Stats_Dataset__1[[#This Row],[Year]],'League Averages'!$A$3:$A$23,'League Averages'!$B$3:$B$23)</f>
        <v>2.6769784172661848E-2</v>
      </c>
      <c r="AC207" s="6">
        <f>Cleaned_MLB_Stats_Dataset__1[[#This Row],[On Base Percentage]]-_xlfn.XLOOKUP(Cleaned_MLB_Stats_Dataset__1[[#This Row],[Year]],'League Averages'!$A$3:$A$23,'League Averages'!$C$3:$C$23)</f>
        <v>6.8399399399399374E-2</v>
      </c>
      <c r="AD207" s="6">
        <f>Cleaned_MLB_Stats_Dataset__1[[#This Row],[Slugging %]]-_xlfn.XLOOKUP(Cleaned_MLB_Stats_Dataset__1[[#This Row],[Year]],'League Averages'!$A$3:$A$23,'League Averages'!$D$3:$D$23)</f>
        <v>0.1765251798561151</v>
      </c>
      <c r="AE207" s="6">
        <f>Cleaned_MLB_Stats_Dataset__1[[#This Row],[OPS (On Base + Slugging)]]-_xlfn.XLOOKUP(Cleaned_MLB_Stats_Dataset__1[[#This Row],[Year]],'League Averages'!$A$3:$A$23,'League Averages'!$E$3:$E$23)</f>
        <v>0.24492457925551447</v>
      </c>
      <c r="AF207" s="6">
        <f>Cleaned_MLB_Stats_Dataset__1[[#This Row],[ISO (Isolated Power]]-_xlfn.XLOOKUP(Cleaned_MLB_Stats_Dataset__1[[#This Row],[Year]],'League Averages'!$A$3:$A$23,'League Averages'!$F$3:$F$23)</f>
        <v>0.14975539568345322</v>
      </c>
    </row>
    <row r="208" spans="1:32" x14ac:dyDescent="0.2">
      <c r="A208" t="s">
        <v>309</v>
      </c>
      <c r="B208">
        <v>2002</v>
      </c>
      <c r="C208" t="s">
        <v>213</v>
      </c>
      <c r="D208" t="s">
        <v>6</v>
      </c>
      <c r="E208" t="s">
        <v>71</v>
      </c>
      <c r="F208" t="str">
        <f>_xlfn.XLOOKUP(Cleaned_MLB_Stats_Dataset__1[[#This Row],[Position'#]],$B$373:$B$382,$A$373:$A$382)</f>
        <v>2B</v>
      </c>
      <c r="G208">
        <v>4</v>
      </c>
      <c r="H208">
        <v>696</v>
      </c>
      <c r="I208">
        <v>209</v>
      </c>
      <c r="J208">
        <v>51</v>
      </c>
      <c r="K208">
        <v>2</v>
      </c>
      <c r="L208">
        <v>39</v>
      </c>
      <c r="M208">
        <v>128</v>
      </c>
      <c r="N208">
        <v>102</v>
      </c>
      <c r="O208">
        <v>157</v>
      </c>
      <c r="P208">
        <v>23</v>
      </c>
      <c r="Q208">
        <v>1</v>
      </c>
      <c r="R208">
        <v>14</v>
      </c>
      <c r="S208">
        <v>7</v>
      </c>
      <c r="T208">
        <v>1</v>
      </c>
      <c r="U208" s="6">
        <f>Cleaned_MLB_Stats_Dataset__1[[#This Row],[Hits]]/Cleaned_MLB_Stats_Dataset__1[[#This Row],[At Bats]]</f>
        <v>0.30028735632183906</v>
      </c>
      <c r="V208" s="6">
        <f>Cleaned_MLB_Stats_Dataset__1[[#This Row],[Strikeouts]]/(Cleaned_MLB_Stats_Dataset__1[[#This Row],[At Bats]]+Cleaned_MLB_Stats_Dataset__1[[#This Row],[Walks]])</f>
        <v>0.21835883171070933</v>
      </c>
      <c r="W20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5.0477489768076401E-2</v>
      </c>
      <c r="X20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0.33243243243243242</v>
      </c>
      <c r="Y20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0.54741379310344829</v>
      </c>
      <c r="Z208" s="6">
        <f>Cleaned_MLB_Stats_Dataset__1[[#This Row],[On Base Percentage]]+Cleaned_MLB_Stats_Dataset__1[[#This Row],[Slugging %]]</f>
        <v>0.87984622553588077</v>
      </c>
      <c r="AA208" s="6">
        <f>Cleaned_MLB_Stats_Dataset__1[[#This Row],[Slugging %]]-Cleaned_MLB_Stats_Dataset__1[[#This Row],[Batting Average]]</f>
        <v>0.24712643678160923</v>
      </c>
      <c r="AB208" s="6">
        <f>Cleaned_MLB_Stats_Dataset__1[[#This Row],[Batting Average]]-_xlfn.XLOOKUP(Cleaned_MLB_Stats_Dataset__1[[#This Row],[Year]],'League Averages'!$A$3:$A$23,'League Averages'!$B$3:$B$23)</f>
        <v>3.9287356321839051E-2</v>
      </c>
      <c r="AC208" s="6">
        <f>Cleaned_MLB_Stats_Dataset__1[[#This Row],[On Base Percentage]]-_xlfn.XLOOKUP(Cleaned_MLB_Stats_Dataset__1[[#This Row],[Year]],'League Averages'!$A$3:$A$23,'League Averages'!$C$3:$C$23)</f>
        <v>1.4324324324324067E-3</v>
      </c>
      <c r="AD208" s="6">
        <f>Cleaned_MLB_Stats_Dataset__1[[#This Row],[Slugging %]]-_xlfn.XLOOKUP(Cleaned_MLB_Stats_Dataset__1[[#This Row],[Year]],'League Averages'!$A$3:$A$23,'League Averages'!$D$3:$D$23)</f>
        <v>0.13041379310344831</v>
      </c>
      <c r="AE208" s="6">
        <f>Cleaned_MLB_Stats_Dataset__1[[#This Row],[OPS (On Base + Slugging)]]-_xlfn.XLOOKUP(Cleaned_MLB_Stats_Dataset__1[[#This Row],[Year]],'League Averages'!$A$3:$A$23,'League Averages'!$E$3:$E$23)</f>
        <v>0.13184622553588077</v>
      </c>
      <c r="AF208" s="6">
        <f>Cleaned_MLB_Stats_Dataset__1[[#This Row],[ISO (Isolated Power]]-_xlfn.XLOOKUP(Cleaned_MLB_Stats_Dataset__1[[#This Row],[Year]],'League Averages'!$A$3:$A$23,'League Averages'!$F$3:$F$23)</f>
        <v>9.1126436781609227E-2</v>
      </c>
    </row>
    <row r="209" spans="1:32" x14ac:dyDescent="0.2">
      <c r="A209" t="s">
        <v>309</v>
      </c>
      <c r="B209">
        <v>1999</v>
      </c>
      <c r="C209" t="s">
        <v>115</v>
      </c>
      <c r="D209" t="s">
        <v>3</v>
      </c>
      <c r="E209" t="s">
        <v>60</v>
      </c>
      <c r="F209" t="str">
        <f>_xlfn.XLOOKUP(Cleaned_MLB_Stats_Dataset__1[[#This Row],[Position'#]],$B$373:$B$382,$A$373:$A$382)</f>
        <v>1B</v>
      </c>
      <c r="G209">
        <v>3</v>
      </c>
      <c r="H209">
        <v>521</v>
      </c>
      <c r="I209">
        <v>145</v>
      </c>
      <c r="J209">
        <v>21</v>
      </c>
      <c r="K209">
        <v>1</v>
      </c>
      <c r="L209">
        <v>65</v>
      </c>
      <c r="M209">
        <v>118</v>
      </c>
      <c r="N209">
        <v>147</v>
      </c>
      <c r="O209">
        <v>141</v>
      </c>
      <c r="P209">
        <v>133</v>
      </c>
      <c r="Q209">
        <v>21</v>
      </c>
      <c r="R209">
        <v>2</v>
      </c>
      <c r="S209">
        <v>5</v>
      </c>
      <c r="T209">
        <v>0</v>
      </c>
      <c r="U209" s="6">
        <f>Cleaned_MLB_Stats_Dataset__1[[#This Row],[Hits]]/Cleaned_MLB_Stats_Dataset__1[[#This Row],[At Bats]]</f>
        <v>0.27831094049904032</v>
      </c>
      <c r="V209" s="6">
        <f>Cleaned_MLB_Stats_Dataset__1[[#This Row],[Strikeouts]]/(Cleaned_MLB_Stats_Dataset__1[[#This Row],[At Bats]]+Cleaned_MLB_Stats_Dataset__1[[#This Row],[Walks]])</f>
        <v>0.21559633027522937</v>
      </c>
      <c r="W20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0.20579268292682926</v>
      </c>
      <c r="X20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0.42360060514372161</v>
      </c>
      <c r="Y20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0.69673704414587334</v>
      </c>
      <c r="Z209" s="6">
        <f>Cleaned_MLB_Stats_Dataset__1[[#This Row],[On Base Percentage]]+Cleaned_MLB_Stats_Dataset__1[[#This Row],[Slugging %]]</f>
        <v>1.1203376492895949</v>
      </c>
      <c r="AA209" s="6">
        <f>Cleaned_MLB_Stats_Dataset__1[[#This Row],[Slugging %]]-Cleaned_MLB_Stats_Dataset__1[[#This Row],[Batting Average]]</f>
        <v>0.41842610364683303</v>
      </c>
      <c r="AB209" s="6">
        <f>Cleaned_MLB_Stats_Dataset__1[[#This Row],[Batting Average]]-_xlfn.XLOOKUP(Cleaned_MLB_Stats_Dataset__1[[#This Row],[Year]],'League Averages'!$A$3:$A$23,'League Averages'!$B$3:$B$23)</f>
        <v>7.3109404990402971E-3</v>
      </c>
      <c r="AC209" s="6">
        <f>Cleaned_MLB_Stats_Dataset__1[[#This Row],[On Base Percentage]]-_xlfn.XLOOKUP(Cleaned_MLB_Stats_Dataset__1[[#This Row],[Year]],'League Averages'!$A$3:$A$23,'League Averages'!$C$3:$C$23)</f>
        <v>7.8600605143721636E-2</v>
      </c>
      <c r="AD209" s="6">
        <f>Cleaned_MLB_Stats_Dataset__1[[#This Row],[Slugging %]]-_xlfn.XLOOKUP(Cleaned_MLB_Stats_Dataset__1[[#This Row],[Year]],'League Averages'!$A$3:$A$23,'League Averages'!$D$3:$D$23)</f>
        <v>0.26273704414587334</v>
      </c>
      <c r="AE209" s="6">
        <f>Cleaned_MLB_Stats_Dataset__1[[#This Row],[OPS (On Base + Slugging)]]-_xlfn.XLOOKUP(Cleaned_MLB_Stats_Dataset__1[[#This Row],[Year]],'League Averages'!$A$3:$A$23,'League Averages'!$E$3:$E$23)</f>
        <v>0.34233764928959487</v>
      </c>
      <c r="AF209" s="6">
        <f>Cleaned_MLB_Stats_Dataset__1[[#This Row],[ISO (Isolated Power]]-_xlfn.XLOOKUP(Cleaned_MLB_Stats_Dataset__1[[#This Row],[Year]],'League Averages'!$A$3:$A$23,'League Averages'!$F$3:$F$23)</f>
        <v>0.25542610364683305</v>
      </c>
    </row>
    <row r="210" spans="1:32" x14ac:dyDescent="0.2">
      <c r="A210" t="s">
        <v>309</v>
      </c>
      <c r="B210">
        <v>1999</v>
      </c>
      <c r="C210" t="s">
        <v>171</v>
      </c>
      <c r="D210" t="s">
        <v>6</v>
      </c>
      <c r="E210" t="s">
        <v>66</v>
      </c>
      <c r="F210" t="str">
        <f>_xlfn.XLOOKUP(Cleaned_MLB_Stats_Dataset__1[[#This Row],[Position'#]],$B$373:$B$382,$A$373:$A$382)</f>
        <v>RF</v>
      </c>
      <c r="G210">
        <v>9</v>
      </c>
      <c r="H210">
        <v>522</v>
      </c>
      <c r="I210">
        <v>174</v>
      </c>
      <c r="J210">
        <v>34</v>
      </c>
      <c r="K210">
        <v>3</v>
      </c>
      <c r="L210">
        <v>44</v>
      </c>
      <c r="M210">
        <v>131</v>
      </c>
      <c r="N210">
        <v>165</v>
      </c>
      <c r="O210">
        <v>131</v>
      </c>
      <c r="P210">
        <v>96</v>
      </c>
      <c r="Q210">
        <v>9</v>
      </c>
      <c r="R210">
        <v>13</v>
      </c>
      <c r="S210">
        <v>9</v>
      </c>
      <c r="T210">
        <v>0</v>
      </c>
      <c r="U210" s="6">
        <f>Cleaned_MLB_Stats_Dataset__1[[#This Row],[Hits]]/Cleaned_MLB_Stats_Dataset__1[[#This Row],[At Bats]]</f>
        <v>0.33333333333333331</v>
      </c>
      <c r="V210" s="6">
        <f>Cleaned_MLB_Stats_Dataset__1[[#This Row],[Strikeouts]]/(Cleaned_MLB_Stats_Dataset__1[[#This Row],[At Bats]]+Cleaned_MLB_Stats_Dataset__1[[#This Row],[Walks]])</f>
        <v>0.21197411003236247</v>
      </c>
      <c r="W21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0.17274167987321712</v>
      </c>
      <c r="X21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0.44218750000000001</v>
      </c>
      <c r="Y21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0.66283524904214564</v>
      </c>
      <c r="Z210" s="6">
        <f>Cleaned_MLB_Stats_Dataset__1[[#This Row],[On Base Percentage]]+Cleaned_MLB_Stats_Dataset__1[[#This Row],[Slugging %]]</f>
        <v>1.1050227490421456</v>
      </c>
      <c r="AA210" s="6">
        <f>Cleaned_MLB_Stats_Dataset__1[[#This Row],[Slugging %]]-Cleaned_MLB_Stats_Dataset__1[[#This Row],[Batting Average]]</f>
        <v>0.32950191570881232</v>
      </c>
      <c r="AB210" s="6">
        <f>Cleaned_MLB_Stats_Dataset__1[[#This Row],[Batting Average]]-_xlfn.XLOOKUP(Cleaned_MLB_Stats_Dataset__1[[#This Row],[Year]],'League Averages'!$A$3:$A$23,'League Averages'!$B$3:$B$23)</f>
        <v>6.2333333333333296E-2</v>
      </c>
      <c r="AC210" s="6">
        <f>Cleaned_MLB_Stats_Dataset__1[[#This Row],[On Base Percentage]]-_xlfn.XLOOKUP(Cleaned_MLB_Stats_Dataset__1[[#This Row],[Year]],'League Averages'!$A$3:$A$23,'League Averages'!$C$3:$C$23)</f>
        <v>9.7187500000000038E-2</v>
      </c>
      <c r="AD210" s="6">
        <f>Cleaned_MLB_Stats_Dataset__1[[#This Row],[Slugging %]]-_xlfn.XLOOKUP(Cleaned_MLB_Stats_Dataset__1[[#This Row],[Year]],'League Averages'!$A$3:$A$23,'League Averages'!$D$3:$D$23)</f>
        <v>0.22883524904214564</v>
      </c>
      <c r="AE210" s="6">
        <f>Cleaned_MLB_Stats_Dataset__1[[#This Row],[OPS (On Base + Slugging)]]-_xlfn.XLOOKUP(Cleaned_MLB_Stats_Dataset__1[[#This Row],[Year]],'League Averages'!$A$3:$A$23,'League Averages'!$E$3:$E$23)</f>
        <v>0.32702274904214557</v>
      </c>
      <c r="AF210" s="6">
        <f>Cleaned_MLB_Stats_Dataset__1[[#This Row],[ISO (Isolated Power]]-_xlfn.XLOOKUP(Cleaned_MLB_Stats_Dataset__1[[#This Row],[Year]],'League Averages'!$A$3:$A$23,'League Averages'!$F$3:$F$23)</f>
        <v>0.16650191570881231</v>
      </c>
    </row>
    <row r="211" spans="1:32" x14ac:dyDescent="0.2">
      <c r="A211" t="s">
        <v>309</v>
      </c>
      <c r="B211">
        <v>1996</v>
      </c>
      <c r="C211" t="s">
        <v>157</v>
      </c>
      <c r="D211" t="s">
        <v>6</v>
      </c>
      <c r="E211" t="s">
        <v>68</v>
      </c>
      <c r="F211" t="str">
        <f>_xlfn.XLOOKUP(Cleaned_MLB_Stats_Dataset__1[[#This Row],[Position'#]],$B$373:$B$382,$A$373:$A$382)</f>
        <v>1B</v>
      </c>
      <c r="G211">
        <v>3</v>
      </c>
      <c r="H211">
        <v>635</v>
      </c>
      <c r="I211">
        <v>207</v>
      </c>
      <c r="J211">
        <v>29</v>
      </c>
      <c r="K211">
        <v>1</v>
      </c>
      <c r="L211">
        <v>44</v>
      </c>
      <c r="M211">
        <v>118</v>
      </c>
      <c r="N211">
        <v>143</v>
      </c>
      <c r="O211">
        <v>154</v>
      </c>
      <c r="P211">
        <v>95</v>
      </c>
      <c r="Q211">
        <v>19</v>
      </c>
      <c r="R211">
        <v>14</v>
      </c>
      <c r="S211">
        <v>8</v>
      </c>
      <c r="T211">
        <v>0</v>
      </c>
      <c r="U211" s="6">
        <f>Cleaned_MLB_Stats_Dataset__1[[#This Row],[Hits]]/Cleaned_MLB_Stats_Dataset__1[[#This Row],[At Bats]]</f>
        <v>0.32598425196850395</v>
      </c>
      <c r="V211" s="6">
        <f>Cleaned_MLB_Stats_Dataset__1[[#This Row],[Strikeouts]]/(Cleaned_MLB_Stats_Dataset__1[[#This Row],[At Bats]]+Cleaned_MLB_Stats_Dataset__1[[#This Row],[Walks]])</f>
        <v>0.21095890410958903</v>
      </c>
      <c r="W21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0.14650537634408603</v>
      </c>
      <c r="X21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0.42021276595744683</v>
      </c>
      <c r="Y21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0.58267716535433067</v>
      </c>
      <c r="Z211" s="6">
        <f>Cleaned_MLB_Stats_Dataset__1[[#This Row],[On Base Percentage]]+Cleaned_MLB_Stats_Dataset__1[[#This Row],[Slugging %]]</f>
        <v>1.0028899313117776</v>
      </c>
      <c r="AA211" s="6">
        <f>Cleaned_MLB_Stats_Dataset__1[[#This Row],[Slugging %]]-Cleaned_MLB_Stats_Dataset__1[[#This Row],[Batting Average]]</f>
        <v>0.25669291338582673</v>
      </c>
      <c r="AB211" s="6">
        <f>Cleaned_MLB_Stats_Dataset__1[[#This Row],[Batting Average]]-_xlfn.XLOOKUP(Cleaned_MLB_Stats_Dataset__1[[#This Row],[Year]],'League Averages'!$A$3:$A$23,'League Averages'!$B$3:$B$23)</f>
        <v>5.5984251968503929E-2</v>
      </c>
      <c r="AC211" s="6">
        <f>Cleaned_MLB_Stats_Dataset__1[[#This Row],[On Base Percentage]]-_xlfn.XLOOKUP(Cleaned_MLB_Stats_Dataset__1[[#This Row],[Year]],'League Averages'!$A$3:$A$23,'League Averages'!$C$3:$C$23)</f>
        <v>8.0212765957446808E-2</v>
      </c>
      <c r="AD211" s="6">
        <f>Cleaned_MLB_Stats_Dataset__1[[#This Row],[Slugging %]]-_xlfn.XLOOKUP(Cleaned_MLB_Stats_Dataset__1[[#This Row],[Year]],'League Averages'!$A$3:$A$23,'League Averages'!$D$3:$D$23)</f>
        <v>0.15567716535433068</v>
      </c>
      <c r="AE211" s="6">
        <f>Cleaned_MLB_Stats_Dataset__1[[#This Row],[OPS (On Base + Slugging)]]-_xlfn.XLOOKUP(Cleaned_MLB_Stats_Dataset__1[[#This Row],[Year]],'League Averages'!$A$3:$A$23,'League Averages'!$E$3:$E$23)</f>
        <v>0.2358899313117776</v>
      </c>
      <c r="AF211" s="6">
        <f>Cleaned_MLB_Stats_Dataset__1[[#This Row],[ISO (Isolated Power]]-_xlfn.XLOOKUP(Cleaned_MLB_Stats_Dataset__1[[#This Row],[Year]],'League Averages'!$A$3:$A$23,'League Averages'!$F$3:$F$23)</f>
        <v>9.9692913385826726E-2</v>
      </c>
    </row>
    <row r="212" spans="1:32" x14ac:dyDescent="0.2">
      <c r="A212" t="s">
        <v>309</v>
      </c>
      <c r="B212">
        <v>1997</v>
      </c>
      <c r="C212" t="s">
        <v>119</v>
      </c>
      <c r="D212" t="s">
        <v>3</v>
      </c>
      <c r="E212" t="s">
        <v>88</v>
      </c>
      <c r="F212" t="str">
        <f>_xlfn.XLOOKUP(Cleaned_MLB_Stats_Dataset__1[[#This Row],[Position'#]],$B$373:$B$382,$A$373:$A$382)</f>
        <v>3B</v>
      </c>
      <c r="G212">
        <v>5</v>
      </c>
      <c r="H212">
        <v>486</v>
      </c>
      <c r="I212">
        <v>141</v>
      </c>
      <c r="J212">
        <v>28</v>
      </c>
      <c r="K212">
        <v>0</v>
      </c>
      <c r="L212">
        <v>26</v>
      </c>
      <c r="M212">
        <v>92</v>
      </c>
      <c r="N212">
        <v>90</v>
      </c>
      <c r="O212">
        <v>118</v>
      </c>
      <c r="P212">
        <v>80</v>
      </c>
      <c r="Q212">
        <v>9</v>
      </c>
      <c r="R212">
        <v>3</v>
      </c>
      <c r="S212">
        <v>7</v>
      </c>
      <c r="T212">
        <v>0</v>
      </c>
      <c r="U212" s="6">
        <f>Cleaned_MLB_Stats_Dataset__1[[#This Row],[Hits]]/Cleaned_MLB_Stats_Dataset__1[[#This Row],[At Bats]]</f>
        <v>0.29012345679012347</v>
      </c>
      <c r="V212" s="6">
        <f>Cleaned_MLB_Stats_Dataset__1[[#This Row],[Strikeouts]]/(Cleaned_MLB_Stats_Dataset__1[[#This Row],[At Bats]]+Cleaned_MLB_Stats_Dataset__1[[#This Row],[Walks]])</f>
        <v>0.20848056537102475</v>
      </c>
      <c r="W21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0.14586994727592267</v>
      </c>
      <c r="X21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0.3888888888888889</v>
      </c>
      <c r="Y21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0.50823045267489708</v>
      </c>
      <c r="Z212" s="6">
        <f>Cleaned_MLB_Stats_Dataset__1[[#This Row],[On Base Percentage]]+Cleaned_MLB_Stats_Dataset__1[[#This Row],[Slugging %]]</f>
        <v>0.89711934156378592</v>
      </c>
      <c r="AA212" s="6">
        <f>Cleaned_MLB_Stats_Dataset__1[[#This Row],[Slugging %]]-Cleaned_MLB_Stats_Dataset__1[[#This Row],[Batting Average]]</f>
        <v>0.21810699588477361</v>
      </c>
      <c r="AB212" s="6">
        <f>Cleaned_MLB_Stats_Dataset__1[[#This Row],[Batting Average]]-_xlfn.XLOOKUP(Cleaned_MLB_Stats_Dataset__1[[#This Row],[Year]],'League Averages'!$A$3:$A$23,'League Averages'!$B$3:$B$23)</f>
        <v>2.3123456790123453E-2</v>
      </c>
      <c r="AC212" s="6">
        <f>Cleaned_MLB_Stats_Dataset__1[[#This Row],[On Base Percentage]]-_xlfn.XLOOKUP(Cleaned_MLB_Stats_Dataset__1[[#This Row],[Year]],'League Averages'!$A$3:$A$23,'League Averages'!$C$3:$C$23)</f>
        <v>5.1888888888888873E-2</v>
      </c>
      <c r="AD212" s="6">
        <f>Cleaned_MLB_Stats_Dataset__1[[#This Row],[Slugging %]]-_xlfn.XLOOKUP(Cleaned_MLB_Stats_Dataset__1[[#This Row],[Year]],'League Averages'!$A$3:$A$23,'League Averages'!$D$3:$D$23)</f>
        <v>8.9230452674897098E-2</v>
      </c>
      <c r="AE212" s="6">
        <f>Cleaned_MLB_Stats_Dataset__1[[#This Row],[OPS (On Base + Slugging)]]-_xlfn.XLOOKUP(Cleaned_MLB_Stats_Dataset__1[[#This Row],[Year]],'League Averages'!$A$3:$A$23,'League Averages'!$E$3:$E$23)</f>
        <v>0.14111934156378592</v>
      </c>
      <c r="AF212" s="6">
        <f>Cleaned_MLB_Stats_Dataset__1[[#This Row],[ISO (Isolated Power]]-_xlfn.XLOOKUP(Cleaned_MLB_Stats_Dataset__1[[#This Row],[Year]],'League Averages'!$A$3:$A$23,'League Averages'!$F$3:$F$23)</f>
        <v>6.6106995884773617E-2</v>
      </c>
    </row>
    <row r="213" spans="1:32" x14ac:dyDescent="0.2">
      <c r="A213" t="s">
        <v>309</v>
      </c>
      <c r="B213">
        <v>2000</v>
      </c>
      <c r="C213" t="s">
        <v>169</v>
      </c>
      <c r="D213" t="s">
        <v>6</v>
      </c>
      <c r="E213" t="s">
        <v>68</v>
      </c>
      <c r="F213" t="str">
        <f>_xlfn.XLOOKUP(Cleaned_MLB_Stats_Dataset__1[[#This Row],[Position'#]],$B$373:$B$382,$A$373:$A$382)</f>
        <v>LF</v>
      </c>
      <c r="G213">
        <v>7</v>
      </c>
      <c r="H213">
        <v>496</v>
      </c>
      <c r="I213">
        <v>149</v>
      </c>
      <c r="J213">
        <v>32</v>
      </c>
      <c r="K213">
        <v>4</v>
      </c>
      <c r="L213">
        <v>34</v>
      </c>
      <c r="M213">
        <v>82</v>
      </c>
      <c r="N213">
        <v>108</v>
      </c>
      <c r="O213">
        <v>113</v>
      </c>
      <c r="P213">
        <v>52</v>
      </c>
      <c r="Q213">
        <v>5</v>
      </c>
      <c r="R213">
        <v>8</v>
      </c>
      <c r="S213">
        <v>5</v>
      </c>
      <c r="T213">
        <v>0</v>
      </c>
      <c r="U213" s="6">
        <f>Cleaned_MLB_Stats_Dataset__1[[#This Row],[Hits]]/Cleaned_MLB_Stats_Dataset__1[[#This Row],[At Bats]]</f>
        <v>0.30040322580645162</v>
      </c>
      <c r="V213" s="6">
        <f>Cleaned_MLB_Stats_Dataset__1[[#This Row],[Strikeouts]]/(Cleaned_MLB_Stats_Dataset__1[[#This Row],[At Bats]]+Cleaned_MLB_Stats_Dataset__1[[#This Row],[Walks]])</f>
        <v>0.20620437956204379</v>
      </c>
      <c r="W21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0.1079136690647482</v>
      </c>
      <c r="X21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0.37254901960784315</v>
      </c>
      <c r="Y21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0.58669354838709675</v>
      </c>
      <c r="Z213" s="6">
        <f>Cleaned_MLB_Stats_Dataset__1[[#This Row],[On Base Percentage]]+Cleaned_MLB_Stats_Dataset__1[[#This Row],[Slugging %]]</f>
        <v>0.9592425679949399</v>
      </c>
      <c r="AA213" s="6">
        <f>Cleaned_MLB_Stats_Dataset__1[[#This Row],[Slugging %]]-Cleaned_MLB_Stats_Dataset__1[[#This Row],[Batting Average]]</f>
        <v>0.28629032258064513</v>
      </c>
      <c r="AB213" s="6">
        <f>Cleaned_MLB_Stats_Dataset__1[[#This Row],[Batting Average]]-_xlfn.XLOOKUP(Cleaned_MLB_Stats_Dataset__1[[#This Row],[Year]],'League Averages'!$A$3:$A$23,'League Averages'!$B$3:$B$23)</f>
        <v>3.0403225806451606E-2</v>
      </c>
      <c r="AC213" s="6">
        <f>Cleaned_MLB_Stats_Dataset__1[[#This Row],[On Base Percentage]]-_xlfn.XLOOKUP(Cleaned_MLB_Stats_Dataset__1[[#This Row],[Year]],'League Averages'!$A$3:$A$23,'League Averages'!$C$3:$C$23)</f>
        <v>2.7549019607843173E-2</v>
      </c>
      <c r="AD213" s="6">
        <f>Cleaned_MLB_Stats_Dataset__1[[#This Row],[Slugging %]]-_xlfn.XLOOKUP(Cleaned_MLB_Stats_Dataset__1[[#This Row],[Year]],'League Averages'!$A$3:$A$23,'League Averages'!$D$3:$D$23)</f>
        <v>0.14969354838709675</v>
      </c>
      <c r="AE213" s="6">
        <f>Cleaned_MLB_Stats_Dataset__1[[#This Row],[OPS (On Base + Slugging)]]-_xlfn.XLOOKUP(Cleaned_MLB_Stats_Dataset__1[[#This Row],[Year]],'League Averages'!$A$3:$A$23,'League Averages'!$E$3:$E$23)</f>
        <v>0.17724256799493987</v>
      </c>
      <c r="AF213" s="6">
        <f>Cleaned_MLB_Stats_Dataset__1[[#This Row],[ISO (Isolated Power]]-_xlfn.XLOOKUP(Cleaned_MLB_Stats_Dataset__1[[#This Row],[Year]],'League Averages'!$A$3:$A$23,'League Averages'!$F$3:$F$23)</f>
        <v>0.11929032258064512</v>
      </c>
    </row>
    <row r="214" spans="1:32" x14ac:dyDescent="0.2">
      <c r="A214" t="s">
        <v>309</v>
      </c>
      <c r="B214">
        <v>2002</v>
      </c>
      <c r="C214" t="s">
        <v>194</v>
      </c>
      <c r="D214" t="s">
        <v>6</v>
      </c>
      <c r="E214" t="s">
        <v>81</v>
      </c>
      <c r="F214" t="str">
        <f>_xlfn.XLOOKUP(Cleaned_MLB_Stats_Dataset__1[[#This Row],[Position'#]],$B$373:$B$382,$A$373:$A$382)</f>
        <v>CF</v>
      </c>
      <c r="G214">
        <v>8</v>
      </c>
      <c r="H214">
        <v>561</v>
      </c>
      <c r="I214">
        <v>162</v>
      </c>
      <c r="J214">
        <v>37</v>
      </c>
      <c r="K214">
        <v>4</v>
      </c>
      <c r="L214">
        <v>29</v>
      </c>
      <c r="M214">
        <v>89</v>
      </c>
      <c r="N214">
        <v>94</v>
      </c>
      <c r="O214">
        <v>118</v>
      </c>
      <c r="P214">
        <v>35</v>
      </c>
      <c r="Q214">
        <v>3</v>
      </c>
      <c r="R214">
        <v>5</v>
      </c>
      <c r="S214">
        <v>3</v>
      </c>
      <c r="T214">
        <v>0</v>
      </c>
      <c r="U214" s="6">
        <f>Cleaned_MLB_Stats_Dataset__1[[#This Row],[Hits]]/Cleaned_MLB_Stats_Dataset__1[[#This Row],[At Bats]]</f>
        <v>0.28877005347593582</v>
      </c>
      <c r="V214" s="6">
        <f>Cleaned_MLB_Stats_Dataset__1[[#This Row],[Strikeouts]]/(Cleaned_MLB_Stats_Dataset__1[[#This Row],[At Bats]]+Cleaned_MLB_Stats_Dataset__1[[#This Row],[Walks]])</f>
        <v>0.19798657718120805</v>
      </c>
      <c r="W21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6.6555740432612309E-2</v>
      </c>
      <c r="X21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0.33443708609271522</v>
      </c>
      <c r="Y21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0.52406417112299464</v>
      </c>
      <c r="Z214" s="6">
        <f>Cleaned_MLB_Stats_Dataset__1[[#This Row],[On Base Percentage]]+Cleaned_MLB_Stats_Dataset__1[[#This Row],[Slugging %]]</f>
        <v>0.8585012572157098</v>
      </c>
      <c r="AA214" s="6">
        <f>Cleaned_MLB_Stats_Dataset__1[[#This Row],[Slugging %]]-Cleaned_MLB_Stats_Dataset__1[[#This Row],[Batting Average]]</f>
        <v>0.23529411764705882</v>
      </c>
      <c r="AB214" s="6">
        <f>Cleaned_MLB_Stats_Dataset__1[[#This Row],[Batting Average]]-_xlfn.XLOOKUP(Cleaned_MLB_Stats_Dataset__1[[#This Row],[Year]],'League Averages'!$A$3:$A$23,'League Averages'!$B$3:$B$23)</f>
        <v>2.7770053475935808E-2</v>
      </c>
      <c r="AC214" s="6">
        <f>Cleaned_MLB_Stats_Dataset__1[[#This Row],[On Base Percentage]]-_xlfn.XLOOKUP(Cleaned_MLB_Stats_Dataset__1[[#This Row],[Year]],'League Averages'!$A$3:$A$23,'League Averages'!$C$3:$C$23)</f>
        <v>3.4370860927152025E-3</v>
      </c>
      <c r="AD214" s="6">
        <f>Cleaned_MLB_Stats_Dataset__1[[#This Row],[Slugging %]]-_xlfn.XLOOKUP(Cleaned_MLB_Stats_Dataset__1[[#This Row],[Year]],'League Averages'!$A$3:$A$23,'League Averages'!$D$3:$D$23)</f>
        <v>0.10706417112299466</v>
      </c>
      <c r="AE214" s="6">
        <f>Cleaned_MLB_Stats_Dataset__1[[#This Row],[OPS (On Base + Slugging)]]-_xlfn.XLOOKUP(Cleaned_MLB_Stats_Dataset__1[[#This Row],[Year]],'League Averages'!$A$3:$A$23,'League Averages'!$E$3:$E$23)</f>
        <v>0.1105012572157098</v>
      </c>
      <c r="AF214" s="6">
        <f>Cleaned_MLB_Stats_Dataset__1[[#This Row],[ISO (Isolated Power]]-_xlfn.XLOOKUP(Cleaned_MLB_Stats_Dataset__1[[#This Row],[Year]],'League Averages'!$A$3:$A$23,'League Averages'!$F$3:$F$23)</f>
        <v>7.929411764705882E-2</v>
      </c>
    </row>
    <row r="215" spans="1:32" x14ac:dyDescent="0.2">
      <c r="A215" t="s">
        <v>309</v>
      </c>
      <c r="B215">
        <v>1994</v>
      </c>
      <c r="C215" t="s">
        <v>105</v>
      </c>
      <c r="D215" t="s">
        <v>3</v>
      </c>
      <c r="E215" t="s">
        <v>29</v>
      </c>
      <c r="F215" t="str">
        <f>_xlfn.XLOOKUP(Cleaned_MLB_Stats_Dataset__1[[#This Row],[Position'#]],$B$373:$B$382,$A$373:$A$382)</f>
        <v>2B</v>
      </c>
      <c r="G215">
        <v>4</v>
      </c>
      <c r="H215">
        <v>347</v>
      </c>
      <c r="I215">
        <v>93</v>
      </c>
      <c r="J215">
        <v>22</v>
      </c>
      <c r="K215">
        <v>1</v>
      </c>
      <c r="L215">
        <v>8</v>
      </c>
      <c r="M215">
        <v>49</v>
      </c>
      <c r="N215">
        <v>48</v>
      </c>
      <c r="O215">
        <v>72</v>
      </c>
      <c r="P215">
        <v>17</v>
      </c>
      <c r="Q215">
        <v>1</v>
      </c>
      <c r="R215">
        <v>4</v>
      </c>
      <c r="S215">
        <v>4</v>
      </c>
      <c r="T215">
        <v>2</v>
      </c>
      <c r="U215" s="6">
        <f>Cleaned_MLB_Stats_Dataset__1[[#This Row],[Hits]]/Cleaned_MLB_Stats_Dataset__1[[#This Row],[At Bats]]</f>
        <v>0.2680115273775216</v>
      </c>
      <c r="V215" s="6">
        <f>Cleaned_MLB_Stats_Dataset__1[[#This Row],[Strikeouts]]/(Cleaned_MLB_Stats_Dataset__1[[#This Row],[At Bats]]+Cleaned_MLB_Stats_Dataset__1[[#This Row],[Walks]])</f>
        <v>0.19780219780219779</v>
      </c>
      <c r="W21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5.7065217391304345E-2</v>
      </c>
      <c r="X21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0.30645161290322581</v>
      </c>
      <c r="Y21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0.40634005763688763</v>
      </c>
      <c r="Z215" s="6">
        <f>Cleaned_MLB_Stats_Dataset__1[[#This Row],[On Base Percentage]]+Cleaned_MLB_Stats_Dataset__1[[#This Row],[Slugging %]]</f>
        <v>0.71279167054011339</v>
      </c>
      <c r="AA215" s="6">
        <f>Cleaned_MLB_Stats_Dataset__1[[#This Row],[Slugging %]]-Cleaned_MLB_Stats_Dataset__1[[#This Row],[Batting Average]]</f>
        <v>0.13832853025936603</v>
      </c>
      <c r="AB215" s="6">
        <f>Cleaned_MLB_Stats_Dataset__1[[#This Row],[Batting Average]]-_xlfn.XLOOKUP(Cleaned_MLB_Stats_Dataset__1[[#This Row],[Year]],'League Averages'!$A$3:$A$23,'League Averages'!$B$3:$B$23)</f>
        <v>-1.988472622478421E-3</v>
      </c>
      <c r="AC215" s="6">
        <f>Cleaned_MLB_Stats_Dataset__1[[#This Row],[On Base Percentage]]-_xlfn.XLOOKUP(Cleaned_MLB_Stats_Dataset__1[[#This Row],[Year]],'League Averages'!$A$3:$A$23,'League Averages'!$C$3:$C$23)</f>
        <v>-3.2548387096774212E-2</v>
      </c>
      <c r="AD215" s="6">
        <f>Cleaned_MLB_Stats_Dataset__1[[#This Row],[Slugging %]]-_xlfn.XLOOKUP(Cleaned_MLB_Stats_Dataset__1[[#This Row],[Year]],'League Averages'!$A$3:$A$23,'League Averages'!$D$3:$D$23)</f>
        <v>-1.7659942363112358E-2</v>
      </c>
      <c r="AE215" s="6">
        <f>Cleaned_MLB_Stats_Dataset__1[[#This Row],[OPS (On Base + Slugging)]]-_xlfn.XLOOKUP(Cleaned_MLB_Stats_Dataset__1[[#This Row],[Year]],'League Averages'!$A$3:$A$23,'League Averages'!$E$3:$E$23)</f>
        <v>-5.0208329459886625E-2</v>
      </c>
      <c r="AF215" s="6">
        <f>Cleaned_MLB_Stats_Dataset__1[[#This Row],[ISO (Isolated Power]]-_xlfn.XLOOKUP(Cleaned_MLB_Stats_Dataset__1[[#This Row],[Year]],'League Averages'!$A$3:$A$23,'League Averages'!$F$3:$F$23)</f>
        <v>-1.5671469740633964E-2</v>
      </c>
    </row>
    <row r="216" spans="1:32" x14ac:dyDescent="0.2">
      <c r="A216" t="s">
        <v>309</v>
      </c>
      <c r="B216">
        <v>1999</v>
      </c>
      <c r="C216" t="s">
        <v>109</v>
      </c>
      <c r="D216" t="s">
        <v>3</v>
      </c>
      <c r="E216" t="s">
        <v>202</v>
      </c>
      <c r="F216" t="str">
        <f>_xlfn.XLOOKUP(Cleaned_MLB_Stats_Dataset__1[[#This Row],[Position'#]],$B$373:$B$382,$A$373:$A$382)</f>
        <v>2B</v>
      </c>
      <c r="G216">
        <v>4</v>
      </c>
      <c r="H216">
        <v>589</v>
      </c>
      <c r="I216">
        <v>170</v>
      </c>
      <c r="J216">
        <v>32</v>
      </c>
      <c r="K216">
        <v>6</v>
      </c>
      <c r="L216">
        <v>38</v>
      </c>
      <c r="M216">
        <v>132</v>
      </c>
      <c r="N216">
        <v>112</v>
      </c>
      <c r="O216">
        <v>132</v>
      </c>
      <c r="P216">
        <v>82</v>
      </c>
      <c r="Q216">
        <v>2</v>
      </c>
      <c r="R216">
        <v>4</v>
      </c>
      <c r="S216">
        <v>9</v>
      </c>
      <c r="T216">
        <v>4</v>
      </c>
      <c r="U216" s="6">
        <f>Cleaned_MLB_Stats_Dataset__1[[#This Row],[Hits]]/Cleaned_MLB_Stats_Dataset__1[[#This Row],[At Bats]]</f>
        <v>0.28862478777589134</v>
      </c>
      <c r="V216" s="6">
        <f>Cleaned_MLB_Stats_Dataset__1[[#This Row],[Strikeouts]]/(Cleaned_MLB_Stats_Dataset__1[[#This Row],[At Bats]]+Cleaned_MLB_Stats_Dataset__1[[#This Row],[Walks]])</f>
        <v>0.19672131147540983</v>
      </c>
      <c r="W21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0.12740740740740741</v>
      </c>
      <c r="X21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0.3742690058479532</v>
      </c>
      <c r="Y21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0.55687606112054333</v>
      </c>
      <c r="Z216" s="6">
        <f>Cleaned_MLB_Stats_Dataset__1[[#This Row],[On Base Percentage]]+Cleaned_MLB_Stats_Dataset__1[[#This Row],[Slugging %]]</f>
        <v>0.93114506696849653</v>
      </c>
      <c r="AA216" s="6">
        <f>Cleaned_MLB_Stats_Dataset__1[[#This Row],[Slugging %]]-Cleaned_MLB_Stats_Dataset__1[[#This Row],[Batting Average]]</f>
        <v>0.26825127334465199</v>
      </c>
      <c r="AB216" s="6">
        <f>Cleaned_MLB_Stats_Dataset__1[[#This Row],[Batting Average]]-_xlfn.XLOOKUP(Cleaned_MLB_Stats_Dataset__1[[#This Row],[Year]],'League Averages'!$A$3:$A$23,'League Averages'!$B$3:$B$23)</f>
        <v>1.7624787775891326E-2</v>
      </c>
      <c r="AC216" s="6">
        <f>Cleaned_MLB_Stats_Dataset__1[[#This Row],[On Base Percentage]]-_xlfn.XLOOKUP(Cleaned_MLB_Stats_Dataset__1[[#This Row],[Year]],'League Averages'!$A$3:$A$23,'League Averages'!$C$3:$C$23)</f>
        <v>2.9269005847953222E-2</v>
      </c>
      <c r="AD216" s="6">
        <f>Cleaned_MLB_Stats_Dataset__1[[#This Row],[Slugging %]]-_xlfn.XLOOKUP(Cleaned_MLB_Stats_Dataset__1[[#This Row],[Year]],'League Averages'!$A$3:$A$23,'League Averages'!$D$3:$D$23)</f>
        <v>0.12287606112054333</v>
      </c>
      <c r="AE216" s="6">
        <f>Cleaned_MLB_Stats_Dataset__1[[#This Row],[OPS (On Base + Slugging)]]-_xlfn.XLOOKUP(Cleaned_MLB_Stats_Dataset__1[[#This Row],[Year]],'League Averages'!$A$3:$A$23,'League Averages'!$E$3:$E$23)</f>
        <v>0.1531450669684965</v>
      </c>
      <c r="AF216" s="6">
        <f>Cleaned_MLB_Stats_Dataset__1[[#This Row],[ISO (Isolated Power]]-_xlfn.XLOOKUP(Cleaned_MLB_Stats_Dataset__1[[#This Row],[Year]],'League Averages'!$A$3:$A$23,'League Averages'!$F$3:$F$23)</f>
        <v>0.10525127334465198</v>
      </c>
    </row>
    <row r="217" spans="1:32" x14ac:dyDescent="0.2">
      <c r="A217" t="s">
        <v>309</v>
      </c>
      <c r="B217">
        <v>1998</v>
      </c>
      <c r="C217" t="s">
        <v>137</v>
      </c>
      <c r="D217" t="s">
        <v>6</v>
      </c>
      <c r="E217" t="s">
        <v>90</v>
      </c>
      <c r="F217" t="str">
        <f>_xlfn.XLOOKUP(Cleaned_MLB_Stats_Dataset__1[[#This Row],[Position'#]],$B$373:$B$382,$A$373:$A$382)</f>
        <v>RF</v>
      </c>
      <c r="G217">
        <v>9</v>
      </c>
      <c r="H217">
        <v>606</v>
      </c>
      <c r="I217">
        <v>193</v>
      </c>
      <c r="J217">
        <v>50</v>
      </c>
      <c r="K217">
        <v>2</v>
      </c>
      <c r="L217">
        <v>45</v>
      </c>
      <c r="M217">
        <v>110</v>
      </c>
      <c r="N217">
        <v>157</v>
      </c>
      <c r="O217">
        <v>126</v>
      </c>
      <c r="P217">
        <v>46</v>
      </c>
      <c r="Q217">
        <v>9</v>
      </c>
      <c r="R217">
        <v>6</v>
      </c>
      <c r="S217">
        <v>11</v>
      </c>
      <c r="T217">
        <v>0</v>
      </c>
      <c r="U217" s="6">
        <f>Cleaned_MLB_Stats_Dataset__1[[#This Row],[Hits]]/Cleaned_MLB_Stats_Dataset__1[[#This Row],[At Bats]]</f>
        <v>0.31848184818481851</v>
      </c>
      <c r="V217" s="6">
        <f>Cleaned_MLB_Stats_Dataset__1[[#This Row],[Strikeouts]]/(Cleaned_MLB_Stats_Dataset__1[[#This Row],[At Bats]]+Cleaned_MLB_Stats_Dataset__1[[#This Row],[Walks]])</f>
        <v>0.19325153374233128</v>
      </c>
      <c r="W21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7.9027355623100301E-2</v>
      </c>
      <c r="X21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0.36621823617339311</v>
      </c>
      <c r="Y21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0.63036303630363033</v>
      </c>
      <c r="Z217" s="6">
        <f>Cleaned_MLB_Stats_Dataset__1[[#This Row],[On Base Percentage]]+Cleaned_MLB_Stats_Dataset__1[[#This Row],[Slugging %]]</f>
        <v>0.99658127247702344</v>
      </c>
      <c r="AA217" s="6">
        <f>Cleaned_MLB_Stats_Dataset__1[[#This Row],[Slugging %]]-Cleaned_MLB_Stats_Dataset__1[[#This Row],[Batting Average]]</f>
        <v>0.31188118811881183</v>
      </c>
      <c r="AB217" s="6">
        <f>Cleaned_MLB_Stats_Dataset__1[[#This Row],[Batting Average]]-_xlfn.XLOOKUP(Cleaned_MLB_Stats_Dataset__1[[#This Row],[Year]],'League Averages'!$A$3:$A$23,'League Averages'!$B$3:$B$23)</f>
        <v>5.2481848184818491E-2</v>
      </c>
      <c r="AC217" s="6">
        <f>Cleaned_MLB_Stats_Dataset__1[[#This Row],[On Base Percentage]]-_xlfn.XLOOKUP(Cleaned_MLB_Stats_Dataset__1[[#This Row],[Year]],'League Averages'!$A$3:$A$23,'League Averages'!$C$3:$C$23)</f>
        <v>3.1218236173393088E-2</v>
      </c>
      <c r="AD217" s="6">
        <f>Cleaned_MLB_Stats_Dataset__1[[#This Row],[Slugging %]]-_xlfn.XLOOKUP(Cleaned_MLB_Stats_Dataset__1[[#This Row],[Year]],'League Averages'!$A$3:$A$23,'League Averages'!$D$3:$D$23)</f>
        <v>0.21036303630363035</v>
      </c>
      <c r="AE217" s="6">
        <f>Cleaned_MLB_Stats_Dataset__1[[#This Row],[OPS (On Base + Slugging)]]-_xlfn.XLOOKUP(Cleaned_MLB_Stats_Dataset__1[[#This Row],[Year]],'League Averages'!$A$3:$A$23,'League Averages'!$E$3:$E$23)</f>
        <v>0.24158127247702343</v>
      </c>
      <c r="AF217" s="6">
        <f>Cleaned_MLB_Stats_Dataset__1[[#This Row],[ISO (Isolated Power]]-_xlfn.XLOOKUP(Cleaned_MLB_Stats_Dataset__1[[#This Row],[Year]],'League Averages'!$A$3:$A$23,'League Averages'!$F$3:$F$23)</f>
        <v>0.15788118811881183</v>
      </c>
    </row>
    <row r="218" spans="1:32" x14ac:dyDescent="0.2">
      <c r="A218" t="s">
        <v>309</v>
      </c>
      <c r="B218">
        <v>2001</v>
      </c>
      <c r="C218" t="s">
        <v>173</v>
      </c>
      <c r="D218" t="s">
        <v>6</v>
      </c>
      <c r="E218" t="s">
        <v>90</v>
      </c>
      <c r="F218" t="str">
        <f>_xlfn.XLOOKUP(Cleaned_MLB_Stats_Dataset__1[[#This Row],[Position'#]],$B$373:$B$382,$A$373:$A$382)</f>
        <v>3B</v>
      </c>
      <c r="G218">
        <v>5</v>
      </c>
      <c r="H218">
        <v>632</v>
      </c>
      <c r="I218">
        <v>201</v>
      </c>
      <c r="J218">
        <v>34</v>
      </c>
      <c r="K218">
        <v>1</v>
      </c>
      <c r="L218">
        <v>52</v>
      </c>
      <c r="M218">
        <v>133</v>
      </c>
      <c r="N218">
        <v>135</v>
      </c>
      <c r="O218">
        <v>131</v>
      </c>
      <c r="P218">
        <v>75</v>
      </c>
      <c r="Q218">
        <v>6</v>
      </c>
      <c r="R218">
        <v>16</v>
      </c>
      <c r="S218">
        <v>9</v>
      </c>
      <c r="T218">
        <v>0</v>
      </c>
      <c r="U218" s="6">
        <f>Cleaned_MLB_Stats_Dataset__1[[#This Row],[Hits]]/Cleaned_MLB_Stats_Dataset__1[[#This Row],[At Bats]]</f>
        <v>0.31803797468354428</v>
      </c>
      <c r="V218" s="6">
        <f>Cleaned_MLB_Stats_Dataset__1[[#This Row],[Strikeouts]]/(Cleaned_MLB_Stats_Dataset__1[[#This Row],[At Bats]]+Cleaned_MLB_Stats_Dataset__1[[#This Row],[Walks]])</f>
        <v>0.18528995756718528</v>
      </c>
      <c r="W21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0.12586445366528354</v>
      </c>
      <c r="X21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0.39890710382513661</v>
      </c>
      <c r="Y21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0.62183544303797467</v>
      </c>
      <c r="Z218" s="6">
        <f>Cleaned_MLB_Stats_Dataset__1[[#This Row],[On Base Percentage]]+Cleaned_MLB_Stats_Dataset__1[[#This Row],[Slugging %]]</f>
        <v>1.0207425468631113</v>
      </c>
      <c r="AA218" s="6">
        <f>Cleaned_MLB_Stats_Dataset__1[[#This Row],[Slugging %]]-Cleaned_MLB_Stats_Dataset__1[[#This Row],[Batting Average]]</f>
        <v>0.30379746835443039</v>
      </c>
      <c r="AB218" s="6">
        <f>Cleaned_MLB_Stats_Dataset__1[[#This Row],[Batting Average]]-_xlfn.XLOOKUP(Cleaned_MLB_Stats_Dataset__1[[#This Row],[Year]],'League Averages'!$A$3:$A$23,'League Averages'!$B$3:$B$23)</f>
        <v>5.4037974683544265E-2</v>
      </c>
      <c r="AC218" s="6">
        <f>Cleaned_MLB_Stats_Dataset__1[[#This Row],[On Base Percentage]]-_xlfn.XLOOKUP(Cleaned_MLB_Stats_Dataset__1[[#This Row],[Year]],'League Averages'!$A$3:$A$23,'League Averages'!$C$3:$C$23)</f>
        <v>6.6907103825136593E-2</v>
      </c>
      <c r="AD218" s="6">
        <f>Cleaned_MLB_Stats_Dataset__1[[#This Row],[Slugging %]]-_xlfn.XLOOKUP(Cleaned_MLB_Stats_Dataset__1[[#This Row],[Year]],'League Averages'!$A$3:$A$23,'League Averages'!$D$3:$D$23)</f>
        <v>0.19483544303797468</v>
      </c>
      <c r="AE218" s="6">
        <f>Cleaned_MLB_Stats_Dataset__1[[#This Row],[OPS (On Base + Slugging)]]-_xlfn.XLOOKUP(Cleaned_MLB_Stats_Dataset__1[[#This Row],[Year]],'League Averages'!$A$3:$A$23,'League Averages'!$E$3:$E$23)</f>
        <v>0.26174254686311127</v>
      </c>
      <c r="AF218" s="6">
        <f>Cleaned_MLB_Stats_Dataset__1[[#This Row],[ISO (Isolated Power]]-_xlfn.XLOOKUP(Cleaned_MLB_Stats_Dataset__1[[#This Row],[Year]],'League Averages'!$A$3:$A$23,'League Averages'!$F$3:$F$23)</f>
        <v>0.14079746835443038</v>
      </c>
    </row>
    <row r="219" spans="1:32" x14ac:dyDescent="0.2">
      <c r="A219" t="s">
        <v>309</v>
      </c>
      <c r="B219">
        <v>1994</v>
      </c>
      <c r="C219" t="s">
        <v>126</v>
      </c>
      <c r="D219" t="s">
        <v>3</v>
      </c>
      <c r="E219" t="s">
        <v>79</v>
      </c>
      <c r="F219" t="str">
        <f>_xlfn.XLOOKUP(Cleaned_MLB_Stats_Dataset__1[[#This Row],[Position'#]],$B$373:$B$382,$A$373:$A$382)</f>
        <v>3B</v>
      </c>
      <c r="G219">
        <v>5</v>
      </c>
      <c r="H219">
        <v>445</v>
      </c>
      <c r="I219">
        <v>119</v>
      </c>
      <c r="J219">
        <v>16</v>
      </c>
      <c r="K219">
        <v>3</v>
      </c>
      <c r="L219">
        <v>43</v>
      </c>
      <c r="M219">
        <v>74</v>
      </c>
      <c r="N219">
        <v>96</v>
      </c>
      <c r="O219">
        <v>87</v>
      </c>
      <c r="P219">
        <v>33</v>
      </c>
      <c r="Q219">
        <v>7</v>
      </c>
      <c r="R219">
        <v>2</v>
      </c>
      <c r="S219">
        <v>3</v>
      </c>
      <c r="T219">
        <v>0</v>
      </c>
      <c r="U219" s="6">
        <f>Cleaned_MLB_Stats_Dataset__1[[#This Row],[Hits]]/Cleaned_MLB_Stats_Dataset__1[[#This Row],[At Bats]]</f>
        <v>0.26741573033707866</v>
      </c>
      <c r="V219" s="6">
        <f>Cleaned_MLB_Stats_Dataset__1[[#This Row],[Strikeouts]]/(Cleaned_MLB_Stats_Dataset__1[[#This Row],[At Bats]]+Cleaned_MLB_Stats_Dataset__1[[#This Row],[Walks]])</f>
        <v>0.18200836820083682</v>
      </c>
      <c r="W21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7.2916666666666671E-2</v>
      </c>
      <c r="X21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0.3188405797101449</v>
      </c>
      <c r="Y21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0.6067415730337079</v>
      </c>
      <c r="Z219" s="6">
        <f>Cleaned_MLB_Stats_Dataset__1[[#This Row],[On Base Percentage]]+Cleaned_MLB_Stats_Dataset__1[[#This Row],[Slugging %]]</f>
        <v>0.9255821527438528</v>
      </c>
      <c r="AA219" s="6">
        <f>Cleaned_MLB_Stats_Dataset__1[[#This Row],[Slugging %]]-Cleaned_MLB_Stats_Dataset__1[[#This Row],[Batting Average]]</f>
        <v>0.33932584269662924</v>
      </c>
      <c r="AB219" s="6">
        <f>Cleaned_MLB_Stats_Dataset__1[[#This Row],[Batting Average]]-_xlfn.XLOOKUP(Cleaned_MLB_Stats_Dataset__1[[#This Row],[Year]],'League Averages'!$A$3:$A$23,'League Averages'!$B$3:$B$23)</f>
        <v>-2.5842696629213568E-3</v>
      </c>
      <c r="AC219" s="6">
        <f>Cleaned_MLB_Stats_Dataset__1[[#This Row],[On Base Percentage]]-_xlfn.XLOOKUP(Cleaned_MLB_Stats_Dataset__1[[#This Row],[Year]],'League Averages'!$A$3:$A$23,'League Averages'!$C$3:$C$23)</f>
        <v>-2.0159420289855123E-2</v>
      </c>
      <c r="AD219" s="6">
        <f>Cleaned_MLB_Stats_Dataset__1[[#This Row],[Slugging %]]-_xlfn.XLOOKUP(Cleaned_MLB_Stats_Dataset__1[[#This Row],[Year]],'League Averages'!$A$3:$A$23,'League Averages'!$D$3:$D$23)</f>
        <v>0.18274157303370792</v>
      </c>
      <c r="AE219" s="6">
        <f>Cleaned_MLB_Stats_Dataset__1[[#This Row],[OPS (On Base + Slugging)]]-_xlfn.XLOOKUP(Cleaned_MLB_Stats_Dataset__1[[#This Row],[Year]],'League Averages'!$A$3:$A$23,'League Averages'!$E$3:$E$23)</f>
        <v>0.16258215274385279</v>
      </c>
      <c r="AF219" s="6">
        <f>Cleaned_MLB_Stats_Dataset__1[[#This Row],[ISO (Isolated Power]]-_xlfn.XLOOKUP(Cleaned_MLB_Stats_Dataset__1[[#This Row],[Year]],'League Averages'!$A$3:$A$23,'League Averages'!$F$3:$F$23)</f>
        <v>0.18532584269662924</v>
      </c>
    </row>
    <row r="220" spans="1:32" x14ac:dyDescent="0.2">
      <c r="A220" t="s">
        <v>309</v>
      </c>
      <c r="B220">
        <v>1999</v>
      </c>
      <c r="C220" t="s">
        <v>152</v>
      </c>
      <c r="D220" t="s">
        <v>3</v>
      </c>
      <c r="E220" t="s">
        <v>82</v>
      </c>
      <c r="F220" t="str">
        <f>_xlfn.XLOOKUP(Cleaned_MLB_Stats_Dataset__1[[#This Row],[Position'#]],$B$373:$B$382,$A$373:$A$382)</f>
        <v>DH</v>
      </c>
      <c r="G220">
        <v>10</v>
      </c>
      <c r="H220">
        <v>562</v>
      </c>
      <c r="I220">
        <v>171</v>
      </c>
      <c r="J220">
        <v>35</v>
      </c>
      <c r="K220">
        <v>0</v>
      </c>
      <c r="L220">
        <v>42</v>
      </c>
      <c r="M220">
        <v>143</v>
      </c>
      <c r="N220">
        <v>126</v>
      </c>
      <c r="O220">
        <v>127</v>
      </c>
      <c r="P220">
        <v>149</v>
      </c>
      <c r="Q220">
        <v>16</v>
      </c>
      <c r="R220">
        <v>11</v>
      </c>
      <c r="S220">
        <v>7</v>
      </c>
      <c r="T220">
        <v>0</v>
      </c>
      <c r="U220" s="6">
        <f>Cleaned_MLB_Stats_Dataset__1[[#This Row],[Hits]]/Cleaned_MLB_Stats_Dataset__1[[#This Row],[At Bats]]</f>
        <v>0.30427046263345198</v>
      </c>
      <c r="V220" s="6">
        <f>Cleaned_MLB_Stats_Dataset__1[[#This Row],[Strikeouts]]/(Cleaned_MLB_Stats_Dataset__1[[#This Row],[At Bats]]+Cleaned_MLB_Stats_Dataset__1[[#This Row],[Walks]])</f>
        <v>0.17862165963431786</v>
      </c>
      <c r="W22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0.22160664819944598</v>
      </c>
      <c r="X22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0.45404663923182442</v>
      </c>
      <c r="Y22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0.59074733096085408</v>
      </c>
      <c r="Z220" s="6">
        <f>Cleaned_MLB_Stats_Dataset__1[[#This Row],[On Base Percentage]]+Cleaned_MLB_Stats_Dataset__1[[#This Row],[Slugging %]]</f>
        <v>1.0447939701926785</v>
      </c>
      <c r="AA220" s="6">
        <f>Cleaned_MLB_Stats_Dataset__1[[#This Row],[Slugging %]]-Cleaned_MLB_Stats_Dataset__1[[#This Row],[Batting Average]]</f>
        <v>0.2864768683274021</v>
      </c>
      <c r="AB220" s="6">
        <f>Cleaned_MLB_Stats_Dataset__1[[#This Row],[Batting Average]]-_xlfn.XLOOKUP(Cleaned_MLB_Stats_Dataset__1[[#This Row],[Year]],'League Averages'!$A$3:$A$23,'League Averages'!$B$3:$B$23)</f>
        <v>3.3270462633451958E-2</v>
      </c>
      <c r="AC220" s="6">
        <f>Cleaned_MLB_Stats_Dataset__1[[#This Row],[On Base Percentage]]-_xlfn.XLOOKUP(Cleaned_MLB_Stats_Dataset__1[[#This Row],[Year]],'League Averages'!$A$3:$A$23,'League Averages'!$C$3:$C$23)</f>
        <v>0.10904663923182445</v>
      </c>
      <c r="AD220" s="6">
        <f>Cleaned_MLB_Stats_Dataset__1[[#This Row],[Slugging %]]-_xlfn.XLOOKUP(Cleaned_MLB_Stats_Dataset__1[[#This Row],[Year]],'League Averages'!$A$3:$A$23,'League Averages'!$D$3:$D$23)</f>
        <v>0.15674733096085408</v>
      </c>
      <c r="AE220" s="6">
        <f>Cleaned_MLB_Stats_Dataset__1[[#This Row],[OPS (On Base + Slugging)]]-_xlfn.XLOOKUP(Cleaned_MLB_Stats_Dataset__1[[#This Row],[Year]],'League Averages'!$A$3:$A$23,'League Averages'!$E$3:$E$23)</f>
        <v>0.26679397019267848</v>
      </c>
      <c r="AF220" s="6">
        <f>Cleaned_MLB_Stats_Dataset__1[[#This Row],[ISO (Isolated Power]]-_xlfn.XLOOKUP(Cleaned_MLB_Stats_Dataset__1[[#This Row],[Year]],'League Averages'!$A$3:$A$23,'League Averages'!$F$3:$F$23)</f>
        <v>0.1234768683274021</v>
      </c>
    </row>
    <row r="221" spans="1:32" x14ac:dyDescent="0.2">
      <c r="A221" t="s">
        <v>309</v>
      </c>
      <c r="B221">
        <v>2001</v>
      </c>
      <c r="C221" t="s">
        <v>144</v>
      </c>
      <c r="D221" t="s">
        <v>3</v>
      </c>
      <c r="E221" t="s">
        <v>164</v>
      </c>
      <c r="F221" t="str">
        <f>_xlfn.XLOOKUP(Cleaned_MLB_Stats_Dataset__1[[#This Row],[Position'#]],$B$373:$B$382,$A$373:$A$382)</f>
        <v>DH</v>
      </c>
      <c r="G221">
        <v>10</v>
      </c>
      <c r="H221">
        <v>497</v>
      </c>
      <c r="I221">
        <v>174</v>
      </c>
      <c r="J221">
        <v>35</v>
      </c>
      <c r="K221">
        <v>3</v>
      </c>
      <c r="L221">
        <v>38</v>
      </c>
      <c r="M221">
        <v>107</v>
      </c>
      <c r="N221">
        <v>123</v>
      </c>
      <c r="O221">
        <v>103</v>
      </c>
      <c r="P221">
        <v>82</v>
      </c>
      <c r="Q221">
        <v>6</v>
      </c>
      <c r="R221">
        <v>14</v>
      </c>
      <c r="S221">
        <v>8</v>
      </c>
      <c r="T221">
        <v>0</v>
      </c>
      <c r="U221" s="6">
        <f>Cleaned_MLB_Stats_Dataset__1[[#This Row],[Hits]]/Cleaned_MLB_Stats_Dataset__1[[#This Row],[At Bats]]</f>
        <v>0.3501006036217304</v>
      </c>
      <c r="V221" s="6">
        <f>Cleaned_MLB_Stats_Dataset__1[[#This Row],[Strikeouts]]/(Cleaned_MLB_Stats_Dataset__1[[#This Row],[At Bats]]+Cleaned_MLB_Stats_Dataset__1[[#This Row],[Walks]])</f>
        <v>0.17789291882556132</v>
      </c>
      <c r="W22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0.16188870151770657</v>
      </c>
      <c r="X22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0.4492512479201331</v>
      </c>
      <c r="Y22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0.6619718309859155</v>
      </c>
      <c r="Z221" s="6">
        <f>Cleaned_MLB_Stats_Dataset__1[[#This Row],[On Base Percentage]]+Cleaned_MLB_Stats_Dataset__1[[#This Row],[Slugging %]]</f>
        <v>1.1112230789060487</v>
      </c>
      <c r="AA221" s="6">
        <f>Cleaned_MLB_Stats_Dataset__1[[#This Row],[Slugging %]]-Cleaned_MLB_Stats_Dataset__1[[#This Row],[Batting Average]]</f>
        <v>0.3118712273641851</v>
      </c>
      <c r="AB221" s="6">
        <f>Cleaned_MLB_Stats_Dataset__1[[#This Row],[Batting Average]]-_xlfn.XLOOKUP(Cleaned_MLB_Stats_Dataset__1[[#This Row],[Year]],'League Averages'!$A$3:$A$23,'League Averages'!$B$3:$B$23)</f>
        <v>8.6100603621730387E-2</v>
      </c>
      <c r="AC221" s="6">
        <f>Cleaned_MLB_Stats_Dataset__1[[#This Row],[On Base Percentage]]-_xlfn.XLOOKUP(Cleaned_MLB_Stats_Dataset__1[[#This Row],[Year]],'League Averages'!$A$3:$A$23,'League Averages'!$C$3:$C$23)</f>
        <v>0.11725124792013308</v>
      </c>
      <c r="AD221" s="6">
        <f>Cleaned_MLB_Stats_Dataset__1[[#This Row],[Slugging %]]-_xlfn.XLOOKUP(Cleaned_MLB_Stats_Dataset__1[[#This Row],[Year]],'League Averages'!$A$3:$A$23,'League Averages'!$D$3:$D$23)</f>
        <v>0.23497183098591551</v>
      </c>
      <c r="AE221" s="6">
        <f>Cleaned_MLB_Stats_Dataset__1[[#This Row],[OPS (On Base + Slugging)]]-_xlfn.XLOOKUP(Cleaned_MLB_Stats_Dataset__1[[#This Row],[Year]],'League Averages'!$A$3:$A$23,'League Averages'!$E$3:$E$23)</f>
        <v>0.35222307890604865</v>
      </c>
      <c r="AF221" s="6">
        <f>Cleaned_MLB_Stats_Dataset__1[[#This Row],[ISO (Isolated Power]]-_xlfn.XLOOKUP(Cleaned_MLB_Stats_Dataset__1[[#This Row],[Year]],'League Averages'!$A$3:$A$23,'League Averages'!$F$3:$F$23)</f>
        <v>0.14887122736418509</v>
      </c>
    </row>
    <row r="222" spans="1:32" x14ac:dyDescent="0.2">
      <c r="A222" t="s">
        <v>309</v>
      </c>
      <c r="B222">
        <v>1993</v>
      </c>
      <c r="C222" t="s">
        <v>100</v>
      </c>
      <c r="D222" t="s">
        <v>3</v>
      </c>
      <c r="E222" t="s">
        <v>29</v>
      </c>
      <c r="F222" t="str">
        <f>_xlfn.XLOOKUP(Cleaned_MLB_Stats_Dataset__1[[#This Row],[Position'#]],$B$373:$B$382,$A$373:$A$382)</f>
        <v>C</v>
      </c>
      <c r="G222">
        <v>2</v>
      </c>
      <c r="H222">
        <v>510</v>
      </c>
      <c r="I222">
        <v>131</v>
      </c>
      <c r="J222">
        <v>35</v>
      </c>
      <c r="K222">
        <v>4</v>
      </c>
      <c r="L222">
        <v>24</v>
      </c>
      <c r="M222">
        <v>90</v>
      </c>
      <c r="N222">
        <v>105</v>
      </c>
      <c r="O222">
        <v>111</v>
      </c>
      <c r="P222">
        <v>117</v>
      </c>
      <c r="Q222">
        <v>12</v>
      </c>
      <c r="R222">
        <v>2</v>
      </c>
      <c r="S222">
        <v>8</v>
      </c>
      <c r="T222">
        <v>0</v>
      </c>
      <c r="U222" s="6">
        <f>Cleaned_MLB_Stats_Dataset__1[[#This Row],[Hits]]/Cleaned_MLB_Stats_Dataset__1[[#This Row],[At Bats]]</f>
        <v>0.25686274509803919</v>
      </c>
      <c r="V222" s="6">
        <f>Cleaned_MLB_Stats_Dataset__1[[#This Row],[Strikeouts]]/(Cleaned_MLB_Stats_Dataset__1[[#This Row],[At Bats]]+Cleaned_MLB_Stats_Dataset__1[[#This Row],[Walks]])</f>
        <v>0.17703349282296652</v>
      </c>
      <c r="W22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0.1891891891891892</v>
      </c>
      <c r="X22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0.39246467817896391</v>
      </c>
      <c r="Y22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0.4823529411764706</v>
      </c>
      <c r="Z222" s="6">
        <f>Cleaned_MLB_Stats_Dataset__1[[#This Row],[On Base Percentage]]+Cleaned_MLB_Stats_Dataset__1[[#This Row],[Slugging %]]</f>
        <v>0.87481761935543445</v>
      </c>
      <c r="AA222" s="6">
        <f>Cleaned_MLB_Stats_Dataset__1[[#This Row],[Slugging %]]-Cleaned_MLB_Stats_Dataset__1[[#This Row],[Batting Average]]</f>
        <v>0.2254901960784314</v>
      </c>
      <c r="AB222" s="6">
        <f>Cleaned_MLB_Stats_Dataset__1[[#This Row],[Batting Average]]-_xlfn.XLOOKUP(Cleaned_MLB_Stats_Dataset__1[[#This Row],[Year]],'League Averages'!$A$3:$A$23,'League Averages'!$B$3:$B$23)</f>
        <v>-8.137254901960822E-3</v>
      </c>
      <c r="AC222" s="6">
        <f>Cleaned_MLB_Stats_Dataset__1[[#This Row],[On Base Percentage]]-_xlfn.XLOOKUP(Cleaned_MLB_Stats_Dataset__1[[#This Row],[Year]],'League Averages'!$A$3:$A$23,'League Averages'!$C$3:$C$23)</f>
        <v>6.0464678178963893E-2</v>
      </c>
      <c r="AD222" s="6">
        <f>Cleaned_MLB_Stats_Dataset__1[[#This Row],[Slugging %]]-_xlfn.XLOOKUP(Cleaned_MLB_Stats_Dataset__1[[#This Row],[Year]],'League Averages'!$A$3:$A$23,'League Averages'!$D$3:$D$23)</f>
        <v>7.9352941176470571E-2</v>
      </c>
      <c r="AE222" s="6">
        <f>Cleaned_MLB_Stats_Dataset__1[[#This Row],[OPS (On Base + Slugging)]]-_xlfn.XLOOKUP(Cleaned_MLB_Stats_Dataset__1[[#This Row],[Year]],'League Averages'!$A$3:$A$23,'League Averages'!$E$3:$E$23)</f>
        <v>0.13881761935543446</v>
      </c>
      <c r="AF222" s="6">
        <f>Cleaned_MLB_Stats_Dataset__1[[#This Row],[ISO (Isolated Power]]-_xlfn.XLOOKUP(Cleaned_MLB_Stats_Dataset__1[[#This Row],[Year]],'League Averages'!$A$3:$A$23,'League Averages'!$F$3:$F$23)</f>
        <v>8.7490196078431393E-2</v>
      </c>
    </row>
    <row r="223" spans="1:32" x14ac:dyDescent="0.2">
      <c r="A223" t="s">
        <v>309</v>
      </c>
      <c r="B223">
        <v>1997</v>
      </c>
      <c r="C223" t="s">
        <v>138</v>
      </c>
      <c r="D223" t="s">
        <v>6</v>
      </c>
      <c r="E223" t="s">
        <v>91</v>
      </c>
      <c r="F223" t="str">
        <f>_xlfn.XLOOKUP(Cleaned_MLB_Stats_Dataset__1[[#This Row],[Position'#]],$B$373:$B$382,$A$373:$A$382)</f>
        <v>CF</v>
      </c>
      <c r="G223">
        <v>8</v>
      </c>
      <c r="H223">
        <v>608</v>
      </c>
      <c r="I223">
        <v>185</v>
      </c>
      <c r="J223">
        <v>34</v>
      </c>
      <c r="K223">
        <v>3</v>
      </c>
      <c r="L223">
        <v>56</v>
      </c>
      <c r="M223">
        <v>125</v>
      </c>
      <c r="N223">
        <v>147</v>
      </c>
      <c r="O223">
        <v>121</v>
      </c>
      <c r="P223">
        <v>76</v>
      </c>
      <c r="Q223">
        <v>23</v>
      </c>
      <c r="R223">
        <v>8</v>
      </c>
      <c r="S223">
        <v>12</v>
      </c>
      <c r="T223">
        <v>0</v>
      </c>
      <c r="U223" s="6">
        <f>Cleaned_MLB_Stats_Dataset__1[[#This Row],[Hits]]/Cleaned_MLB_Stats_Dataset__1[[#This Row],[At Bats]]</f>
        <v>0.30427631578947367</v>
      </c>
      <c r="V223" s="6">
        <f>Cleaned_MLB_Stats_Dataset__1[[#This Row],[Strikeouts]]/(Cleaned_MLB_Stats_Dataset__1[[#This Row],[At Bats]]+Cleaned_MLB_Stats_Dataset__1[[#This Row],[Walks]])</f>
        <v>0.17690058479532164</v>
      </c>
      <c r="W22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0.12138728323699421</v>
      </c>
      <c r="X22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0.38210227272727271</v>
      </c>
      <c r="Y22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0.64638157894736847</v>
      </c>
      <c r="Z223" s="6">
        <f>Cleaned_MLB_Stats_Dataset__1[[#This Row],[On Base Percentage]]+Cleaned_MLB_Stats_Dataset__1[[#This Row],[Slugging %]]</f>
        <v>1.0284838516746411</v>
      </c>
      <c r="AA223" s="6">
        <f>Cleaned_MLB_Stats_Dataset__1[[#This Row],[Slugging %]]-Cleaned_MLB_Stats_Dataset__1[[#This Row],[Batting Average]]</f>
        <v>0.3421052631578948</v>
      </c>
      <c r="AB223" s="6">
        <f>Cleaned_MLB_Stats_Dataset__1[[#This Row],[Batting Average]]-_xlfn.XLOOKUP(Cleaned_MLB_Stats_Dataset__1[[#This Row],[Year]],'League Averages'!$A$3:$A$23,'League Averages'!$B$3:$B$23)</f>
        <v>3.7276315789473657E-2</v>
      </c>
      <c r="AC223" s="6">
        <f>Cleaned_MLB_Stats_Dataset__1[[#This Row],[On Base Percentage]]-_xlfn.XLOOKUP(Cleaned_MLB_Stats_Dataset__1[[#This Row],[Year]],'League Averages'!$A$3:$A$23,'League Averages'!$C$3:$C$23)</f>
        <v>4.5102272727272685E-2</v>
      </c>
      <c r="AD223" s="6">
        <f>Cleaned_MLB_Stats_Dataset__1[[#This Row],[Slugging %]]-_xlfn.XLOOKUP(Cleaned_MLB_Stats_Dataset__1[[#This Row],[Year]],'League Averages'!$A$3:$A$23,'League Averages'!$D$3:$D$23)</f>
        <v>0.22738157894736849</v>
      </c>
      <c r="AE223" s="6">
        <f>Cleaned_MLB_Stats_Dataset__1[[#This Row],[OPS (On Base + Slugging)]]-_xlfn.XLOOKUP(Cleaned_MLB_Stats_Dataset__1[[#This Row],[Year]],'League Averages'!$A$3:$A$23,'League Averages'!$E$3:$E$23)</f>
        <v>0.27248385167464106</v>
      </c>
      <c r="AF223" s="6">
        <f>Cleaned_MLB_Stats_Dataset__1[[#This Row],[ISO (Isolated Power]]-_xlfn.XLOOKUP(Cleaned_MLB_Stats_Dataset__1[[#This Row],[Year]],'League Averages'!$A$3:$A$23,'League Averages'!$F$3:$F$23)</f>
        <v>0.1901052631578948</v>
      </c>
    </row>
    <row r="224" spans="1:32" x14ac:dyDescent="0.2">
      <c r="A224" t="s">
        <v>309</v>
      </c>
      <c r="B224">
        <v>1997</v>
      </c>
      <c r="C224" t="s">
        <v>152</v>
      </c>
      <c r="D224" t="s">
        <v>3</v>
      </c>
      <c r="E224" t="s">
        <v>82</v>
      </c>
      <c r="F224" t="str">
        <f>_xlfn.XLOOKUP(Cleaned_MLB_Stats_Dataset__1[[#This Row],[Position'#]],$B$373:$B$382,$A$373:$A$382)</f>
        <v>1B</v>
      </c>
      <c r="G224">
        <v>3</v>
      </c>
      <c r="H224">
        <v>566</v>
      </c>
      <c r="I224">
        <v>162</v>
      </c>
      <c r="J224">
        <v>40</v>
      </c>
      <c r="K224">
        <v>2</v>
      </c>
      <c r="L224">
        <v>43</v>
      </c>
      <c r="M224">
        <v>109</v>
      </c>
      <c r="N224">
        <v>135</v>
      </c>
      <c r="O224">
        <v>122</v>
      </c>
      <c r="P224">
        <v>127</v>
      </c>
      <c r="Q224">
        <v>27</v>
      </c>
      <c r="R224">
        <v>16</v>
      </c>
      <c r="S224">
        <v>8</v>
      </c>
      <c r="T224">
        <v>0</v>
      </c>
      <c r="U224" s="6">
        <f>Cleaned_MLB_Stats_Dataset__1[[#This Row],[Hits]]/Cleaned_MLB_Stats_Dataset__1[[#This Row],[At Bats]]</f>
        <v>0.28621908127208479</v>
      </c>
      <c r="V224" s="6">
        <f>Cleaned_MLB_Stats_Dataset__1[[#This Row],[Strikeouts]]/(Cleaned_MLB_Stats_Dataset__1[[#This Row],[At Bats]]+Cleaned_MLB_Stats_Dataset__1[[#This Row],[Walks]])</f>
        <v>0.17604617604617603</v>
      </c>
      <c r="W22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0.20169252468265161</v>
      </c>
      <c r="X22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0.42538354253835425</v>
      </c>
      <c r="Y22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0.59187279151943462</v>
      </c>
      <c r="Z224" s="6">
        <f>Cleaned_MLB_Stats_Dataset__1[[#This Row],[On Base Percentage]]+Cleaned_MLB_Stats_Dataset__1[[#This Row],[Slugging %]]</f>
        <v>1.0172563340577889</v>
      </c>
      <c r="AA224" s="6">
        <f>Cleaned_MLB_Stats_Dataset__1[[#This Row],[Slugging %]]-Cleaned_MLB_Stats_Dataset__1[[#This Row],[Batting Average]]</f>
        <v>0.30565371024734983</v>
      </c>
      <c r="AB224" s="6">
        <f>Cleaned_MLB_Stats_Dataset__1[[#This Row],[Batting Average]]-_xlfn.XLOOKUP(Cleaned_MLB_Stats_Dataset__1[[#This Row],[Year]],'League Averages'!$A$3:$A$23,'League Averages'!$B$3:$B$23)</f>
        <v>1.921908127208477E-2</v>
      </c>
      <c r="AC224" s="6">
        <f>Cleaned_MLB_Stats_Dataset__1[[#This Row],[On Base Percentage]]-_xlfn.XLOOKUP(Cleaned_MLB_Stats_Dataset__1[[#This Row],[Year]],'League Averages'!$A$3:$A$23,'League Averages'!$C$3:$C$23)</f>
        <v>8.8383542538354232E-2</v>
      </c>
      <c r="AD224" s="6">
        <f>Cleaned_MLB_Stats_Dataset__1[[#This Row],[Slugging %]]-_xlfn.XLOOKUP(Cleaned_MLB_Stats_Dataset__1[[#This Row],[Year]],'League Averages'!$A$3:$A$23,'League Averages'!$D$3:$D$23)</f>
        <v>0.17287279151943463</v>
      </c>
      <c r="AE224" s="6">
        <f>Cleaned_MLB_Stats_Dataset__1[[#This Row],[OPS (On Base + Slugging)]]-_xlfn.XLOOKUP(Cleaned_MLB_Stats_Dataset__1[[#This Row],[Year]],'League Averages'!$A$3:$A$23,'League Averages'!$E$3:$E$23)</f>
        <v>0.26125633405778892</v>
      </c>
      <c r="AF224" s="6">
        <f>Cleaned_MLB_Stats_Dataset__1[[#This Row],[ISO (Isolated Power]]-_xlfn.XLOOKUP(Cleaned_MLB_Stats_Dataset__1[[#This Row],[Year]],'League Averages'!$A$3:$A$23,'League Averages'!$F$3:$F$23)</f>
        <v>0.15365371024734983</v>
      </c>
    </row>
    <row r="225" spans="1:32" x14ac:dyDescent="0.2">
      <c r="A225" t="s">
        <v>309</v>
      </c>
      <c r="B225">
        <v>1993</v>
      </c>
      <c r="C225" t="s">
        <v>99</v>
      </c>
      <c r="D225" t="s">
        <v>6</v>
      </c>
      <c r="E225" t="s">
        <v>92</v>
      </c>
      <c r="F225" t="str">
        <f>_xlfn.XLOOKUP(Cleaned_MLB_Stats_Dataset__1[[#This Row],[Position'#]],$B$373:$B$382,$A$373:$A$382)</f>
        <v>RF</v>
      </c>
      <c r="G225">
        <v>9</v>
      </c>
      <c r="H225">
        <v>603</v>
      </c>
      <c r="I225">
        <v>153</v>
      </c>
      <c r="J225">
        <v>33</v>
      </c>
      <c r="K225">
        <v>5</v>
      </c>
      <c r="L225">
        <v>33</v>
      </c>
      <c r="M225">
        <v>92</v>
      </c>
      <c r="N225">
        <v>121</v>
      </c>
      <c r="O225">
        <v>113</v>
      </c>
      <c r="P225">
        <v>47</v>
      </c>
      <c r="Q225">
        <v>5</v>
      </c>
      <c r="R225">
        <v>9</v>
      </c>
      <c r="S225">
        <v>10</v>
      </c>
      <c r="T225">
        <v>0</v>
      </c>
      <c r="U225" s="6">
        <f>Cleaned_MLB_Stats_Dataset__1[[#This Row],[Hits]]/Cleaned_MLB_Stats_Dataset__1[[#This Row],[At Bats]]</f>
        <v>0.2537313432835821</v>
      </c>
      <c r="V225" s="6">
        <f>Cleaned_MLB_Stats_Dataset__1[[#This Row],[Strikeouts]]/(Cleaned_MLB_Stats_Dataset__1[[#This Row],[At Bats]]+Cleaned_MLB_Stats_Dataset__1[[#This Row],[Walks]])</f>
        <v>0.17384615384615384</v>
      </c>
      <c r="W22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8.4977238239757211E-2</v>
      </c>
      <c r="X22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0.31240657698056801</v>
      </c>
      <c r="Y22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0.48922056384742951</v>
      </c>
      <c r="Z225" s="6">
        <f>Cleaned_MLB_Stats_Dataset__1[[#This Row],[On Base Percentage]]+Cleaned_MLB_Stats_Dataset__1[[#This Row],[Slugging %]]</f>
        <v>0.80162714082799758</v>
      </c>
      <c r="AA225" s="6">
        <f>Cleaned_MLB_Stats_Dataset__1[[#This Row],[Slugging %]]-Cleaned_MLB_Stats_Dataset__1[[#This Row],[Batting Average]]</f>
        <v>0.23548922056384741</v>
      </c>
      <c r="AB225" s="6">
        <f>Cleaned_MLB_Stats_Dataset__1[[#This Row],[Batting Average]]-_xlfn.XLOOKUP(Cleaned_MLB_Stats_Dataset__1[[#This Row],[Year]],'League Averages'!$A$3:$A$23,'League Averages'!$B$3:$B$23)</f>
        <v>-1.1268656716417913E-2</v>
      </c>
      <c r="AC225" s="6">
        <f>Cleaned_MLB_Stats_Dataset__1[[#This Row],[On Base Percentage]]-_xlfn.XLOOKUP(Cleaned_MLB_Stats_Dataset__1[[#This Row],[Year]],'League Averages'!$A$3:$A$23,'League Averages'!$C$3:$C$23)</f>
        <v>-1.959342301943201E-2</v>
      </c>
      <c r="AD225" s="6">
        <f>Cleaned_MLB_Stats_Dataset__1[[#This Row],[Slugging %]]-_xlfn.XLOOKUP(Cleaned_MLB_Stats_Dataset__1[[#This Row],[Year]],'League Averages'!$A$3:$A$23,'League Averages'!$D$3:$D$23)</f>
        <v>8.6220563847429488E-2</v>
      </c>
      <c r="AE225" s="6">
        <f>Cleaned_MLB_Stats_Dataset__1[[#This Row],[OPS (On Base + Slugging)]]-_xlfn.XLOOKUP(Cleaned_MLB_Stats_Dataset__1[[#This Row],[Year]],'League Averages'!$A$3:$A$23,'League Averages'!$E$3:$E$23)</f>
        <v>6.5627140827997588E-2</v>
      </c>
      <c r="AF225" s="6">
        <f>Cleaned_MLB_Stats_Dataset__1[[#This Row],[ISO (Isolated Power]]-_xlfn.XLOOKUP(Cleaned_MLB_Stats_Dataset__1[[#This Row],[Year]],'League Averages'!$A$3:$A$23,'League Averages'!$F$3:$F$23)</f>
        <v>9.7489220563847401E-2</v>
      </c>
    </row>
    <row r="226" spans="1:32" x14ac:dyDescent="0.2">
      <c r="A226" t="s">
        <v>309</v>
      </c>
      <c r="B226">
        <v>2002</v>
      </c>
      <c r="C226" t="s">
        <v>173</v>
      </c>
      <c r="D226" t="s">
        <v>6</v>
      </c>
      <c r="E226" t="s">
        <v>90</v>
      </c>
      <c r="F226" t="str">
        <f>_xlfn.XLOOKUP(Cleaned_MLB_Stats_Dataset__1[[#This Row],[Position'#]],$B$373:$B$382,$A$373:$A$382)</f>
        <v>SS</v>
      </c>
      <c r="G226">
        <v>6</v>
      </c>
      <c r="H226">
        <v>624</v>
      </c>
      <c r="I226">
        <v>187</v>
      </c>
      <c r="J226">
        <v>27</v>
      </c>
      <c r="K226">
        <v>2</v>
      </c>
      <c r="L226">
        <v>57</v>
      </c>
      <c r="M226">
        <v>125</v>
      </c>
      <c r="N226">
        <v>142</v>
      </c>
      <c r="O226">
        <v>122</v>
      </c>
      <c r="P226">
        <v>87</v>
      </c>
      <c r="Q226">
        <v>12</v>
      </c>
      <c r="R226">
        <v>10</v>
      </c>
      <c r="S226">
        <v>4</v>
      </c>
      <c r="T226">
        <v>0</v>
      </c>
      <c r="U226" s="6">
        <f>Cleaned_MLB_Stats_Dataset__1[[#This Row],[Hits]]/Cleaned_MLB_Stats_Dataset__1[[#This Row],[At Bats]]</f>
        <v>0.29967948717948717</v>
      </c>
      <c r="V226" s="6">
        <f>Cleaned_MLB_Stats_Dataset__1[[#This Row],[Strikeouts]]/(Cleaned_MLB_Stats_Dataset__1[[#This Row],[At Bats]]+Cleaned_MLB_Stats_Dataset__1[[#This Row],[Walks]])</f>
        <v>0.17158931082981715</v>
      </c>
      <c r="W22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0.13453536754507628</v>
      </c>
      <c r="X22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0.3917241379310345</v>
      </c>
      <c r="Y22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0.6233974358974359</v>
      </c>
      <c r="Z226" s="6">
        <f>Cleaned_MLB_Stats_Dataset__1[[#This Row],[On Base Percentage]]+Cleaned_MLB_Stats_Dataset__1[[#This Row],[Slugging %]]</f>
        <v>1.0151215738284705</v>
      </c>
      <c r="AA226" s="6">
        <f>Cleaned_MLB_Stats_Dataset__1[[#This Row],[Slugging %]]-Cleaned_MLB_Stats_Dataset__1[[#This Row],[Batting Average]]</f>
        <v>0.32371794871794873</v>
      </c>
      <c r="AB226" s="6">
        <f>Cleaned_MLB_Stats_Dataset__1[[#This Row],[Batting Average]]-_xlfn.XLOOKUP(Cleaned_MLB_Stats_Dataset__1[[#This Row],[Year]],'League Averages'!$A$3:$A$23,'League Averages'!$B$3:$B$23)</f>
        <v>3.867948717948716E-2</v>
      </c>
      <c r="AC226" s="6">
        <f>Cleaned_MLB_Stats_Dataset__1[[#This Row],[On Base Percentage]]-_xlfn.XLOOKUP(Cleaned_MLB_Stats_Dataset__1[[#This Row],[Year]],'League Averages'!$A$3:$A$23,'League Averages'!$C$3:$C$23)</f>
        <v>6.0724137931034483E-2</v>
      </c>
      <c r="AD226" s="6">
        <f>Cleaned_MLB_Stats_Dataset__1[[#This Row],[Slugging %]]-_xlfn.XLOOKUP(Cleaned_MLB_Stats_Dataset__1[[#This Row],[Year]],'League Averages'!$A$3:$A$23,'League Averages'!$D$3:$D$23)</f>
        <v>0.20639743589743592</v>
      </c>
      <c r="AE226" s="6">
        <f>Cleaned_MLB_Stats_Dataset__1[[#This Row],[OPS (On Base + Slugging)]]-_xlfn.XLOOKUP(Cleaned_MLB_Stats_Dataset__1[[#This Row],[Year]],'League Averages'!$A$3:$A$23,'League Averages'!$E$3:$E$23)</f>
        <v>0.26712157382847046</v>
      </c>
      <c r="AF226" s="6">
        <f>Cleaned_MLB_Stats_Dataset__1[[#This Row],[ISO (Isolated Power]]-_xlfn.XLOOKUP(Cleaned_MLB_Stats_Dataset__1[[#This Row],[Year]],'League Averages'!$A$3:$A$23,'League Averages'!$F$3:$F$23)</f>
        <v>0.16771794871794873</v>
      </c>
    </row>
    <row r="227" spans="1:32" x14ac:dyDescent="0.2">
      <c r="A227" t="s">
        <v>309</v>
      </c>
      <c r="B227">
        <v>2000</v>
      </c>
      <c r="C227" t="s">
        <v>146</v>
      </c>
      <c r="D227" t="s">
        <v>6</v>
      </c>
      <c r="E227" t="s">
        <v>66</v>
      </c>
      <c r="F227" t="str">
        <f>_xlfn.XLOOKUP(Cleaned_MLB_Stats_Dataset__1[[#This Row],[Position'#]],$B$373:$B$382,$A$373:$A$382)</f>
        <v>3B</v>
      </c>
      <c r="G227">
        <v>5</v>
      </c>
      <c r="H227">
        <v>574</v>
      </c>
      <c r="I227">
        <v>184</v>
      </c>
      <c r="J227">
        <v>38</v>
      </c>
      <c r="K227">
        <v>4</v>
      </c>
      <c r="L227">
        <v>22</v>
      </c>
      <c r="M227">
        <v>93</v>
      </c>
      <c r="N227">
        <v>106</v>
      </c>
      <c r="O227">
        <v>111</v>
      </c>
      <c r="P227">
        <v>73</v>
      </c>
      <c r="Q227">
        <v>2</v>
      </c>
      <c r="R227">
        <v>1</v>
      </c>
      <c r="S227">
        <v>10</v>
      </c>
      <c r="T227">
        <v>0</v>
      </c>
      <c r="U227" s="6">
        <f>Cleaned_MLB_Stats_Dataset__1[[#This Row],[Hits]]/Cleaned_MLB_Stats_Dataset__1[[#This Row],[At Bats]]</f>
        <v>0.32055749128919858</v>
      </c>
      <c r="V227" s="6">
        <f>Cleaned_MLB_Stats_Dataset__1[[#This Row],[Strikeouts]]/(Cleaned_MLB_Stats_Dataset__1[[#This Row],[At Bats]]+Cleaned_MLB_Stats_Dataset__1[[#This Row],[Walks]])</f>
        <v>0.17156105100463678</v>
      </c>
      <c r="W22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0.11419753086419752</v>
      </c>
      <c r="X22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0.39209726443769</v>
      </c>
      <c r="Y22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0.51567944250871078</v>
      </c>
      <c r="Z227" s="6">
        <f>Cleaned_MLB_Stats_Dataset__1[[#This Row],[On Base Percentage]]+Cleaned_MLB_Stats_Dataset__1[[#This Row],[Slugging %]]</f>
        <v>0.90777670694640078</v>
      </c>
      <c r="AA227" s="6">
        <f>Cleaned_MLB_Stats_Dataset__1[[#This Row],[Slugging %]]-Cleaned_MLB_Stats_Dataset__1[[#This Row],[Batting Average]]</f>
        <v>0.1951219512195122</v>
      </c>
      <c r="AB227" s="6">
        <f>Cleaned_MLB_Stats_Dataset__1[[#This Row],[Batting Average]]-_xlfn.XLOOKUP(Cleaned_MLB_Stats_Dataset__1[[#This Row],[Year]],'League Averages'!$A$3:$A$23,'League Averages'!$B$3:$B$23)</f>
        <v>5.0557491289198564E-2</v>
      </c>
      <c r="AC227" s="6">
        <f>Cleaned_MLB_Stats_Dataset__1[[#This Row],[On Base Percentage]]-_xlfn.XLOOKUP(Cleaned_MLB_Stats_Dataset__1[[#This Row],[Year]],'League Averages'!$A$3:$A$23,'League Averages'!$C$3:$C$23)</f>
        <v>4.7097264437690023E-2</v>
      </c>
      <c r="AD227" s="6">
        <f>Cleaned_MLB_Stats_Dataset__1[[#This Row],[Slugging %]]-_xlfn.XLOOKUP(Cleaned_MLB_Stats_Dataset__1[[#This Row],[Year]],'League Averages'!$A$3:$A$23,'League Averages'!$D$3:$D$23)</f>
        <v>7.8679442508710784E-2</v>
      </c>
      <c r="AE227" s="6">
        <f>Cleaned_MLB_Stats_Dataset__1[[#This Row],[OPS (On Base + Slugging)]]-_xlfn.XLOOKUP(Cleaned_MLB_Stats_Dataset__1[[#This Row],[Year]],'League Averages'!$A$3:$A$23,'League Averages'!$E$3:$E$23)</f>
        <v>0.12577670694640075</v>
      </c>
      <c r="AF227" s="6">
        <f>Cleaned_MLB_Stats_Dataset__1[[#This Row],[ISO (Isolated Power]]-_xlfn.XLOOKUP(Cleaned_MLB_Stats_Dataset__1[[#This Row],[Year]],'League Averages'!$A$3:$A$23,'League Averages'!$F$3:$F$23)</f>
        <v>2.8121951219512192E-2</v>
      </c>
    </row>
    <row r="228" spans="1:32" x14ac:dyDescent="0.2">
      <c r="A228" t="s">
        <v>309</v>
      </c>
      <c r="B228">
        <v>1997</v>
      </c>
      <c r="C228" t="s">
        <v>118</v>
      </c>
      <c r="D228" t="s">
        <v>3</v>
      </c>
      <c r="E228" t="s">
        <v>85</v>
      </c>
      <c r="F228" t="str">
        <f>_xlfn.XLOOKUP(Cleaned_MLB_Stats_Dataset__1[[#This Row],[Position'#]],$B$373:$B$382,$A$373:$A$382)</f>
        <v>SS</v>
      </c>
      <c r="G228">
        <v>6</v>
      </c>
      <c r="H228">
        <v>519</v>
      </c>
      <c r="I228">
        <v>160</v>
      </c>
      <c r="J228">
        <v>31</v>
      </c>
      <c r="K228">
        <v>4</v>
      </c>
      <c r="L228">
        <v>17</v>
      </c>
      <c r="M228">
        <v>90</v>
      </c>
      <c r="N228">
        <v>70</v>
      </c>
      <c r="O228">
        <v>101</v>
      </c>
      <c r="P228">
        <v>70</v>
      </c>
      <c r="Q228">
        <v>6</v>
      </c>
      <c r="R228">
        <v>20</v>
      </c>
      <c r="S228">
        <v>9</v>
      </c>
      <c r="T228">
        <v>5</v>
      </c>
      <c r="U228" s="6">
        <f>Cleaned_MLB_Stats_Dataset__1[[#This Row],[Hits]]/Cleaned_MLB_Stats_Dataset__1[[#This Row],[At Bats]]</f>
        <v>0.30828516377649323</v>
      </c>
      <c r="V228" s="6">
        <f>Cleaned_MLB_Stats_Dataset__1[[#This Row],[Strikeouts]]/(Cleaned_MLB_Stats_Dataset__1[[#This Row],[At Bats]]+Cleaned_MLB_Stats_Dataset__1[[#This Row],[Walks]])</f>
        <v>0.17147707979626486</v>
      </c>
      <c r="W22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0.14778325123152711</v>
      </c>
      <c r="X22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0.4045307443365696</v>
      </c>
      <c r="Y22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0.48169556840077071</v>
      </c>
      <c r="Z228" s="6">
        <f>Cleaned_MLB_Stats_Dataset__1[[#This Row],[On Base Percentage]]+Cleaned_MLB_Stats_Dataset__1[[#This Row],[Slugging %]]</f>
        <v>0.88622631273734032</v>
      </c>
      <c r="AA228" s="6">
        <f>Cleaned_MLB_Stats_Dataset__1[[#This Row],[Slugging %]]-Cleaned_MLB_Stats_Dataset__1[[#This Row],[Batting Average]]</f>
        <v>0.17341040462427748</v>
      </c>
      <c r="AB228" s="6">
        <f>Cleaned_MLB_Stats_Dataset__1[[#This Row],[Batting Average]]-_xlfn.XLOOKUP(Cleaned_MLB_Stats_Dataset__1[[#This Row],[Year]],'League Averages'!$A$3:$A$23,'League Averages'!$B$3:$B$23)</f>
        <v>4.1285163776493217E-2</v>
      </c>
      <c r="AC228" s="6">
        <f>Cleaned_MLB_Stats_Dataset__1[[#This Row],[On Base Percentage]]-_xlfn.XLOOKUP(Cleaned_MLB_Stats_Dataset__1[[#This Row],[Year]],'League Averages'!$A$3:$A$23,'League Averages'!$C$3:$C$23)</f>
        <v>6.7530744336569581E-2</v>
      </c>
      <c r="AD228" s="6">
        <f>Cleaned_MLB_Stats_Dataset__1[[#This Row],[Slugging %]]-_xlfn.XLOOKUP(Cleaned_MLB_Stats_Dataset__1[[#This Row],[Year]],'League Averages'!$A$3:$A$23,'League Averages'!$D$3:$D$23)</f>
        <v>6.2695568400770729E-2</v>
      </c>
      <c r="AE228" s="6">
        <f>Cleaned_MLB_Stats_Dataset__1[[#This Row],[OPS (On Base + Slugging)]]-_xlfn.XLOOKUP(Cleaned_MLB_Stats_Dataset__1[[#This Row],[Year]],'League Averages'!$A$3:$A$23,'League Averages'!$E$3:$E$23)</f>
        <v>0.13022631273734031</v>
      </c>
      <c r="AF228" s="6">
        <f>Cleaned_MLB_Stats_Dataset__1[[#This Row],[ISO (Isolated Power]]-_xlfn.XLOOKUP(Cleaned_MLB_Stats_Dataset__1[[#This Row],[Year]],'League Averages'!$A$3:$A$23,'League Averages'!$F$3:$F$23)</f>
        <v>2.1410404624277485E-2</v>
      </c>
    </row>
    <row r="229" spans="1:32" x14ac:dyDescent="0.2">
      <c r="A229" t="s">
        <v>309</v>
      </c>
      <c r="B229">
        <v>1998</v>
      </c>
      <c r="C229" t="s">
        <v>138</v>
      </c>
      <c r="D229" t="s">
        <v>6</v>
      </c>
      <c r="E229" t="s">
        <v>91</v>
      </c>
      <c r="F229" t="str">
        <f>_xlfn.XLOOKUP(Cleaned_MLB_Stats_Dataset__1[[#This Row],[Position'#]],$B$373:$B$382,$A$373:$A$382)</f>
        <v>CF</v>
      </c>
      <c r="G229">
        <v>8</v>
      </c>
      <c r="H229">
        <v>633</v>
      </c>
      <c r="I229">
        <v>180</v>
      </c>
      <c r="J229">
        <v>33</v>
      </c>
      <c r="K229">
        <v>3</v>
      </c>
      <c r="L229">
        <v>56</v>
      </c>
      <c r="M229">
        <v>120</v>
      </c>
      <c r="N229">
        <v>146</v>
      </c>
      <c r="O229">
        <v>121</v>
      </c>
      <c r="P229">
        <v>76</v>
      </c>
      <c r="Q229">
        <v>11</v>
      </c>
      <c r="R229">
        <v>7</v>
      </c>
      <c r="S229">
        <v>4</v>
      </c>
      <c r="T229">
        <v>0</v>
      </c>
      <c r="U229" s="6">
        <f>Cleaned_MLB_Stats_Dataset__1[[#This Row],[Hits]]/Cleaned_MLB_Stats_Dataset__1[[#This Row],[At Bats]]</f>
        <v>0.28436018957345971</v>
      </c>
      <c r="V229" s="6">
        <f>Cleaned_MLB_Stats_Dataset__1[[#This Row],[Strikeouts]]/(Cleaned_MLB_Stats_Dataset__1[[#This Row],[At Bats]]+Cleaned_MLB_Stats_Dataset__1[[#This Row],[Walks]])</f>
        <v>0.17066290550070523</v>
      </c>
      <c r="W22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0.11592178770949721</v>
      </c>
      <c r="X22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0.36527777777777776</v>
      </c>
      <c r="Y22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0.61137440758293837</v>
      </c>
      <c r="Z229" s="6">
        <f>Cleaned_MLB_Stats_Dataset__1[[#This Row],[On Base Percentage]]+Cleaned_MLB_Stats_Dataset__1[[#This Row],[Slugging %]]</f>
        <v>0.97665218536071619</v>
      </c>
      <c r="AA229" s="6">
        <f>Cleaned_MLB_Stats_Dataset__1[[#This Row],[Slugging %]]-Cleaned_MLB_Stats_Dataset__1[[#This Row],[Batting Average]]</f>
        <v>0.32701421800947866</v>
      </c>
      <c r="AB229" s="6">
        <f>Cleaned_MLB_Stats_Dataset__1[[#This Row],[Batting Average]]-_xlfn.XLOOKUP(Cleaned_MLB_Stats_Dataset__1[[#This Row],[Year]],'League Averages'!$A$3:$A$23,'League Averages'!$B$3:$B$23)</f>
        <v>1.8360189573459695E-2</v>
      </c>
      <c r="AC229" s="6">
        <f>Cleaned_MLB_Stats_Dataset__1[[#This Row],[On Base Percentage]]-_xlfn.XLOOKUP(Cleaned_MLB_Stats_Dataset__1[[#This Row],[Year]],'League Averages'!$A$3:$A$23,'League Averages'!$C$3:$C$23)</f>
        <v>3.0277777777777737E-2</v>
      </c>
      <c r="AD229" s="6">
        <f>Cleaned_MLB_Stats_Dataset__1[[#This Row],[Slugging %]]-_xlfn.XLOOKUP(Cleaned_MLB_Stats_Dataset__1[[#This Row],[Year]],'League Averages'!$A$3:$A$23,'League Averages'!$D$3:$D$23)</f>
        <v>0.19137440758293839</v>
      </c>
      <c r="AE229" s="6">
        <f>Cleaned_MLB_Stats_Dataset__1[[#This Row],[OPS (On Base + Slugging)]]-_xlfn.XLOOKUP(Cleaned_MLB_Stats_Dataset__1[[#This Row],[Year]],'League Averages'!$A$3:$A$23,'League Averages'!$E$3:$E$23)</f>
        <v>0.22165218536071618</v>
      </c>
      <c r="AF229" s="6">
        <f>Cleaned_MLB_Stats_Dataset__1[[#This Row],[ISO (Isolated Power]]-_xlfn.XLOOKUP(Cleaned_MLB_Stats_Dataset__1[[#This Row],[Year]],'League Averages'!$A$3:$A$23,'League Averages'!$F$3:$F$23)</f>
        <v>0.17301421800947867</v>
      </c>
    </row>
    <row r="230" spans="1:32" x14ac:dyDescent="0.2">
      <c r="A230" t="s">
        <v>309</v>
      </c>
      <c r="B230">
        <v>1996</v>
      </c>
      <c r="C230" t="s">
        <v>114</v>
      </c>
      <c r="D230" t="s">
        <v>3</v>
      </c>
      <c r="E230" t="s">
        <v>85</v>
      </c>
      <c r="F230" t="str">
        <f>_xlfn.XLOOKUP(Cleaned_MLB_Stats_Dataset__1[[#This Row],[Position'#]],$B$373:$B$382,$A$373:$A$382)</f>
        <v>1B</v>
      </c>
      <c r="G230">
        <v>3</v>
      </c>
      <c r="H230">
        <v>617</v>
      </c>
      <c r="I230">
        <v>182</v>
      </c>
      <c r="J230">
        <v>37</v>
      </c>
      <c r="K230">
        <v>1</v>
      </c>
      <c r="L230">
        <v>28</v>
      </c>
      <c r="M230">
        <v>81</v>
      </c>
      <c r="N230">
        <v>107</v>
      </c>
      <c r="O230">
        <v>116</v>
      </c>
      <c r="P230">
        <v>68</v>
      </c>
      <c r="Q230">
        <v>12</v>
      </c>
      <c r="R230">
        <v>2</v>
      </c>
      <c r="S230">
        <v>4</v>
      </c>
      <c r="T230">
        <v>0</v>
      </c>
      <c r="U230" s="6">
        <f>Cleaned_MLB_Stats_Dataset__1[[#This Row],[Hits]]/Cleaned_MLB_Stats_Dataset__1[[#This Row],[At Bats]]</f>
        <v>0.29497568881685576</v>
      </c>
      <c r="V230" s="6">
        <f>Cleaned_MLB_Stats_Dataset__1[[#This Row],[Strikeouts]]/(Cleaned_MLB_Stats_Dataset__1[[#This Row],[At Bats]]+Cleaned_MLB_Stats_Dataset__1[[#This Row],[Walks]])</f>
        <v>0.16934306569343066</v>
      </c>
      <c r="W23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0.10189228529839883</v>
      </c>
      <c r="X23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0.36468885672937773</v>
      </c>
      <c r="Y23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0.49432739059967584</v>
      </c>
      <c r="Z230" s="6">
        <f>Cleaned_MLB_Stats_Dataset__1[[#This Row],[On Base Percentage]]+Cleaned_MLB_Stats_Dataset__1[[#This Row],[Slugging %]]</f>
        <v>0.85901624732905357</v>
      </c>
      <c r="AA230" s="6">
        <f>Cleaned_MLB_Stats_Dataset__1[[#This Row],[Slugging %]]-Cleaned_MLB_Stats_Dataset__1[[#This Row],[Batting Average]]</f>
        <v>0.19935170178282008</v>
      </c>
      <c r="AB230" s="6">
        <f>Cleaned_MLB_Stats_Dataset__1[[#This Row],[Batting Average]]-_xlfn.XLOOKUP(Cleaned_MLB_Stats_Dataset__1[[#This Row],[Year]],'League Averages'!$A$3:$A$23,'League Averages'!$B$3:$B$23)</f>
        <v>2.4975688816855746E-2</v>
      </c>
      <c r="AC230" s="6">
        <f>Cleaned_MLB_Stats_Dataset__1[[#This Row],[On Base Percentage]]-_xlfn.XLOOKUP(Cleaned_MLB_Stats_Dataset__1[[#This Row],[Year]],'League Averages'!$A$3:$A$23,'League Averages'!$C$3:$C$23)</f>
        <v>2.4688856729377706E-2</v>
      </c>
      <c r="AD230" s="6">
        <f>Cleaned_MLB_Stats_Dataset__1[[#This Row],[Slugging %]]-_xlfn.XLOOKUP(Cleaned_MLB_Stats_Dataset__1[[#This Row],[Year]],'League Averages'!$A$3:$A$23,'League Averages'!$D$3:$D$23)</f>
        <v>6.7327390599675851E-2</v>
      </c>
      <c r="AE230" s="6">
        <f>Cleaned_MLB_Stats_Dataset__1[[#This Row],[OPS (On Base + Slugging)]]-_xlfn.XLOOKUP(Cleaned_MLB_Stats_Dataset__1[[#This Row],[Year]],'League Averages'!$A$3:$A$23,'League Averages'!$E$3:$E$23)</f>
        <v>9.2016247329053558E-2</v>
      </c>
      <c r="AF230" s="6">
        <f>Cleaned_MLB_Stats_Dataset__1[[#This Row],[ISO (Isolated Power]]-_xlfn.XLOOKUP(Cleaned_MLB_Stats_Dataset__1[[#This Row],[Year]],'League Averages'!$A$3:$A$23,'League Averages'!$F$3:$F$23)</f>
        <v>4.2351701782820078E-2</v>
      </c>
    </row>
    <row r="231" spans="1:32" x14ac:dyDescent="0.2">
      <c r="A231" t="s">
        <v>309</v>
      </c>
      <c r="B231">
        <v>1995</v>
      </c>
      <c r="C231" t="s">
        <v>163</v>
      </c>
      <c r="D231" t="s">
        <v>3</v>
      </c>
      <c r="E231" t="s">
        <v>80</v>
      </c>
      <c r="F231" t="str">
        <f>_xlfn.XLOOKUP(Cleaned_MLB_Stats_Dataset__1[[#This Row],[Position'#]],$B$373:$B$382,$A$373:$A$382)</f>
        <v>C</v>
      </c>
      <c r="G231">
        <v>2</v>
      </c>
      <c r="H231">
        <v>434</v>
      </c>
      <c r="I231">
        <v>150</v>
      </c>
      <c r="J231">
        <v>17</v>
      </c>
      <c r="K231">
        <v>0</v>
      </c>
      <c r="L231">
        <v>32</v>
      </c>
      <c r="M231">
        <v>82</v>
      </c>
      <c r="N231">
        <v>93</v>
      </c>
      <c r="O231">
        <v>80</v>
      </c>
      <c r="P231">
        <v>39</v>
      </c>
      <c r="Q231">
        <v>10</v>
      </c>
      <c r="R231">
        <v>1</v>
      </c>
      <c r="S231">
        <v>1</v>
      </c>
      <c r="T231">
        <v>0</v>
      </c>
      <c r="U231" s="6">
        <f>Cleaned_MLB_Stats_Dataset__1[[#This Row],[Hits]]/Cleaned_MLB_Stats_Dataset__1[[#This Row],[At Bats]]</f>
        <v>0.34562211981566821</v>
      </c>
      <c r="V231" s="6">
        <f>Cleaned_MLB_Stats_Dataset__1[[#This Row],[Strikeouts]]/(Cleaned_MLB_Stats_Dataset__1[[#This Row],[At Bats]]+Cleaned_MLB_Stats_Dataset__1[[#This Row],[Walks]])</f>
        <v>0.16913319238900634</v>
      </c>
      <c r="W23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8.4388185654008435E-2</v>
      </c>
      <c r="X23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</v>
      </c>
      <c r="Y23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0.60599078341013823</v>
      </c>
      <c r="Z231" s="6">
        <f>Cleaned_MLB_Stats_Dataset__1[[#This Row],[On Base Percentage]]+Cleaned_MLB_Stats_Dataset__1[[#This Row],[Slugging %]]</f>
        <v>1.0059907834101383</v>
      </c>
      <c r="AA231" s="6">
        <f>Cleaned_MLB_Stats_Dataset__1[[#This Row],[Slugging %]]-Cleaned_MLB_Stats_Dataset__1[[#This Row],[Batting Average]]</f>
        <v>0.26036866359447003</v>
      </c>
      <c r="AB231" s="6">
        <f>Cleaned_MLB_Stats_Dataset__1[[#This Row],[Batting Average]]-_xlfn.XLOOKUP(Cleaned_MLB_Stats_Dataset__1[[#This Row],[Year]],'League Averages'!$A$3:$A$23,'League Averages'!$B$3:$B$23)</f>
        <v>7.862211981566819E-2</v>
      </c>
      <c r="AC231" s="6">
        <f>Cleaned_MLB_Stats_Dataset__1[[#This Row],[On Base Percentage]]-_xlfn.XLOOKUP(Cleaned_MLB_Stats_Dataset__1[[#This Row],[Year]],'League Averages'!$A$3:$A$23,'League Averages'!$C$3:$C$23)</f>
        <v>6.2E-2</v>
      </c>
      <c r="AD231" s="6">
        <f>Cleaned_MLB_Stats_Dataset__1[[#This Row],[Slugging %]]-_xlfn.XLOOKUP(Cleaned_MLB_Stats_Dataset__1[[#This Row],[Year]],'League Averages'!$A$3:$A$23,'League Averages'!$D$3:$D$23)</f>
        <v>0.18899078341013825</v>
      </c>
      <c r="AE231" s="6">
        <f>Cleaned_MLB_Stats_Dataset__1[[#This Row],[OPS (On Base + Slugging)]]-_xlfn.XLOOKUP(Cleaned_MLB_Stats_Dataset__1[[#This Row],[Year]],'League Averages'!$A$3:$A$23,'League Averages'!$E$3:$E$23)</f>
        <v>0.25099078341013825</v>
      </c>
      <c r="AF231" s="6">
        <f>Cleaned_MLB_Stats_Dataset__1[[#This Row],[ISO (Isolated Power]]-_xlfn.XLOOKUP(Cleaned_MLB_Stats_Dataset__1[[#This Row],[Year]],'League Averages'!$A$3:$A$23,'League Averages'!$F$3:$F$23)</f>
        <v>0.11036866359447003</v>
      </c>
    </row>
    <row r="232" spans="1:32" x14ac:dyDescent="0.2">
      <c r="A232" t="s">
        <v>309</v>
      </c>
      <c r="B232">
        <v>1998</v>
      </c>
      <c r="C232" t="s">
        <v>163</v>
      </c>
      <c r="D232" t="s">
        <v>3</v>
      </c>
      <c r="E232" t="s">
        <v>80</v>
      </c>
      <c r="F232" t="str">
        <f>_xlfn.XLOOKUP(Cleaned_MLB_Stats_Dataset__1[[#This Row],[Position'#]],$B$373:$B$382,$A$373:$A$382)</f>
        <v>C</v>
      </c>
      <c r="G232">
        <v>2</v>
      </c>
      <c r="H232">
        <v>149</v>
      </c>
      <c r="I232">
        <v>42</v>
      </c>
      <c r="J232">
        <v>5</v>
      </c>
      <c r="K232">
        <v>0</v>
      </c>
      <c r="L232">
        <v>9</v>
      </c>
      <c r="M232">
        <v>20</v>
      </c>
      <c r="N232">
        <v>30</v>
      </c>
      <c r="O232">
        <v>27</v>
      </c>
      <c r="P232">
        <v>11</v>
      </c>
      <c r="Q232">
        <v>4</v>
      </c>
      <c r="R232">
        <v>0</v>
      </c>
      <c r="S232">
        <v>1</v>
      </c>
      <c r="T232">
        <v>0</v>
      </c>
      <c r="U232" s="6">
        <f>Cleaned_MLB_Stats_Dataset__1[[#This Row],[Hits]]/Cleaned_MLB_Stats_Dataset__1[[#This Row],[At Bats]]</f>
        <v>0.28187919463087246</v>
      </c>
      <c r="V232" s="6">
        <f>Cleaned_MLB_Stats_Dataset__1[[#This Row],[Strikeouts]]/(Cleaned_MLB_Stats_Dataset__1[[#This Row],[At Bats]]+Cleaned_MLB_Stats_Dataset__1[[#This Row],[Walks]])</f>
        <v>0.16875000000000001</v>
      </c>
      <c r="W23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6.8750000000000006E-2</v>
      </c>
      <c r="X23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0.32919254658385094</v>
      </c>
      <c r="Y23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0.49664429530201343</v>
      </c>
      <c r="Z232" s="6">
        <f>Cleaned_MLB_Stats_Dataset__1[[#This Row],[On Base Percentage]]+Cleaned_MLB_Stats_Dataset__1[[#This Row],[Slugging %]]</f>
        <v>0.82583684188586437</v>
      </c>
      <c r="AA232" s="6">
        <f>Cleaned_MLB_Stats_Dataset__1[[#This Row],[Slugging %]]-Cleaned_MLB_Stats_Dataset__1[[#This Row],[Batting Average]]</f>
        <v>0.21476510067114096</v>
      </c>
      <c r="AB232" s="6">
        <f>Cleaned_MLB_Stats_Dataset__1[[#This Row],[Batting Average]]-_xlfn.XLOOKUP(Cleaned_MLB_Stats_Dataset__1[[#This Row],[Year]],'League Averages'!$A$3:$A$23,'League Averages'!$B$3:$B$23)</f>
        <v>1.5879194630872451E-2</v>
      </c>
      <c r="AC232" s="6">
        <f>Cleaned_MLB_Stats_Dataset__1[[#This Row],[On Base Percentage]]-_xlfn.XLOOKUP(Cleaned_MLB_Stats_Dataset__1[[#This Row],[Year]],'League Averages'!$A$3:$A$23,'League Averages'!$C$3:$C$23)</f>
        <v>-5.8074534161490776E-3</v>
      </c>
      <c r="AD232" s="6">
        <f>Cleaned_MLB_Stats_Dataset__1[[#This Row],[Slugging %]]-_xlfn.XLOOKUP(Cleaned_MLB_Stats_Dataset__1[[#This Row],[Year]],'League Averages'!$A$3:$A$23,'League Averages'!$D$3:$D$23)</f>
        <v>7.6644295302013443E-2</v>
      </c>
      <c r="AE232" s="6">
        <f>Cleaned_MLB_Stats_Dataset__1[[#This Row],[OPS (On Base + Slugging)]]-_xlfn.XLOOKUP(Cleaned_MLB_Stats_Dataset__1[[#This Row],[Year]],'League Averages'!$A$3:$A$23,'League Averages'!$E$3:$E$23)</f>
        <v>7.0836841885864366E-2</v>
      </c>
      <c r="AF232" s="6">
        <f>Cleaned_MLB_Stats_Dataset__1[[#This Row],[ISO (Isolated Power]]-_xlfn.XLOOKUP(Cleaned_MLB_Stats_Dataset__1[[#This Row],[Year]],'League Averages'!$A$3:$A$23,'League Averages'!$F$3:$F$23)</f>
        <v>6.0765100671140965E-2</v>
      </c>
    </row>
    <row r="233" spans="1:32" x14ac:dyDescent="0.2">
      <c r="A233" t="s">
        <v>309</v>
      </c>
      <c r="B233">
        <v>2002</v>
      </c>
      <c r="C233" t="s">
        <v>176</v>
      </c>
      <c r="D233" t="s">
        <v>6</v>
      </c>
      <c r="E233" t="s">
        <v>71</v>
      </c>
      <c r="F233" t="str">
        <f>_xlfn.XLOOKUP(Cleaned_MLB_Stats_Dataset__1[[#This Row],[Position'#]],$B$373:$B$382,$A$373:$A$382)</f>
        <v>1B</v>
      </c>
      <c r="G233">
        <v>3</v>
      </c>
      <c r="H233">
        <v>560</v>
      </c>
      <c r="I233">
        <v>176</v>
      </c>
      <c r="J233">
        <v>34</v>
      </c>
      <c r="K233">
        <v>1</v>
      </c>
      <c r="L233">
        <v>41</v>
      </c>
      <c r="M233">
        <v>120</v>
      </c>
      <c r="N233">
        <v>122</v>
      </c>
      <c r="O233">
        <v>112</v>
      </c>
      <c r="P233">
        <v>109</v>
      </c>
      <c r="Q233">
        <v>4</v>
      </c>
      <c r="R233">
        <v>15</v>
      </c>
      <c r="S233">
        <v>5</v>
      </c>
      <c r="T233">
        <v>0</v>
      </c>
      <c r="U233" s="6">
        <f>Cleaned_MLB_Stats_Dataset__1[[#This Row],[Hits]]/Cleaned_MLB_Stats_Dataset__1[[#This Row],[At Bats]]</f>
        <v>0.31428571428571428</v>
      </c>
      <c r="V233" s="6">
        <f>Cleaned_MLB_Stats_Dataset__1[[#This Row],[Strikeouts]]/(Cleaned_MLB_Stats_Dataset__1[[#This Row],[At Bats]]+Cleaned_MLB_Stats_Dataset__1[[#This Row],[Walks]])</f>
        <v>0.16741405082212257</v>
      </c>
      <c r="W23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0.18128654970760233</v>
      </c>
      <c r="X23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0.43541364296081275</v>
      </c>
      <c r="Y23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0.5982142857142857</v>
      </c>
      <c r="Z233" s="6">
        <f>Cleaned_MLB_Stats_Dataset__1[[#This Row],[On Base Percentage]]+Cleaned_MLB_Stats_Dataset__1[[#This Row],[Slugging %]]</f>
        <v>1.0336279286750985</v>
      </c>
      <c r="AA233" s="6">
        <f>Cleaned_MLB_Stats_Dataset__1[[#This Row],[Slugging %]]-Cleaned_MLB_Stats_Dataset__1[[#This Row],[Batting Average]]</f>
        <v>0.28392857142857142</v>
      </c>
      <c r="AB233" s="6">
        <f>Cleaned_MLB_Stats_Dataset__1[[#This Row],[Batting Average]]-_xlfn.XLOOKUP(Cleaned_MLB_Stats_Dataset__1[[#This Row],[Year]],'League Averages'!$A$3:$A$23,'League Averages'!$B$3:$B$23)</f>
        <v>5.328571428571427E-2</v>
      </c>
      <c r="AC233" s="6">
        <f>Cleaned_MLB_Stats_Dataset__1[[#This Row],[On Base Percentage]]-_xlfn.XLOOKUP(Cleaned_MLB_Stats_Dataset__1[[#This Row],[Year]],'League Averages'!$A$3:$A$23,'League Averages'!$C$3:$C$23)</f>
        <v>0.10441364296081274</v>
      </c>
      <c r="AD233" s="6">
        <f>Cleaned_MLB_Stats_Dataset__1[[#This Row],[Slugging %]]-_xlfn.XLOOKUP(Cleaned_MLB_Stats_Dataset__1[[#This Row],[Year]],'League Averages'!$A$3:$A$23,'League Averages'!$D$3:$D$23)</f>
        <v>0.18121428571428572</v>
      </c>
      <c r="AE233" s="6">
        <f>Cleaned_MLB_Stats_Dataset__1[[#This Row],[OPS (On Base + Slugging)]]-_xlfn.XLOOKUP(Cleaned_MLB_Stats_Dataset__1[[#This Row],[Year]],'League Averages'!$A$3:$A$23,'League Averages'!$E$3:$E$23)</f>
        <v>0.28562792867509845</v>
      </c>
      <c r="AF233" s="6">
        <f>Cleaned_MLB_Stats_Dataset__1[[#This Row],[ISO (Isolated Power]]-_xlfn.XLOOKUP(Cleaned_MLB_Stats_Dataset__1[[#This Row],[Year]],'League Averages'!$A$3:$A$23,'League Averages'!$F$3:$F$23)</f>
        <v>0.12792857142857142</v>
      </c>
    </row>
    <row r="234" spans="1:32" x14ac:dyDescent="0.2">
      <c r="A234" t="s">
        <v>309</v>
      </c>
      <c r="B234">
        <v>2002</v>
      </c>
      <c r="C234" t="s">
        <v>171</v>
      </c>
      <c r="D234" t="s">
        <v>6</v>
      </c>
      <c r="E234" t="s">
        <v>68</v>
      </c>
      <c r="F234" t="str">
        <f>_xlfn.XLOOKUP(Cleaned_MLB_Stats_Dataset__1[[#This Row],[Position'#]],$B$373:$B$382,$A$373:$A$382)</f>
        <v>LF</v>
      </c>
      <c r="G234">
        <v>7</v>
      </c>
      <c r="H234">
        <v>436</v>
      </c>
      <c r="I234">
        <v>152</v>
      </c>
      <c r="J234">
        <v>31</v>
      </c>
      <c r="K234">
        <v>0</v>
      </c>
      <c r="L234">
        <v>33</v>
      </c>
      <c r="M234">
        <v>84</v>
      </c>
      <c r="N234">
        <v>107</v>
      </c>
      <c r="O234">
        <v>85</v>
      </c>
      <c r="P234">
        <v>73</v>
      </c>
      <c r="Q234">
        <v>14</v>
      </c>
      <c r="R234">
        <v>8</v>
      </c>
      <c r="S234">
        <v>1</v>
      </c>
      <c r="T234">
        <v>0</v>
      </c>
      <c r="U234" s="6">
        <f>Cleaned_MLB_Stats_Dataset__1[[#This Row],[Hits]]/Cleaned_MLB_Stats_Dataset__1[[#This Row],[At Bats]]</f>
        <v>0.34862385321100919</v>
      </c>
      <c r="V234" s="6">
        <f>Cleaned_MLB_Stats_Dataset__1[[#This Row],[Strikeouts]]/(Cleaned_MLB_Stats_Dataset__1[[#This Row],[At Bats]]+Cleaned_MLB_Stats_Dataset__1[[#This Row],[Walks]])</f>
        <v>0.16699410609037327</v>
      </c>
      <c r="W23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0.15667311411992263</v>
      </c>
      <c r="X23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0.4498069498069498</v>
      </c>
      <c r="Y23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0.64678899082568808</v>
      </c>
      <c r="Z234" s="6">
        <f>Cleaned_MLB_Stats_Dataset__1[[#This Row],[On Base Percentage]]+Cleaned_MLB_Stats_Dataset__1[[#This Row],[Slugging %]]</f>
        <v>1.0965959406326378</v>
      </c>
      <c r="AA234" s="6">
        <f>Cleaned_MLB_Stats_Dataset__1[[#This Row],[Slugging %]]-Cleaned_MLB_Stats_Dataset__1[[#This Row],[Batting Average]]</f>
        <v>0.29816513761467889</v>
      </c>
      <c r="AB234" s="6">
        <f>Cleaned_MLB_Stats_Dataset__1[[#This Row],[Batting Average]]-_xlfn.XLOOKUP(Cleaned_MLB_Stats_Dataset__1[[#This Row],[Year]],'League Averages'!$A$3:$A$23,'League Averages'!$B$3:$B$23)</f>
        <v>8.7623853211009184E-2</v>
      </c>
      <c r="AC234" s="6">
        <f>Cleaned_MLB_Stats_Dataset__1[[#This Row],[On Base Percentage]]-_xlfn.XLOOKUP(Cleaned_MLB_Stats_Dataset__1[[#This Row],[Year]],'League Averages'!$A$3:$A$23,'League Averages'!$C$3:$C$23)</f>
        <v>0.11880694980694978</v>
      </c>
      <c r="AD234" s="6">
        <f>Cleaned_MLB_Stats_Dataset__1[[#This Row],[Slugging %]]-_xlfn.XLOOKUP(Cleaned_MLB_Stats_Dataset__1[[#This Row],[Year]],'League Averages'!$A$3:$A$23,'League Averages'!$D$3:$D$23)</f>
        <v>0.2297889908256881</v>
      </c>
      <c r="AE234" s="6">
        <f>Cleaned_MLB_Stats_Dataset__1[[#This Row],[OPS (On Base + Slugging)]]-_xlfn.XLOOKUP(Cleaned_MLB_Stats_Dataset__1[[#This Row],[Year]],'League Averages'!$A$3:$A$23,'League Averages'!$E$3:$E$23)</f>
        <v>0.34859594063263777</v>
      </c>
      <c r="AF234" s="6">
        <f>Cleaned_MLB_Stats_Dataset__1[[#This Row],[ISO (Isolated Power]]-_xlfn.XLOOKUP(Cleaned_MLB_Stats_Dataset__1[[#This Row],[Year]],'League Averages'!$A$3:$A$23,'League Averages'!$F$3:$F$23)</f>
        <v>0.14216513761467889</v>
      </c>
    </row>
    <row r="235" spans="1:32" x14ac:dyDescent="0.2">
      <c r="A235" t="s">
        <v>309</v>
      </c>
      <c r="B235">
        <v>1995</v>
      </c>
      <c r="C235" t="s">
        <v>114</v>
      </c>
      <c r="D235" t="s">
        <v>3</v>
      </c>
      <c r="E235" t="s">
        <v>85</v>
      </c>
      <c r="F235" t="str">
        <f>_xlfn.XLOOKUP(Cleaned_MLB_Stats_Dataset__1[[#This Row],[Position'#]],$B$373:$B$382,$A$373:$A$382)</f>
        <v>1B</v>
      </c>
      <c r="G235">
        <v>3</v>
      </c>
      <c r="H235">
        <v>528</v>
      </c>
      <c r="I235">
        <v>148</v>
      </c>
      <c r="J235">
        <v>27</v>
      </c>
      <c r="K235">
        <v>1</v>
      </c>
      <c r="L235">
        <v>27</v>
      </c>
      <c r="M235">
        <v>85</v>
      </c>
      <c r="N235">
        <v>93</v>
      </c>
      <c r="O235">
        <v>99</v>
      </c>
      <c r="P235">
        <v>65</v>
      </c>
      <c r="Q235">
        <v>6</v>
      </c>
      <c r="R235">
        <v>5</v>
      </c>
      <c r="S235">
        <v>6</v>
      </c>
      <c r="T235">
        <v>0</v>
      </c>
      <c r="U235" s="6">
        <f>Cleaned_MLB_Stats_Dataset__1[[#This Row],[Hits]]/Cleaned_MLB_Stats_Dataset__1[[#This Row],[At Bats]]</f>
        <v>0.28030303030303028</v>
      </c>
      <c r="V235" s="6">
        <f>Cleaned_MLB_Stats_Dataset__1[[#This Row],[Strikeouts]]/(Cleaned_MLB_Stats_Dataset__1[[#This Row],[At Bats]]+Cleaned_MLB_Stats_Dataset__1[[#This Row],[Walks]])</f>
        <v>0.16694772344013492</v>
      </c>
      <c r="W23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0.11705685618729098</v>
      </c>
      <c r="X23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0.36092715231788081</v>
      </c>
      <c r="Y23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0.48863636363636365</v>
      </c>
      <c r="Z235" s="6">
        <f>Cleaned_MLB_Stats_Dataset__1[[#This Row],[On Base Percentage]]+Cleaned_MLB_Stats_Dataset__1[[#This Row],[Slugging %]]</f>
        <v>0.84956351595424451</v>
      </c>
      <c r="AA235" s="6">
        <f>Cleaned_MLB_Stats_Dataset__1[[#This Row],[Slugging %]]-Cleaned_MLB_Stats_Dataset__1[[#This Row],[Batting Average]]</f>
        <v>0.20833333333333337</v>
      </c>
      <c r="AB235" s="6">
        <f>Cleaned_MLB_Stats_Dataset__1[[#This Row],[Batting Average]]-_xlfn.XLOOKUP(Cleaned_MLB_Stats_Dataset__1[[#This Row],[Year]],'League Averages'!$A$3:$A$23,'League Averages'!$B$3:$B$23)</f>
        <v>1.3303030303030261E-2</v>
      </c>
      <c r="AC235" s="6">
        <f>Cleaned_MLB_Stats_Dataset__1[[#This Row],[On Base Percentage]]-_xlfn.XLOOKUP(Cleaned_MLB_Stats_Dataset__1[[#This Row],[Year]],'League Averages'!$A$3:$A$23,'League Averages'!$C$3:$C$23)</f>
        <v>2.2927152317880783E-2</v>
      </c>
      <c r="AD235" s="6">
        <f>Cleaned_MLB_Stats_Dataset__1[[#This Row],[Slugging %]]-_xlfn.XLOOKUP(Cleaned_MLB_Stats_Dataset__1[[#This Row],[Year]],'League Averages'!$A$3:$A$23,'League Averages'!$D$3:$D$23)</f>
        <v>7.1636363636363665E-2</v>
      </c>
      <c r="AE235" s="6">
        <f>Cleaned_MLB_Stats_Dataset__1[[#This Row],[OPS (On Base + Slugging)]]-_xlfn.XLOOKUP(Cleaned_MLB_Stats_Dataset__1[[#This Row],[Year]],'League Averages'!$A$3:$A$23,'League Averages'!$E$3:$E$23)</f>
        <v>9.4563515954244504E-2</v>
      </c>
      <c r="AF235" s="6">
        <f>Cleaned_MLB_Stats_Dataset__1[[#This Row],[ISO (Isolated Power]]-_xlfn.XLOOKUP(Cleaned_MLB_Stats_Dataset__1[[#This Row],[Year]],'League Averages'!$A$3:$A$23,'League Averages'!$F$3:$F$23)</f>
        <v>5.8333333333333376E-2</v>
      </c>
    </row>
    <row r="236" spans="1:32" x14ac:dyDescent="0.2">
      <c r="A236" t="s">
        <v>309</v>
      </c>
      <c r="B236">
        <v>2001</v>
      </c>
      <c r="C236" t="s">
        <v>159</v>
      </c>
      <c r="D236" t="s">
        <v>6</v>
      </c>
      <c r="E236" t="s">
        <v>91</v>
      </c>
      <c r="F236" t="str">
        <f>_xlfn.XLOOKUP(Cleaned_MLB_Stats_Dataset__1[[#This Row],[Position'#]],$B$373:$B$382,$A$373:$A$382)</f>
        <v>2B</v>
      </c>
      <c r="G236">
        <v>4</v>
      </c>
      <c r="H236">
        <v>623</v>
      </c>
      <c r="I236">
        <v>206</v>
      </c>
      <c r="J236">
        <v>37</v>
      </c>
      <c r="K236">
        <v>3</v>
      </c>
      <c r="L236">
        <v>37</v>
      </c>
      <c r="M236">
        <v>118</v>
      </c>
      <c r="N236">
        <v>141</v>
      </c>
      <c r="O236">
        <v>110</v>
      </c>
      <c r="P236">
        <v>40</v>
      </c>
      <c r="Q236">
        <v>5</v>
      </c>
      <c r="R236">
        <v>9</v>
      </c>
      <c r="S236">
        <v>13</v>
      </c>
      <c r="T236">
        <v>5</v>
      </c>
      <c r="U236" s="6">
        <f>Cleaned_MLB_Stats_Dataset__1[[#This Row],[Hits]]/Cleaned_MLB_Stats_Dataset__1[[#This Row],[At Bats]]</f>
        <v>0.3306581059390048</v>
      </c>
      <c r="V236" s="6">
        <f>Cleaned_MLB_Stats_Dataset__1[[#This Row],[Strikeouts]]/(Cleaned_MLB_Stats_Dataset__1[[#This Row],[At Bats]]+Cleaned_MLB_Stats_Dataset__1[[#This Row],[Walks]])</f>
        <v>0.16591251885369532</v>
      </c>
      <c r="W23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7.2916666666666671E-2</v>
      </c>
      <c r="X23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0.37226277372262773</v>
      </c>
      <c r="Y23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0.5778491171749599</v>
      </c>
      <c r="Z236" s="6">
        <f>Cleaned_MLB_Stats_Dataset__1[[#This Row],[On Base Percentage]]+Cleaned_MLB_Stats_Dataset__1[[#This Row],[Slugging %]]</f>
        <v>0.95011189089758763</v>
      </c>
      <c r="AA236" s="6">
        <f>Cleaned_MLB_Stats_Dataset__1[[#This Row],[Slugging %]]-Cleaned_MLB_Stats_Dataset__1[[#This Row],[Batting Average]]</f>
        <v>0.2471910112359551</v>
      </c>
      <c r="AB236" s="6">
        <f>Cleaned_MLB_Stats_Dataset__1[[#This Row],[Batting Average]]-_xlfn.XLOOKUP(Cleaned_MLB_Stats_Dataset__1[[#This Row],[Year]],'League Averages'!$A$3:$A$23,'League Averages'!$B$3:$B$23)</f>
        <v>6.6658105939004786E-2</v>
      </c>
      <c r="AC236" s="6">
        <f>Cleaned_MLB_Stats_Dataset__1[[#This Row],[On Base Percentage]]-_xlfn.XLOOKUP(Cleaned_MLB_Stats_Dataset__1[[#This Row],[Year]],'League Averages'!$A$3:$A$23,'League Averages'!$C$3:$C$23)</f>
        <v>4.0262773722627709E-2</v>
      </c>
      <c r="AD236" s="6">
        <f>Cleaned_MLB_Stats_Dataset__1[[#This Row],[Slugging %]]-_xlfn.XLOOKUP(Cleaned_MLB_Stats_Dataset__1[[#This Row],[Year]],'League Averages'!$A$3:$A$23,'League Averages'!$D$3:$D$23)</f>
        <v>0.15084911717495991</v>
      </c>
      <c r="AE236" s="6">
        <f>Cleaned_MLB_Stats_Dataset__1[[#This Row],[OPS (On Base + Slugging)]]-_xlfn.XLOOKUP(Cleaned_MLB_Stats_Dataset__1[[#This Row],[Year]],'League Averages'!$A$3:$A$23,'League Averages'!$E$3:$E$23)</f>
        <v>0.19111189089758762</v>
      </c>
      <c r="AF236" s="6">
        <f>Cleaned_MLB_Stats_Dataset__1[[#This Row],[ISO (Isolated Power]]-_xlfn.XLOOKUP(Cleaned_MLB_Stats_Dataset__1[[#This Row],[Year]],'League Averages'!$A$3:$A$23,'League Averages'!$F$3:$F$23)</f>
        <v>8.4191011235955099E-2</v>
      </c>
    </row>
    <row r="237" spans="1:32" x14ac:dyDescent="0.2">
      <c r="A237" t="s">
        <v>309</v>
      </c>
      <c r="B237">
        <v>1998</v>
      </c>
      <c r="C237" t="s">
        <v>173</v>
      </c>
      <c r="D237" t="s">
        <v>6</v>
      </c>
      <c r="E237" t="s">
        <v>91</v>
      </c>
      <c r="F237" t="str">
        <f>_xlfn.XLOOKUP(Cleaned_MLB_Stats_Dataset__1[[#This Row],[Position'#]],$B$373:$B$382,$A$373:$A$382)</f>
        <v>SS</v>
      </c>
      <c r="G237">
        <v>6</v>
      </c>
      <c r="H237">
        <v>686</v>
      </c>
      <c r="I237">
        <v>213</v>
      </c>
      <c r="J237">
        <v>35</v>
      </c>
      <c r="K237">
        <v>5</v>
      </c>
      <c r="L237">
        <v>42</v>
      </c>
      <c r="M237">
        <v>123</v>
      </c>
      <c r="N237">
        <v>124</v>
      </c>
      <c r="O237">
        <v>121</v>
      </c>
      <c r="P237">
        <v>45</v>
      </c>
      <c r="Q237">
        <v>0</v>
      </c>
      <c r="R237">
        <v>10</v>
      </c>
      <c r="S237">
        <v>4</v>
      </c>
      <c r="T237">
        <v>3</v>
      </c>
      <c r="U237" s="6">
        <f>Cleaned_MLB_Stats_Dataset__1[[#This Row],[Hits]]/Cleaned_MLB_Stats_Dataset__1[[#This Row],[At Bats]]</f>
        <v>0.31049562682215742</v>
      </c>
      <c r="V237" s="6">
        <f>Cleaned_MLB_Stats_Dataset__1[[#This Row],[Strikeouts]]/(Cleaned_MLB_Stats_Dataset__1[[#This Row],[At Bats]]+Cleaned_MLB_Stats_Dataset__1[[#This Row],[Walks]])</f>
        <v>0.16552667578659372</v>
      </c>
      <c r="W23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7.4224021592442652E-2</v>
      </c>
      <c r="X23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0.3597315436241611</v>
      </c>
      <c r="Y23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0.55976676384839652</v>
      </c>
      <c r="Z237" s="6">
        <f>Cleaned_MLB_Stats_Dataset__1[[#This Row],[On Base Percentage]]+Cleaned_MLB_Stats_Dataset__1[[#This Row],[Slugging %]]</f>
        <v>0.91949830747255756</v>
      </c>
      <c r="AA237" s="6">
        <f>Cleaned_MLB_Stats_Dataset__1[[#This Row],[Slugging %]]-Cleaned_MLB_Stats_Dataset__1[[#This Row],[Batting Average]]</f>
        <v>0.2492711370262391</v>
      </c>
      <c r="AB237" s="6">
        <f>Cleaned_MLB_Stats_Dataset__1[[#This Row],[Batting Average]]-_xlfn.XLOOKUP(Cleaned_MLB_Stats_Dataset__1[[#This Row],[Year]],'League Averages'!$A$3:$A$23,'League Averages'!$B$3:$B$23)</f>
        <v>4.4495626822157408E-2</v>
      </c>
      <c r="AC237" s="6">
        <f>Cleaned_MLB_Stats_Dataset__1[[#This Row],[On Base Percentage]]-_xlfn.XLOOKUP(Cleaned_MLB_Stats_Dataset__1[[#This Row],[Year]],'League Averages'!$A$3:$A$23,'League Averages'!$C$3:$C$23)</f>
        <v>2.4731543624161079E-2</v>
      </c>
      <c r="AD237" s="6">
        <f>Cleaned_MLB_Stats_Dataset__1[[#This Row],[Slugging %]]-_xlfn.XLOOKUP(Cleaned_MLB_Stats_Dataset__1[[#This Row],[Year]],'League Averages'!$A$3:$A$23,'League Averages'!$D$3:$D$23)</f>
        <v>0.13976676384839654</v>
      </c>
      <c r="AE237" s="6">
        <f>Cleaned_MLB_Stats_Dataset__1[[#This Row],[OPS (On Base + Slugging)]]-_xlfn.XLOOKUP(Cleaned_MLB_Stats_Dataset__1[[#This Row],[Year]],'League Averages'!$A$3:$A$23,'League Averages'!$E$3:$E$23)</f>
        <v>0.16449830747255756</v>
      </c>
      <c r="AF237" s="6">
        <f>Cleaned_MLB_Stats_Dataset__1[[#This Row],[ISO (Isolated Power]]-_xlfn.XLOOKUP(Cleaned_MLB_Stats_Dataset__1[[#This Row],[Year]],'League Averages'!$A$3:$A$23,'League Averages'!$F$3:$F$23)</f>
        <v>9.52711370262391E-2</v>
      </c>
    </row>
    <row r="238" spans="1:32" x14ac:dyDescent="0.2">
      <c r="A238" t="s">
        <v>309</v>
      </c>
      <c r="B238">
        <v>2001</v>
      </c>
      <c r="C238" t="s">
        <v>137</v>
      </c>
      <c r="D238" t="s">
        <v>6</v>
      </c>
      <c r="E238" t="s">
        <v>66</v>
      </c>
      <c r="F238" t="str">
        <f>_xlfn.XLOOKUP(Cleaned_MLB_Stats_Dataset__1[[#This Row],[Position'#]],$B$373:$B$382,$A$373:$A$382)</f>
        <v>RF</v>
      </c>
      <c r="G238">
        <v>9</v>
      </c>
      <c r="H238">
        <v>532</v>
      </c>
      <c r="I238">
        <v>173</v>
      </c>
      <c r="J238">
        <v>34</v>
      </c>
      <c r="K238">
        <v>1</v>
      </c>
      <c r="L238">
        <v>35</v>
      </c>
      <c r="M238">
        <v>97</v>
      </c>
      <c r="N238">
        <v>140</v>
      </c>
      <c r="O238">
        <v>94</v>
      </c>
      <c r="P238">
        <v>41</v>
      </c>
      <c r="Q238">
        <v>5</v>
      </c>
      <c r="R238">
        <v>6</v>
      </c>
      <c r="S238">
        <v>16</v>
      </c>
      <c r="T238">
        <v>0</v>
      </c>
      <c r="U238" s="6">
        <f>Cleaned_MLB_Stats_Dataset__1[[#This Row],[Hits]]/Cleaned_MLB_Stats_Dataset__1[[#This Row],[At Bats]]</f>
        <v>0.32518796992481203</v>
      </c>
      <c r="V238" s="6">
        <f>Cleaned_MLB_Stats_Dataset__1[[#This Row],[Strikeouts]]/(Cleaned_MLB_Stats_Dataset__1[[#This Row],[At Bats]]+Cleaned_MLB_Stats_Dataset__1[[#This Row],[Walks]])</f>
        <v>0.16404886561954624</v>
      </c>
      <c r="W23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8.1174438687392061E-2</v>
      </c>
      <c r="X23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0.36974789915966388</v>
      </c>
      <c r="Y23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0.59022556390977443</v>
      </c>
      <c r="Z238" s="6">
        <f>Cleaned_MLB_Stats_Dataset__1[[#This Row],[On Base Percentage]]+Cleaned_MLB_Stats_Dataset__1[[#This Row],[Slugging %]]</f>
        <v>0.95997346306943832</v>
      </c>
      <c r="AA238" s="6">
        <f>Cleaned_MLB_Stats_Dataset__1[[#This Row],[Slugging %]]-Cleaned_MLB_Stats_Dataset__1[[#This Row],[Batting Average]]</f>
        <v>0.26503759398496241</v>
      </c>
      <c r="AB238" s="6">
        <f>Cleaned_MLB_Stats_Dataset__1[[#This Row],[Batting Average]]-_xlfn.XLOOKUP(Cleaned_MLB_Stats_Dataset__1[[#This Row],[Year]],'League Averages'!$A$3:$A$23,'League Averages'!$B$3:$B$23)</f>
        <v>6.1187969924812013E-2</v>
      </c>
      <c r="AC238" s="6">
        <f>Cleaned_MLB_Stats_Dataset__1[[#This Row],[On Base Percentage]]-_xlfn.XLOOKUP(Cleaned_MLB_Stats_Dataset__1[[#This Row],[Year]],'League Averages'!$A$3:$A$23,'League Averages'!$C$3:$C$23)</f>
        <v>3.7747899159663867E-2</v>
      </c>
      <c r="AD238" s="6">
        <f>Cleaned_MLB_Stats_Dataset__1[[#This Row],[Slugging %]]-_xlfn.XLOOKUP(Cleaned_MLB_Stats_Dataset__1[[#This Row],[Year]],'League Averages'!$A$3:$A$23,'League Averages'!$D$3:$D$23)</f>
        <v>0.16322556390977444</v>
      </c>
      <c r="AE238" s="6">
        <f>Cleaned_MLB_Stats_Dataset__1[[#This Row],[OPS (On Base + Slugging)]]-_xlfn.XLOOKUP(Cleaned_MLB_Stats_Dataset__1[[#This Row],[Year]],'League Averages'!$A$3:$A$23,'League Averages'!$E$3:$E$23)</f>
        <v>0.20097346306943831</v>
      </c>
      <c r="AF238" s="6">
        <f>Cleaned_MLB_Stats_Dataset__1[[#This Row],[ISO (Isolated Power]]-_xlfn.XLOOKUP(Cleaned_MLB_Stats_Dataset__1[[#This Row],[Year]],'League Averages'!$A$3:$A$23,'League Averages'!$F$3:$F$23)</f>
        <v>0.1020375939849624</v>
      </c>
    </row>
    <row r="239" spans="1:32" x14ac:dyDescent="0.2">
      <c r="A239" t="s">
        <v>309</v>
      </c>
      <c r="B239">
        <v>1996</v>
      </c>
      <c r="C239" t="s">
        <v>128</v>
      </c>
      <c r="D239" t="s">
        <v>6</v>
      </c>
      <c r="E239" t="s">
        <v>78</v>
      </c>
      <c r="F239" t="str">
        <f>_xlfn.XLOOKUP(Cleaned_MLB_Stats_Dataset__1[[#This Row],[Position'#]],$B$373:$B$382,$A$373:$A$382)</f>
        <v>RF</v>
      </c>
      <c r="G239">
        <v>9</v>
      </c>
      <c r="H239">
        <v>579</v>
      </c>
      <c r="I239">
        <v>172</v>
      </c>
      <c r="J239">
        <v>37</v>
      </c>
      <c r="K239">
        <v>5</v>
      </c>
      <c r="L239">
        <v>50</v>
      </c>
      <c r="M239">
        <v>117</v>
      </c>
      <c r="N239">
        <v>110</v>
      </c>
      <c r="O239">
        <v>106</v>
      </c>
      <c r="P239">
        <v>76</v>
      </c>
      <c r="Q239">
        <v>1</v>
      </c>
      <c r="R239">
        <v>22</v>
      </c>
      <c r="S239">
        <v>4</v>
      </c>
      <c r="T239">
        <v>6</v>
      </c>
      <c r="U239" s="6">
        <f>Cleaned_MLB_Stats_Dataset__1[[#This Row],[Hits]]/Cleaned_MLB_Stats_Dataset__1[[#This Row],[At Bats]]</f>
        <v>0.29706390328151988</v>
      </c>
      <c r="V239" s="6">
        <f>Cleaned_MLB_Stats_Dataset__1[[#This Row],[Strikeouts]]/(Cleaned_MLB_Stats_Dataset__1[[#This Row],[At Bats]]+Cleaned_MLB_Stats_Dataset__1[[#This Row],[Walks]])</f>
        <v>0.16183206106870229</v>
      </c>
      <c r="W23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0.14475627769571639</v>
      </c>
      <c r="X23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0.3964757709251101</v>
      </c>
      <c r="Y23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0.63730569948186533</v>
      </c>
      <c r="Z239" s="6">
        <f>Cleaned_MLB_Stats_Dataset__1[[#This Row],[On Base Percentage]]+Cleaned_MLB_Stats_Dataset__1[[#This Row],[Slugging %]]</f>
        <v>1.0337814704069754</v>
      </c>
      <c r="AA239" s="6">
        <f>Cleaned_MLB_Stats_Dataset__1[[#This Row],[Slugging %]]-Cleaned_MLB_Stats_Dataset__1[[#This Row],[Batting Average]]</f>
        <v>0.34024179620034545</v>
      </c>
      <c r="AB239" s="6">
        <f>Cleaned_MLB_Stats_Dataset__1[[#This Row],[Batting Average]]-_xlfn.XLOOKUP(Cleaned_MLB_Stats_Dataset__1[[#This Row],[Year]],'League Averages'!$A$3:$A$23,'League Averages'!$B$3:$B$23)</f>
        <v>2.7063903281519863E-2</v>
      </c>
      <c r="AC239" s="6">
        <f>Cleaned_MLB_Stats_Dataset__1[[#This Row],[On Base Percentage]]-_xlfn.XLOOKUP(Cleaned_MLB_Stats_Dataset__1[[#This Row],[Year]],'League Averages'!$A$3:$A$23,'League Averages'!$C$3:$C$23)</f>
        <v>5.647577092511008E-2</v>
      </c>
      <c r="AD239" s="6">
        <f>Cleaned_MLB_Stats_Dataset__1[[#This Row],[Slugging %]]-_xlfn.XLOOKUP(Cleaned_MLB_Stats_Dataset__1[[#This Row],[Year]],'League Averages'!$A$3:$A$23,'League Averages'!$D$3:$D$23)</f>
        <v>0.21030569948186534</v>
      </c>
      <c r="AE239" s="6">
        <f>Cleaned_MLB_Stats_Dataset__1[[#This Row],[OPS (On Base + Slugging)]]-_xlfn.XLOOKUP(Cleaned_MLB_Stats_Dataset__1[[#This Row],[Year]],'League Averages'!$A$3:$A$23,'League Averages'!$E$3:$E$23)</f>
        <v>0.26678147040697542</v>
      </c>
      <c r="AF239" s="6">
        <f>Cleaned_MLB_Stats_Dataset__1[[#This Row],[ISO (Isolated Power]]-_xlfn.XLOOKUP(Cleaned_MLB_Stats_Dataset__1[[#This Row],[Year]],'League Averages'!$A$3:$A$23,'League Averages'!$F$3:$F$23)</f>
        <v>0.18324179620034545</v>
      </c>
    </row>
    <row r="240" spans="1:32" x14ac:dyDescent="0.2">
      <c r="A240" t="s">
        <v>309</v>
      </c>
      <c r="B240">
        <v>2001</v>
      </c>
      <c r="C240" t="s">
        <v>123</v>
      </c>
      <c r="D240" t="s">
        <v>6</v>
      </c>
      <c r="E240" t="s">
        <v>91</v>
      </c>
      <c r="F240" t="str">
        <f>_xlfn.XLOOKUP(Cleaned_MLB_Stats_Dataset__1[[#This Row],[Position'#]],$B$373:$B$382,$A$373:$A$382)</f>
        <v>DH</v>
      </c>
      <c r="G240">
        <v>10</v>
      </c>
      <c r="H240">
        <v>470</v>
      </c>
      <c r="I240">
        <v>144</v>
      </c>
      <c r="J240">
        <v>40</v>
      </c>
      <c r="K240">
        <v>1</v>
      </c>
      <c r="L240">
        <v>23</v>
      </c>
      <c r="M240">
        <v>80</v>
      </c>
      <c r="N240">
        <v>116</v>
      </c>
      <c r="O240">
        <v>90</v>
      </c>
      <c r="P240">
        <v>93</v>
      </c>
      <c r="Q240">
        <v>9</v>
      </c>
      <c r="R240">
        <v>9</v>
      </c>
      <c r="S240">
        <v>9</v>
      </c>
      <c r="T240">
        <v>0</v>
      </c>
      <c r="U240" s="6">
        <f>Cleaned_MLB_Stats_Dataset__1[[#This Row],[Hits]]/Cleaned_MLB_Stats_Dataset__1[[#This Row],[At Bats]]</f>
        <v>0.30638297872340425</v>
      </c>
      <c r="V240" s="6">
        <f>Cleaned_MLB_Stats_Dataset__1[[#This Row],[Strikeouts]]/(Cleaned_MLB_Stats_Dataset__1[[#This Row],[At Bats]]+Cleaned_MLB_Stats_Dataset__1[[#This Row],[Walks]])</f>
        <v>0.15985790408525755</v>
      </c>
      <c r="W24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0.17832167832167833</v>
      </c>
      <c r="X24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0.423407917383821</v>
      </c>
      <c r="Y24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0.54255319148936165</v>
      </c>
      <c r="Z240" s="6">
        <f>Cleaned_MLB_Stats_Dataset__1[[#This Row],[On Base Percentage]]+Cleaned_MLB_Stats_Dataset__1[[#This Row],[Slugging %]]</f>
        <v>0.96596110887318265</v>
      </c>
      <c r="AA240" s="6">
        <f>Cleaned_MLB_Stats_Dataset__1[[#This Row],[Slugging %]]-Cleaned_MLB_Stats_Dataset__1[[#This Row],[Batting Average]]</f>
        <v>0.2361702127659574</v>
      </c>
      <c r="AB240" s="6">
        <f>Cleaned_MLB_Stats_Dataset__1[[#This Row],[Batting Average]]-_xlfn.XLOOKUP(Cleaned_MLB_Stats_Dataset__1[[#This Row],[Year]],'League Averages'!$A$3:$A$23,'League Averages'!$B$3:$B$23)</f>
        <v>4.2382978723404241E-2</v>
      </c>
      <c r="AC240" s="6">
        <f>Cleaned_MLB_Stats_Dataset__1[[#This Row],[On Base Percentage]]-_xlfn.XLOOKUP(Cleaned_MLB_Stats_Dataset__1[[#This Row],[Year]],'League Averages'!$A$3:$A$23,'League Averages'!$C$3:$C$23)</f>
        <v>9.140791738382098E-2</v>
      </c>
      <c r="AD240" s="6">
        <f>Cleaned_MLB_Stats_Dataset__1[[#This Row],[Slugging %]]-_xlfn.XLOOKUP(Cleaned_MLB_Stats_Dataset__1[[#This Row],[Year]],'League Averages'!$A$3:$A$23,'League Averages'!$D$3:$D$23)</f>
        <v>0.11555319148936166</v>
      </c>
      <c r="AE240" s="6">
        <f>Cleaned_MLB_Stats_Dataset__1[[#This Row],[OPS (On Base + Slugging)]]-_xlfn.XLOOKUP(Cleaned_MLB_Stats_Dataset__1[[#This Row],[Year]],'League Averages'!$A$3:$A$23,'League Averages'!$E$3:$E$23)</f>
        <v>0.20696110887318264</v>
      </c>
      <c r="AF240" s="6">
        <f>Cleaned_MLB_Stats_Dataset__1[[#This Row],[ISO (Isolated Power]]-_xlfn.XLOOKUP(Cleaned_MLB_Stats_Dataset__1[[#This Row],[Year]],'League Averages'!$A$3:$A$23,'League Averages'!$F$3:$F$23)</f>
        <v>7.3170212765957393E-2</v>
      </c>
    </row>
    <row r="241" spans="1:32" x14ac:dyDescent="0.2">
      <c r="A241" t="s">
        <v>309</v>
      </c>
      <c r="B241">
        <v>2002</v>
      </c>
      <c r="C241" t="s">
        <v>190</v>
      </c>
      <c r="D241" t="s">
        <v>3</v>
      </c>
      <c r="E241" t="s">
        <v>29</v>
      </c>
      <c r="F241" t="str">
        <f>_xlfn.XLOOKUP(Cleaned_MLB_Stats_Dataset__1[[#This Row],[Position'#]],$B$373:$B$382,$A$373:$A$382)</f>
        <v>3B</v>
      </c>
      <c r="G241">
        <v>5</v>
      </c>
      <c r="H241">
        <v>375</v>
      </c>
      <c r="I241">
        <v>97</v>
      </c>
      <c r="J241">
        <v>21</v>
      </c>
      <c r="K241">
        <v>4</v>
      </c>
      <c r="L241">
        <v>17</v>
      </c>
      <c r="M241">
        <v>52</v>
      </c>
      <c r="N241">
        <v>66</v>
      </c>
      <c r="O241">
        <v>68</v>
      </c>
      <c r="P241">
        <v>52</v>
      </c>
      <c r="Q241">
        <v>2</v>
      </c>
      <c r="R241">
        <v>8</v>
      </c>
      <c r="S241">
        <v>3</v>
      </c>
      <c r="T241">
        <v>0</v>
      </c>
      <c r="U241" s="6">
        <f>Cleaned_MLB_Stats_Dataset__1[[#This Row],[Hits]]/Cleaned_MLB_Stats_Dataset__1[[#This Row],[At Bats]]</f>
        <v>0.25866666666666666</v>
      </c>
      <c r="V241" s="6">
        <f>Cleaned_MLB_Stats_Dataset__1[[#This Row],[Strikeouts]]/(Cleaned_MLB_Stats_Dataset__1[[#This Row],[At Bats]]+Cleaned_MLB_Stats_Dataset__1[[#This Row],[Walks]])</f>
        <v>0.15925058548009369</v>
      </c>
      <c r="W24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0.13793103448275862</v>
      </c>
      <c r="X24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0.35844748858447489</v>
      </c>
      <c r="Y24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0.47199999999999998</v>
      </c>
      <c r="Z241" s="6">
        <f>Cleaned_MLB_Stats_Dataset__1[[#This Row],[On Base Percentage]]+Cleaned_MLB_Stats_Dataset__1[[#This Row],[Slugging %]]</f>
        <v>0.83044748858447481</v>
      </c>
      <c r="AA241" s="6">
        <f>Cleaned_MLB_Stats_Dataset__1[[#This Row],[Slugging %]]-Cleaned_MLB_Stats_Dataset__1[[#This Row],[Batting Average]]</f>
        <v>0.21333333333333332</v>
      </c>
      <c r="AB241" s="6">
        <f>Cleaned_MLB_Stats_Dataset__1[[#This Row],[Batting Average]]-_xlfn.XLOOKUP(Cleaned_MLB_Stats_Dataset__1[[#This Row],[Year]],'League Averages'!$A$3:$A$23,'League Averages'!$B$3:$B$23)</f>
        <v>-2.3333333333333539E-3</v>
      </c>
      <c r="AC241" s="6">
        <f>Cleaned_MLB_Stats_Dataset__1[[#This Row],[On Base Percentage]]-_xlfn.XLOOKUP(Cleaned_MLB_Stats_Dataset__1[[#This Row],[Year]],'League Averages'!$A$3:$A$23,'League Averages'!$C$3:$C$23)</f>
        <v>2.7447488584474877E-2</v>
      </c>
      <c r="AD241" s="6">
        <f>Cleaned_MLB_Stats_Dataset__1[[#This Row],[Slugging %]]-_xlfn.XLOOKUP(Cleaned_MLB_Stats_Dataset__1[[#This Row],[Year]],'League Averages'!$A$3:$A$23,'League Averages'!$D$3:$D$23)</f>
        <v>5.4999999999999993E-2</v>
      </c>
      <c r="AE241" s="6">
        <f>Cleaned_MLB_Stats_Dataset__1[[#This Row],[OPS (On Base + Slugging)]]-_xlfn.XLOOKUP(Cleaned_MLB_Stats_Dataset__1[[#This Row],[Year]],'League Averages'!$A$3:$A$23,'League Averages'!$E$3:$E$23)</f>
        <v>8.2447488584474815E-2</v>
      </c>
      <c r="AF241" s="6">
        <f>Cleaned_MLB_Stats_Dataset__1[[#This Row],[ISO (Isolated Power]]-_xlfn.XLOOKUP(Cleaned_MLB_Stats_Dataset__1[[#This Row],[Year]],'League Averages'!$A$3:$A$23,'League Averages'!$F$3:$F$23)</f>
        <v>5.7333333333333319E-2</v>
      </c>
    </row>
    <row r="242" spans="1:32" x14ac:dyDescent="0.2">
      <c r="A242" t="s">
        <v>309</v>
      </c>
      <c r="B242">
        <v>1998</v>
      </c>
      <c r="C242" t="s">
        <v>130</v>
      </c>
      <c r="D242" t="s">
        <v>3</v>
      </c>
      <c r="E242" t="s">
        <v>82</v>
      </c>
      <c r="F242" t="str">
        <f>_xlfn.XLOOKUP(Cleaned_MLB_Stats_Dataset__1[[#This Row],[Position'#]],$B$373:$B$382,$A$373:$A$382)</f>
        <v>2B</v>
      </c>
      <c r="G242">
        <v>4</v>
      </c>
      <c r="H242">
        <v>646</v>
      </c>
      <c r="I242">
        <v>210</v>
      </c>
      <c r="J242">
        <v>51</v>
      </c>
      <c r="K242">
        <v>2</v>
      </c>
      <c r="L242">
        <v>20</v>
      </c>
      <c r="M242">
        <v>123</v>
      </c>
      <c r="N242">
        <v>88</v>
      </c>
      <c r="O242">
        <v>113</v>
      </c>
      <c r="P242">
        <v>64</v>
      </c>
      <c r="Q242">
        <v>6</v>
      </c>
      <c r="R242">
        <v>23</v>
      </c>
      <c r="S242">
        <v>4</v>
      </c>
      <c r="T242">
        <v>1</v>
      </c>
      <c r="U242" s="6">
        <f>Cleaned_MLB_Stats_Dataset__1[[#This Row],[Hits]]/Cleaned_MLB_Stats_Dataset__1[[#This Row],[At Bats]]</f>
        <v>0.32507739938080493</v>
      </c>
      <c r="V242" s="6">
        <f>Cleaned_MLB_Stats_Dataset__1[[#This Row],[Strikeouts]]/(Cleaned_MLB_Stats_Dataset__1[[#This Row],[At Bats]]+Cleaned_MLB_Stats_Dataset__1[[#This Row],[Walks]])</f>
        <v>0.1591549295774648</v>
      </c>
      <c r="W24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0.11869031377899045</v>
      </c>
      <c r="X24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0.40298507462686567</v>
      </c>
      <c r="Y24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0.50309597523219818</v>
      </c>
      <c r="Z242" s="6">
        <f>Cleaned_MLB_Stats_Dataset__1[[#This Row],[On Base Percentage]]+Cleaned_MLB_Stats_Dataset__1[[#This Row],[Slugging %]]</f>
        <v>0.9060810498590639</v>
      </c>
      <c r="AA242" s="6">
        <f>Cleaned_MLB_Stats_Dataset__1[[#This Row],[Slugging %]]-Cleaned_MLB_Stats_Dataset__1[[#This Row],[Batting Average]]</f>
        <v>0.17801857585139325</v>
      </c>
      <c r="AB242" s="6">
        <f>Cleaned_MLB_Stats_Dataset__1[[#This Row],[Batting Average]]-_xlfn.XLOOKUP(Cleaned_MLB_Stats_Dataset__1[[#This Row],[Year]],'League Averages'!$A$3:$A$23,'League Averages'!$B$3:$B$23)</f>
        <v>5.9077399380804918E-2</v>
      </c>
      <c r="AC242" s="6">
        <f>Cleaned_MLB_Stats_Dataset__1[[#This Row],[On Base Percentage]]-_xlfn.XLOOKUP(Cleaned_MLB_Stats_Dataset__1[[#This Row],[Year]],'League Averages'!$A$3:$A$23,'League Averages'!$C$3:$C$23)</f>
        <v>6.7985074626865649E-2</v>
      </c>
      <c r="AD242" s="6">
        <f>Cleaned_MLB_Stats_Dataset__1[[#This Row],[Slugging %]]-_xlfn.XLOOKUP(Cleaned_MLB_Stats_Dataset__1[[#This Row],[Year]],'League Averages'!$A$3:$A$23,'League Averages'!$D$3:$D$23)</f>
        <v>8.3095975232198194E-2</v>
      </c>
      <c r="AE242" s="6">
        <f>Cleaned_MLB_Stats_Dataset__1[[#This Row],[OPS (On Base + Slugging)]]-_xlfn.XLOOKUP(Cleaned_MLB_Stats_Dataset__1[[#This Row],[Year]],'League Averages'!$A$3:$A$23,'League Averages'!$E$3:$E$23)</f>
        <v>0.1510810498590639</v>
      </c>
      <c r="AF242" s="6">
        <f>Cleaned_MLB_Stats_Dataset__1[[#This Row],[ISO (Isolated Power]]-_xlfn.XLOOKUP(Cleaned_MLB_Stats_Dataset__1[[#This Row],[Year]],'League Averages'!$A$3:$A$23,'League Averages'!$F$3:$F$23)</f>
        <v>2.4018575851393248E-2</v>
      </c>
    </row>
    <row r="243" spans="1:32" x14ac:dyDescent="0.2">
      <c r="A243" t="s">
        <v>309</v>
      </c>
      <c r="B243">
        <v>2000</v>
      </c>
      <c r="C243" t="s">
        <v>160</v>
      </c>
      <c r="D243" t="s">
        <v>3</v>
      </c>
      <c r="E243" t="s">
        <v>79</v>
      </c>
      <c r="F243" t="str">
        <f>_xlfn.XLOOKUP(Cleaned_MLB_Stats_Dataset__1[[#This Row],[Position'#]],$B$373:$B$382,$A$373:$A$382)</f>
        <v>2B</v>
      </c>
      <c r="G243">
        <v>4</v>
      </c>
      <c r="H243">
        <v>587</v>
      </c>
      <c r="I243">
        <v>196</v>
      </c>
      <c r="J243">
        <v>41</v>
      </c>
      <c r="K243">
        <v>7</v>
      </c>
      <c r="L243">
        <v>33</v>
      </c>
      <c r="M243">
        <v>114</v>
      </c>
      <c r="N243">
        <v>125</v>
      </c>
      <c r="O243">
        <v>107</v>
      </c>
      <c r="P243">
        <v>90</v>
      </c>
      <c r="Q243">
        <v>6</v>
      </c>
      <c r="R243">
        <v>9</v>
      </c>
      <c r="S243">
        <v>9</v>
      </c>
      <c r="T243">
        <v>0</v>
      </c>
      <c r="U243" s="6">
        <f>Cleaned_MLB_Stats_Dataset__1[[#This Row],[Hits]]/Cleaned_MLB_Stats_Dataset__1[[#This Row],[At Bats]]</f>
        <v>0.33390119250425893</v>
      </c>
      <c r="V243" s="6">
        <f>Cleaned_MLB_Stats_Dataset__1[[#This Row],[Strikeouts]]/(Cleaned_MLB_Stats_Dataset__1[[#This Row],[At Bats]]+Cleaned_MLB_Stats_Dataset__1[[#This Row],[Walks]])</f>
        <v>0.15805022156573117</v>
      </c>
      <c r="W24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0.14431486880466474</v>
      </c>
      <c r="X24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0.42446043165467628</v>
      </c>
      <c r="Y24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0.59625212947189099</v>
      </c>
      <c r="Z243" s="6">
        <f>Cleaned_MLB_Stats_Dataset__1[[#This Row],[On Base Percentage]]+Cleaned_MLB_Stats_Dataset__1[[#This Row],[Slugging %]]</f>
        <v>1.0207125611265673</v>
      </c>
      <c r="AA243" s="6">
        <f>Cleaned_MLB_Stats_Dataset__1[[#This Row],[Slugging %]]-Cleaned_MLB_Stats_Dataset__1[[#This Row],[Batting Average]]</f>
        <v>0.26235093696763206</v>
      </c>
      <c r="AB243" s="6">
        <f>Cleaned_MLB_Stats_Dataset__1[[#This Row],[Batting Average]]-_xlfn.XLOOKUP(Cleaned_MLB_Stats_Dataset__1[[#This Row],[Year]],'League Averages'!$A$3:$A$23,'League Averages'!$B$3:$B$23)</f>
        <v>6.3901192504258908E-2</v>
      </c>
      <c r="AC243" s="6">
        <f>Cleaned_MLB_Stats_Dataset__1[[#This Row],[On Base Percentage]]-_xlfn.XLOOKUP(Cleaned_MLB_Stats_Dataset__1[[#This Row],[Year]],'League Averages'!$A$3:$A$23,'League Averages'!$C$3:$C$23)</f>
        <v>7.9460431654676311E-2</v>
      </c>
      <c r="AD243" s="6">
        <f>Cleaned_MLB_Stats_Dataset__1[[#This Row],[Slugging %]]-_xlfn.XLOOKUP(Cleaned_MLB_Stats_Dataset__1[[#This Row],[Year]],'League Averages'!$A$3:$A$23,'League Averages'!$D$3:$D$23)</f>
        <v>0.15925212947189099</v>
      </c>
      <c r="AE243" s="6">
        <f>Cleaned_MLB_Stats_Dataset__1[[#This Row],[OPS (On Base + Slugging)]]-_xlfn.XLOOKUP(Cleaned_MLB_Stats_Dataset__1[[#This Row],[Year]],'League Averages'!$A$3:$A$23,'League Averages'!$E$3:$E$23)</f>
        <v>0.23871256112656725</v>
      </c>
      <c r="AF243" s="6">
        <f>Cleaned_MLB_Stats_Dataset__1[[#This Row],[ISO (Isolated Power]]-_xlfn.XLOOKUP(Cleaned_MLB_Stats_Dataset__1[[#This Row],[Year]],'League Averages'!$A$3:$A$23,'League Averages'!$F$3:$F$23)</f>
        <v>9.5350936967632055E-2</v>
      </c>
    </row>
    <row r="244" spans="1:32" x14ac:dyDescent="0.2">
      <c r="A244" t="s">
        <v>309</v>
      </c>
      <c r="B244">
        <v>1997</v>
      </c>
      <c r="C244" t="s">
        <v>173</v>
      </c>
      <c r="D244" t="s">
        <v>6</v>
      </c>
      <c r="E244" t="s">
        <v>91</v>
      </c>
      <c r="F244" t="str">
        <f>_xlfn.XLOOKUP(Cleaned_MLB_Stats_Dataset__1[[#This Row],[Position'#]],$B$373:$B$382,$A$373:$A$382)</f>
        <v>SS</v>
      </c>
      <c r="G244">
        <v>6</v>
      </c>
      <c r="H244">
        <v>587</v>
      </c>
      <c r="I244">
        <v>176</v>
      </c>
      <c r="J244">
        <v>40</v>
      </c>
      <c r="K244">
        <v>3</v>
      </c>
      <c r="L244">
        <v>23</v>
      </c>
      <c r="M244">
        <v>100</v>
      </c>
      <c r="N244">
        <v>84</v>
      </c>
      <c r="O244">
        <v>99</v>
      </c>
      <c r="P244">
        <v>41</v>
      </c>
      <c r="Q244">
        <v>1</v>
      </c>
      <c r="R244">
        <v>5</v>
      </c>
      <c r="S244">
        <v>1</v>
      </c>
      <c r="T244">
        <v>4</v>
      </c>
      <c r="U244" s="6">
        <f>Cleaned_MLB_Stats_Dataset__1[[#This Row],[Hits]]/Cleaned_MLB_Stats_Dataset__1[[#This Row],[At Bats]]</f>
        <v>0.29982964224872233</v>
      </c>
      <c r="V244" s="6">
        <f>Cleaned_MLB_Stats_Dataset__1[[#This Row],[Strikeouts]]/(Cleaned_MLB_Stats_Dataset__1[[#This Row],[At Bats]]+Cleaned_MLB_Stats_Dataset__1[[#This Row],[Walks]])</f>
        <v>0.15764331210191082</v>
      </c>
      <c r="W24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7.266982622432859E-2</v>
      </c>
      <c r="X24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0.35015772870662459</v>
      </c>
      <c r="Y24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0.49574105621805792</v>
      </c>
      <c r="Z244" s="6">
        <f>Cleaned_MLB_Stats_Dataset__1[[#This Row],[On Base Percentage]]+Cleaned_MLB_Stats_Dataset__1[[#This Row],[Slugging %]]</f>
        <v>0.84589878492468251</v>
      </c>
      <c r="AA244" s="6">
        <f>Cleaned_MLB_Stats_Dataset__1[[#This Row],[Slugging %]]-Cleaned_MLB_Stats_Dataset__1[[#This Row],[Batting Average]]</f>
        <v>0.19591141396933559</v>
      </c>
      <c r="AB244" s="6">
        <f>Cleaned_MLB_Stats_Dataset__1[[#This Row],[Batting Average]]-_xlfn.XLOOKUP(Cleaned_MLB_Stats_Dataset__1[[#This Row],[Year]],'League Averages'!$A$3:$A$23,'League Averages'!$B$3:$B$23)</f>
        <v>3.2829642248722313E-2</v>
      </c>
      <c r="AC244" s="6">
        <f>Cleaned_MLB_Stats_Dataset__1[[#This Row],[On Base Percentage]]-_xlfn.XLOOKUP(Cleaned_MLB_Stats_Dataset__1[[#This Row],[Year]],'League Averages'!$A$3:$A$23,'League Averages'!$C$3:$C$23)</f>
        <v>1.3157728706624572E-2</v>
      </c>
      <c r="AD244" s="6">
        <f>Cleaned_MLB_Stats_Dataset__1[[#This Row],[Slugging %]]-_xlfn.XLOOKUP(Cleaned_MLB_Stats_Dataset__1[[#This Row],[Year]],'League Averages'!$A$3:$A$23,'League Averages'!$D$3:$D$23)</f>
        <v>7.6741056218057935E-2</v>
      </c>
      <c r="AE244" s="6">
        <f>Cleaned_MLB_Stats_Dataset__1[[#This Row],[OPS (On Base + Slugging)]]-_xlfn.XLOOKUP(Cleaned_MLB_Stats_Dataset__1[[#This Row],[Year]],'League Averages'!$A$3:$A$23,'League Averages'!$E$3:$E$23)</f>
        <v>8.9898784924682507E-2</v>
      </c>
      <c r="AF244" s="6">
        <f>Cleaned_MLB_Stats_Dataset__1[[#This Row],[ISO (Isolated Power]]-_xlfn.XLOOKUP(Cleaned_MLB_Stats_Dataset__1[[#This Row],[Year]],'League Averages'!$A$3:$A$23,'League Averages'!$F$3:$F$23)</f>
        <v>4.3911413969335594E-2</v>
      </c>
    </row>
    <row r="245" spans="1:32" x14ac:dyDescent="0.2">
      <c r="A245" t="s">
        <v>309</v>
      </c>
      <c r="B245">
        <v>2001</v>
      </c>
      <c r="C245" t="s">
        <v>155</v>
      </c>
      <c r="D245" t="s">
        <v>6</v>
      </c>
      <c r="E245" t="s">
        <v>90</v>
      </c>
      <c r="F245" t="str">
        <f>_xlfn.XLOOKUP(Cleaned_MLB_Stats_Dataset__1[[#This Row],[Position'#]],$B$373:$B$382,$A$373:$A$382)</f>
        <v>C</v>
      </c>
      <c r="G245">
        <v>2</v>
      </c>
      <c r="H245">
        <v>442</v>
      </c>
      <c r="I245">
        <v>136</v>
      </c>
      <c r="J245">
        <v>24</v>
      </c>
      <c r="K245">
        <v>2</v>
      </c>
      <c r="L245">
        <v>25</v>
      </c>
      <c r="M245">
        <v>70</v>
      </c>
      <c r="N245">
        <v>65</v>
      </c>
      <c r="O245">
        <v>73</v>
      </c>
      <c r="P245">
        <v>23</v>
      </c>
      <c r="Q245">
        <v>3</v>
      </c>
      <c r="R245">
        <v>4</v>
      </c>
      <c r="S245">
        <v>1</v>
      </c>
      <c r="T245">
        <v>0</v>
      </c>
      <c r="U245" s="6">
        <f>Cleaned_MLB_Stats_Dataset__1[[#This Row],[Hits]]/Cleaned_MLB_Stats_Dataset__1[[#This Row],[At Bats]]</f>
        <v>0.30769230769230771</v>
      </c>
      <c r="V245" s="6">
        <f>Cleaned_MLB_Stats_Dataset__1[[#This Row],[Strikeouts]]/(Cleaned_MLB_Stats_Dataset__1[[#This Row],[At Bats]]+Cleaned_MLB_Stats_Dataset__1[[#This Row],[Walks]])</f>
        <v>0.15698924731182795</v>
      </c>
      <c r="W24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5.7569296375266525E-2</v>
      </c>
      <c r="X24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0.34680851063829787</v>
      </c>
      <c r="Y24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0.54072398190045246</v>
      </c>
      <c r="Z245" s="6">
        <f>Cleaned_MLB_Stats_Dataset__1[[#This Row],[On Base Percentage]]+Cleaned_MLB_Stats_Dataset__1[[#This Row],[Slugging %]]</f>
        <v>0.88753249253875033</v>
      </c>
      <c r="AA245" s="6">
        <f>Cleaned_MLB_Stats_Dataset__1[[#This Row],[Slugging %]]-Cleaned_MLB_Stats_Dataset__1[[#This Row],[Batting Average]]</f>
        <v>0.23303167420814475</v>
      </c>
      <c r="AB245" s="6">
        <f>Cleaned_MLB_Stats_Dataset__1[[#This Row],[Batting Average]]-_xlfn.XLOOKUP(Cleaned_MLB_Stats_Dataset__1[[#This Row],[Year]],'League Averages'!$A$3:$A$23,'League Averages'!$B$3:$B$23)</f>
        <v>4.3692307692307697E-2</v>
      </c>
      <c r="AC245" s="6">
        <f>Cleaned_MLB_Stats_Dataset__1[[#This Row],[On Base Percentage]]-_xlfn.XLOOKUP(Cleaned_MLB_Stats_Dataset__1[[#This Row],[Year]],'League Averages'!$A$3:$A$23,'League Averages'!$C$3:$C$23)</f>
        <v>1.4808510638297856E-2</v>
      </c>
      <c r="AD245" s="6">
        <f>Cleaned_MLB_Stats_Dataset__1[[#This Row],[Slugging %]]-_xlfn.XLOOKUP(Cleaned_MLB_Stats_Dataset__1[[#This Row],[Year]],'League Averages'!$A$3:$A$23,'League Averages'!$D$3:$D$23)</f>
        <v>0.11372398190045246</v>
      </c>
      <c r="AE245" s="6">
        <f>Cleaned_MLB_Stats_Dataset__1[[#This Row],[OPS (On Base + Slugging)]]-_xlfn.XLOOKUP(Cleaned_MLB_Stats_Dataset__1[[#This Row],[Year]],'League Averages'!$A$3:$A$23,'League Averages'!$E$3:$E$23)</f>
        <v>0.12853249253875032</v>
      </c>
      <c r="AF245" s="6">
        <f>Cleaned_MLB_Stats_Dataset__1[[#This Row],[ISO (Isolated Power]]-_xlfn.XLOOKUP(Cleaned_MLB_Stats_Dataset__1[[#This Row],[Year]],'League Averages'!$A$3:$A$23,'League Averages'!$F$3:$F$23)</f>
        <v>7.003167420814474E-2</v>
      </c>
    </row>
    <row r="246" spans="1:32" x14ac:dyDescent="0.2">
      <c r="A246" t="s">
        <v>309</v>
      </c>
      <c r="B246">
        <v>1995</v>
      </c>
      <c r="C246" t="s">
        <v>153</v>
      </c>
      <c r="D246" t="s">
        <v>3</v>
      </c>
      <c r="E246" t="s">
        <v>164</v>
      </c>
      <c r="F246" t="str">
        <f>_xlfn.XLOOKUP(Cleaned_MLB_Stats_Dataset__1[[#This Row],[Position'#]],$B$373:$B$382,$A$373:$A$382)</f>
        <v>3B</v>
      </c>
      <c r="G246">
        <v>5</v>
      </c>
      <c r="H246">
        <v>527</v>
      </c>
      <c r="I246">
        <v>163</v>
      </c>
      <c r="J246">
        <v>34</v>
      </c>
      <c r="K246">
        <v>2</v>
      </c>
      <c r="L246">
        <v>32</v>
      </c>
      <c r="M246">
        <v>82</v>
      </c>
      <c r="N246">
        <v>90</v>
      </c>
      <c r="O246">
        <v>87</v>
      </c>
      <c r="P246">
        <v>30</v>
      </c>
      <c r="Q246">
        <v>2</v>
      </c>
      <c r="R246">
        <v>4</v>
      </c>
      <c r="S246">
        <v>6</v>
      </c>
      <c r="T246">
        <v>4</v>
      </c>
      <c r="U246" s="6">
        <f>Cleaned_MLB_Stats_Dataset__1[[#This Row],[Hits]]/Cleaned_MLB_Stats_Dataset__1[[#This Row],[At Bats]]</f>
        <v>0.30929791271347251</v>
      </c>
      <c r="V246" s="6">
        <f>Cleaned_MLB_Stats_Dataset__1[[#This Row],[Strikeouts]]/(Cleaned_MLB_Stats_Dataset__1[[#This Row],[At Bats]]+Cleaned_MLB_Stats_Dataset__1[[#This Row],[Walks]])</f>
        <v>0.15619389587073609</v>
      </c>
      <c r="W24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6.0606060606060608E-2</v>
      </c>
      <c r="X24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0.34744268077601409</v>
      </c>
      <c r="Y24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0.56356736242884253</v>
      </c>
      <c r="Z246" s="6">
        <f>Cleaned_MLB_Stats_Dataset__1[[#This Row],[On Base Percentage]]+Cleaned_MLB_Stats_Dataset__1[[#This Row],[Slugging %]]</f>
        <v>0.91101004320485668</v>
      </c>
      <c r="AA246" s="6">
        <f>Cleaned_MLB_Stats_Dataset__1[[#This Row],[Slugging %]]-Cleaned_MLB_Stats_Dataset__1[[#This Row],[Batting Average]]</f>
        <v>0.25426944971537002</v>
      </c>
      <c r="AB246" s="6">
        <f>Cleaned_MLB_Stats_Dataset__1[[#This Row],[Batting Average]]-_xlfn.XLOOKUP(Cleaned_MLB_Stats_Dataset__1[[#This Row],[Year]],'League Averages'!$A$3:$A$23,'League Averages'!$B$3:$B$23)</f>
        <v>4.2297912713472496E-2</v>
      </c>
      <c r="AC246" s="6">
        <f>Cleaned_MLB_Stats_Dataset__1[[#This Row],[On Base Percentage]]-_xlfn.XLOOKUP(Cleaned_MLB_Stats_Dataset__1[[#This Row],[Year]],'League Averages'!$A$3:$A$23,'League Averages'!$C$3:$C$23)</f>
        <v>9.4426807760140674E-3</v>
      </c>
      <c r="AD246" s="6">
        <f>Cleaned_MLB_Stats_Dataset__1[[#This Row],[Slugging %]]-_xlfn.XLOOKUP(Cleaned_MLB_Stats_Dataset__1[[#This Row],[Year]],'League Averages'!$A$3:$A$23,'League Averages'!$D$3:$D$23)</f>
        <v>0.14656736242884255</v>
      </c>
      <c r="AE246" s="6">
        <f>Cleaned_MLB_Stats_Dataset__1[[#This Row],[OPS (On Base + Slugging)]]-_xlfn.XLOOKUP(Cleaned_MLB_Stats_Dataset__1[[#This Row],[Year]],'League Averages'!$A$3:$A$23,'League Averages'!$E$3:$E$23)</f>
        <v>0.15601004320485667</v>
      </c>
      <c r="AF246" s="6">
        <f>Cleaned_MLB_Stats_Dataset__1[[#This Row],[ISO (Isolated Power]]-_xlfn.XLOOKUP(Cleaned_MLB_Stats_Dataset__1[[#This Row],[Year]],'League Averages'!$A$3:$A$23,'League Averages'!$F$3:$F$23)</f>
        <v>0.10426944971537003</v>
      </c>
    </row>
    <row r="247" spans="1:32" x14ac:dyDescent="0.2">
      <c r="A247" t="s">
        <v>309</v>
      </c>
      <c r="B247">
        <v>1997</v>
      </c>
      <c r="C247" t="s">
        <v>128</v>
      </c>
      <c r="D247" t="s">
        <v>6</v>
      </c>
      <c r="E247" t="s">
        <v>78</v>
      </c>
      <c r="F247" t="str">
        <f>_xlfn.XLOOKUP(Cleaned_MLB_Stats_Dataset__1[[#This Row],[Position'#]],$B$373:$B$382,$A$373:$A$382)</f>
        <v>LF</v>
      </c>
      <c r="G247">
        <v>7</v>
      </c>
      <c r="H247">
        <v>590</v>
      </c>
      <c r="I247">
        <v>170</v>
      </c>
      <c r="J247">
        <v>39</v>
      </c>
      <c r="K247">
        <v>7</v>
      </c>
      <c r="L247">
        <v>18</v>
      </c>
      <c r="M247">
        <v>97</v>
      </c>
      <c r="N247">
        <v>73</v>
      </c>
      <c r="O247">
        <v>105</v>
      </c>
      <c r="P247">
        <v>84</v>
      </c>
      <c r="Q247">
        <v>6</v>
      </c>
      <c r="R247">
        <v>19</v>
      </c>
      <c r="S247">
        <v>1</v>
      </c>
      <c r="T247">
        <v>2</v>
      </c>
      <c r="U247" s="6">
        <f>Cleaned_MLB_Stats_Dataset__1[[#This Row],[Hits]]/Cleaned_MLB_Stats_Dataset__1[[#This Row],[At Bats]]</f>
        <v>0.28813559322033899</v>
      </c>
      <c r="V247" s="6">
        <f>Cleaned_MLB_Stats_Dataset__1[[#This Row],[Strikeouts]]/(Cleaned_MLB_Stats_Dataset__1[[#This Row],[At Bats]]+Cleaned_MLB_Stats_Dataset__1[[#This Row],[Walks]])</f>
        <v>0.15578635014836795</v>
      </c>
      <c r="W24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0.14862914862914864</v>
      </c>
      <c r="X24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0.39337175792507206</v>
      </c>
      <c r="Y24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0.46949152542372879</v>
      </c>
      <c r="Z247" s="6">
        <f>Cleaned_MLB_Stats_Dataset__1[[#This Row],[On Base Percentage]]+Cleaned_MLB_Stats_Dataset__1[[#This Row],[Slugging %]]</f>
        <v>0.8628632833488008</v>
      </c>
      <c r="AA247" s="6">
        <f>Cleaned_MLB_Stats_Dataset__1[[#This Row],[Slugging %]]-Cleaned_MLB_Stats_Dataset__1[[#This Row],[Batting Average]]</f>
        <v>0.1813559322033898</v>
      </c>
      <c r="AB247" s="6">
        <f>Cleaned_MLB_Stats_Dataset__1[[#This Row],[Batting Average]]-_xlfn.XLOOKUP(Cleaned_MLB_Stats_Dataset__1[[#This Row],[Year]],'League Averages'!$A$3:$A$23,'League Averages'!$B$3:$B$23)</f>
        <v>2.1135593220338977E-2</v>
      </c>
      <c r="AC247" s="6">
        <f>Cleaned_MLB_Stats_Dataset__1[[#This Row],[On Base Percentage]]-_xlfn.XLOOKUP(Cleaned_MLB_Stats_Dataset__1[[#This Row],[Year]],'League Averages'!$A$3:$A$23,'League Averages'!$C$3:$C$23)</f>
        <v>5.6371757925072041E-2</v>
      </c>
      <c r="AD247" s="6">
        <f>Cleaned_MLB_Stats_Dataset__1[[#This Row],[Slugging %]]-_xlfn.XLOOKUP(Cleaned_MLB_Stats_Dataset__1[[#This Row],[Year]],'League Averages'!$A$3:$A$23,'League Averages'!$D$3:$D$23)</f>
        <v>5.0491525423728811E-2</v>
      </c>
      <c r="AE247" s="6">
        <f>Cleaned_MLB_Stats_Dataset__1[[#This Row],[OPS (On Base + Slugging)]]-_xlfn.XLOOKUP(Cleaned_MLB_Stats_Dataset__1[[#This Row],[Year]],'League Averages'!$A$3:$A$23,'League Averages'!$E$3:$E$23)</f>
        <v>0.1068632833488008</v>
      </c>
      <c r="AF247" s="6">
        <f>Cleaned_MLB_Stats_Dataset__1[[#This Row],[ISO (Isolated Power]]-_xlfn.XLOOKUP(Cleaned_MLB_Stats_Dataset__1[[#This Row],[Year]],'League Averages'!$A$3:$A$23,'League Averages'!$F$3:$F$23)</f>
        <v>2.9355932203389806E-2</v>
      </c>
    </row>
    <row r="248" spans="1:32" x14ac:dyDescent="0.2">
      <c r="A248" t="s">
        <v>309</v>
      </c>
      <c r="B248">
        <v>1999</v>
      </c>
      <c r="C248" t="s">
        <v>138</v>
      </c>
      <c r="D248" t="s">
        <v>6</v>
      </c>
      <c r="E248" t="s">
        <v>91</v>
      </c>
      <c r="F248" t="str">
        <f>_xlfn.XLOOKUP(Cleaned_MLB_Stats_Dataset__1[[#This Row],[Position'#]],$B$373:$B$382,$A$373:$A$382)</f>
        <v>CF</v>
      </c>
      <c r="G248">
        <v>8</v>
      </c>
      <c r="H248">
        <v>606</v>
      </c>
      <c r="I248">
        <v>173</v>
      </c>
      <c r="J248">
        <v>26</v>
      </c>
      <c r="K248">
        <v>3</v>
      </c>
      <c r="L248">
        <v>48</v>
      </c>
      <c r="M248">
        <v>123</v>
      </c>
      <c r="N248">
        <v>134</v>
      </c>
      <c r="O248">
        <v>108</v>
      </c>
      <c r="P248">
        <v>91</v>
      </c>
      <c r="Q248">
        <v>17</v>
      </c>
      <c r="R248">
        <v>7</v>
      </c>
      <c r="S248">
        <v>2</v>
      </c>
      <c r="T248">
        <v>0</v>
      </c>
      <c r="U248" s="6">
        <f>Cleaned_MLB_Stats_Dataset__1[[#This Row],[Hits]]/Cleaned_MLB_Stats_Dataset__1[[#This Row],[At Bats]]</f>
        <v>0.28547854785478549</v>
      </c>
      <c r="V248" s="6">
        <f>Cleaned_MLB_Stats_Dataset__1[[#This Row],[Strikeouts]]/(Cleaned_MLB_Stats_Dataset__1[[#This Row],[At Bats]]+Cleaned_MLB_Stats_Dataset__1[[#This Row],[Walks]])</f>
        <v>0.15494978479196556</v>
      </c>
      <c r="W24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0.13920454545454544</v>
      </c>
      <c r="X24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0.38385269121813032</v>
      </c>
      <c r="Y24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0.57590759075907594</v>
      </c>
      <c r="Z248" s="6">
        <f>Cleaned_MLB_Stats_Dataset__1[[#This Row],[On Base Percentage]]+Cleaned_MLB_Stats_Dataset__1[[#This Row],[Slugging %]]</f>
        <v>0.9597602819772062</v>
      </c>
      <c r="AA248" s="6">
        <f>Cleaned_MLB_Stats_Dataset__1[[#This Row],[Slugging %]]-Cleaned_MLB_Stats_Dataset__1[[#This Row],[Batting Average]]</f>
        <v>0.29042904290429045</v>
      </c>
      <c r="AB248" s="6">
        <f>Cleaned_MLB_Stats_Dataset__1[[#This Row],[Batting Average]]-_xlfn.XLOOKUP(Cleaned_MLB_Stats_Dataset__1[[#This Row],[Year]],'League Averages'!$A$3:$A$23,'League Averages'!$B$3:$B$23)</f>
        <v>1.4478547854785473E-2</v>
      </c>
      <c r="AC248" s="6">
        <f>Cleaned_MLB_Stats_Dataset__1[[#This Row],[On Base Percentage]]-_xlfn.XLOOKUP(Cleaned_MLB_Stats_Dataset__1[[#This Row],[Year]],'League Averages'!$A$3:$A$23,'League Averages'!$C$3:$C$23)</f>
        <v>3.8852691218130342E-2</v>
      </c>
      <c r="AD248" s="6">
        <f>Cleaned_MLB_Stats_Dataset__1[[#This Row],[Slugging %]]-_xlfn.XLOOKUP(Cleaned_MLB_Stats_Dataset__1[[#This Row],[Year]],'League Averages'!$A$3:$A$23,'League Averages'!$D$3:$D$23)</f>
        <v>0.14190759075907594</v>
      </c>
      <c r="AE248" s="6">
        <f>Cleaned_MLB_Stats_Dataset__1[[#This Row],[OPS (On Base + Slugging)]]-_xlfn.XLOOKUP(Cleaned_MLB_Stats_Dataset__1[[#This Row],[Year]],'League Averages'!$A$3:$A$23,'League Averages'!$E$3:$E$23)</f>
        <v>0.18176028197720617</v>
      </c>
      <c r="AF248" s="6">
        <f>Cleaned_MLB_Stats_Dataset__1[[#This Row],[ISO (Isolated Power]]-_xlfn.XLOOKUP(Cleaned_MLB_Stats_Dataset__1[[#This Row],[Year]],'League Averages'!$A$3:$A$23,'League Averages'!$F$3:$F$23)</f>
        <v>0.12742904290429044</v>
      </c>
    </row>
    <row r="249" spans="1:32" x14ac:dyDescent="0.2">
      <c r="A249" t="s">
        <v>309</v>
      </c>
      <c r="B249">
        <v>1996</v>
      </c>
      <c r="C249" t="s">
        <v>129</v>
      </c>
      <c r="D249" t="s">
        <v>3</v>
      </c>
      <c r="E249" t="s">
        <v>164</v>
      </c>
      <c r="F249" t="str">
        <f>_xlfn.XLOOKUP(Cleaned_MLB_Stats_Dataset__1[[#This Row],[Position'#]],$B$373:$B$382,$A$373:$A$382)</f>
        <v>RF</v>
      </c>
      <c r="G249">
        <v>9</v>
      </c>
      <c r="H249">
        <v>633</v>
      </c>
      <c r="I249">
        <v>198</v>
      </c>
      <c r="J249">
        <v>39</v>
      </c>
      <c r="K249">
        <v>3</v>
      </c>
      <c r="L249">
        <v>31</v>
      </c>
      <c r="M249">
        <v>114</v>
      </c>
      <c r="N249">
        <v>141</v>
      </c>
      <c r="O249">
        <v>105</v>
      </c>
      <c r="P249">
        <v>45</v>
      </c>
      <c r="Q249">
        <v>4</v>
      </c>
      <c r="R249">
        <v>6</v>
      </c>
      <c r="S249">
        <v>10</v>
      </c>
      <c r="T249">
        <v>0</v>
      </c>
      <c r="U249" s="6">
        <f>Cleaned_MLB_Stats_Dataset__1[[#This Row],[Hits]]/Cleaned_MLB_Stats_Dataset__1[[#This Row],[At Bats]]</f>
        <v>0.3127962085308057</v>
      </c>
      <c r="V249" s="6">
        <f>Cleaned_MLB_Stats_Dataset__1[[#This Row],[Strikeouts]]/(Cleaned_MLB_Stats_Dataset__1[[#This Row],[At Bats]]+Cleaned_MLB_Stats_Dataset__1[[#This Row],[Walks]])</f>
        <v>0.15486725663716813</v>
      </c>
      <c r="W24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7.4561403508771926E-2</v>
      </c>
      <c r="X24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0.35878962536023057</v>
      </c>
      <c r="Y24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0.53080568720379151</v>
      </c>
      <c r="Z249" s="6">
        <f>Cleaned_MLB_Stats_Dataset__1[[#This Row],[On Base Percentage]]+Cleaned_MLB_Stats_Dataset__1[[#This Row],[Slugging %]]</f>
        <v>0.88959531256402213</v>
      </c>
      <c r="AA249" s="6">
        <f>Cleaned_MLB_Stats_Dataset__1[[#This Row],[Slugging %]]-Cleaned_MLB_Stats_Dataset__1[[#This Row],[Batting Average]]</f>
        <v>0.21800947867298581</v>
      </c>
      <c r="AB249" s="6">
        <f>Cleaned_MLB_Stats_Dataset__1[[#This Row],[Batting Average]]-_xlfn.XLOOKUP(Cleaned_MLB_Stats_Dataset__1[[#This Row],[Year]],'League Averages'!$A$3:$A$23,'League Averages'!$B$3:$B$23)</f>
        <v>4.2796208530805679E-2</v>
      </c>
      <c r="AC249" s="6">
        <f>Cleaned_MLB_Stats_Dataset__1[[#This Row],[On Base Percentage]]-_xlfn.XLOOKUP(Cleaned_MLB_Stats_Dataset__1[[#This Row],[Year]],'League Averages'!$A$3:$A$23,'League Averages'!$C$3:$C$23)</f>
        <v>1.8789625360230544E-2</v>
      </c>
      <c r="AD249" s="6">
        <f>Cleaned_MLB_Stats_Dataset__1[[#This Row],[Slugging %]]-_xlfn.XLOOKUP(Cleaned_MLB_Stats_Dataset__1[[#This Row],[Year]],'League Averages'!$A$3:$A$23,'League Averages'!$D$3:$D$23)</f>
        <v>0.10380568720379152</v>
      </c>
      <c r="AE249" s="6">
        <f>Cleaned_MLB_Stats_Dataset__1[[#This Row],[OPS (On Base + Slugging)]]-_xlfn.XLOOKUP(Cleaned_MLB_Stats_Dataset__1[[#This Row],[Year]],'League Averages'!$A$3:$A$23,'League Averages'!$E$3:$E$23)</f>
        <v>0.12259531256402212</v>
      </c>
      <c r="AF249" s="6">
        <f>Cleaned_MLB_Stats_Dataset__1[[#This Row],[ISO (Isolated Power]]-_xlfn.XLOOKUP(Cleaned_MLB_Stats_Dataset__1[[#This Row],[Year]],'League Averages'!$A$3:$A$23,'League Averages'!$F$3:$F$23)</f>
        <v>6.1009478672985812E-2</v>
      </c>
    </row>
    <row r="250" spans="1:32" x14ac:dyDescent="0.2">
      <c r="A250" t="s">
        <v>309</v>
      </c>
      <c r="B250">
        <v>1999</v>
      </c>
      <c r="C250" t="s">
        <v>154</v>
      </c>
      <c r="D250" t="s">
        <v>6</v>
      </c>
      <c r="E250" t="s">
        <v>66</v>
      </c>
      <c r="F250" t="str">
        <f>_xlfn.XLOOKUP(Cleaned_MLB_Stats_Dataset__1[[#This Row],[Position'#]],$B$373:$B$382,$A$373:$A$382)</f>
        <v>LF</v>
      </c>
      <c r="G250">
        <v>7</v>
      </c>
      <c r="H250">
        <v>465</v>
      </c>
      <c r="I250">
        <v>140</v>
      </c>
      <c r="J250">
        <v>28</v>
      </c>
      <c r="K250">
        <v>6</v>
      </c>
      <c r="L250">
        <v>7</v>
      </c>
      <c r="M250">
        <v>110</v>
      </c>
      <c r="N250">
        <v>39</v>
      </c>
      <c r="O250">
        <v>84</v>
      </c>
      <c r="P250">
        <v>79</v>
      </c>
      <c r="Q250">
        <v>2</v>
      </c>
      <c r="R250">
        <v>6</v>
      </c>
      <c r="S250">
        <v>5</v>
      </c>
      <c r="T250">
        <v>5</v>
      </c>
      <c r="U250" s="6">
        <f>Cleaned_MLB_Stats_Dataset__1[[#This Row],[Hits]]/Cleaned_MLB_Stats_Dataset__1[[#This Row],[At Bats]]</f>
        <v>0.30107526881720431</v>
      </c>
      <c r="V250" s="6">
        <f>Cleaned_MLB_Stats_Dataset__1[[#This Row],[Strikeouts]]/(Cleaned_MLB_Stats_Dataset__1[[#This Row],[At Bats]]+Cleaned_MLB_Stats_Dataset__1[[#This Row],[Walks]])</f>
        <v>0.15441176470588236</v>
      </c>
      <c r="W25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0.15454545454545454</v>
      </c>
      <c r="X25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0.40540540540540543</v>
      </c>
      <c r="Y25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0.43225806451612903</v>
      </c>
      <c r="Z250" s="6">
        <f>Cleaned_MLB_Stats_Dataset__1[[#This Row],[On Base Percentage]]+Cleaned_MLB_Stats_Dataset__1[[#This Row],[Slugging %]]</f>
        <v>0.8376634699215344</v>
      </c>
      <c r="AA250" s="6">
        <f>Cleaned_MLB_Stats_Dataset__1[[#This Row],[Slugging %]]-Cleaned_MLB_Stats_Dataset__1[[#This Row],[Batting Average]]</f>
        <v>0.13118279569892471</v>
      </c>
      <c r="AB250" s="6">
        <f>Cleaned_MLB_Stats_Dataset__1[[#This Row],[Batting Average]]-_xlfn.XLOOKUP(Cleaned_MLB_Stats_Dataset__1[[#This Row],[Year]],'League Averages'!$A$3:$A$23,'League Averages'!$B$3:$B$23)</f>
        <v>3.0075268817204293E-2</v>
      </c>
      <c r="AC250" s="6">
        <f>Cleaned_MLB_Stats_Dataset__1[[#This Row],[On Base Percentage]]-_xlfn.XLOOKUP(Cleaned_MLB_Stats_Dataset__1[[#This Row],[Year]],'League Averages'!$A$3:$A$23,'League Averages'!$C$3:$C$23)</f>
        <v>6.0405405405405455E-2</v>
      </c>
      <c r="AD250" s="6">
        <f>Cleaned_MLB_Stats_Dataset__1[[#This Row],[Slugging %]]-_xlfn.XLOOKUP(Cleaned_MLB_Stats_Dataset__1[[#This Row],[Year]],'League Averages'!$A$3:$A$23,'League Averages'!$D$3:$D$23)</f>
        <v>-1.7419354838709711E-3</v>
      </c>
      <c r="AE250" s="6">
        <f>Cleaned_MLB_Stats_Dataset__1[[#This Row],[OPS (On Base + Slugging)]]-_xlfn.XLOOKUP(Cleaned_MLB_Stats_Dataset__1[[#This Row],[Year]],'League Averages'!$A$3:$A$23,'League Averages'!$E$3:$E$23)</f>
        <v>5.9663469921534373E-2</v>
      </c>
      <c r="AF250" s="6">
        <f>Cleaned_MLB_Stats_Dataset__1[[#This Row],[ISO (Isolated Power]]-_xlfn.XLOOKUP(Cleaned_MLB_Stats_Dataset__1[[#This Row],[Year]],'League Averages'!$A$3:$A$23,'League Averages'!$F$3:$F$23)</f>
        <v>-3.1817204301075291E-2</v>
      </c>
    </row>
    <row r="251" spans="1:32" x14ac:dyDescent="0.2">
      <c r="A251" t="s">
        <v>309</v>
      </c>
      <c r="B251">
        <v>2002</v>
      </c>
      <c r="C251" t="s">
        <v>163</v>
      </c>
      <c r="D251" t="s">
        <v>3</v>
      </c>
      <c r="E251" t="s">
        <v>83</v>
      </c>
      <c r="F251" t="str">
        <f>_xlfn.XLOOKUP(Cleaned_MLB_Stats_Dataset__1[[#This Row],[Position'#]],$B$373:$B$382,$A$373:$A$382)</f>
        <v>C</v>
      </c>
      <c r="G251">
        <v>2</v>
      </c>
      <c r="H251">
        <v>478</v>
      </c>
      <c r="I251">
        <v>134</v>
      </c>
      <c r="J251">
        <v>23</v>
      </c>
      <c r="K251">
        <v>2</v>
      </c>
      <c r="L251">
        <v>33</v>
      </c>
      <c r="M251">
        <v>69</v>
      </c>
      <c r="N251">
        <v>98</v>
      </c>
      <c r="O251">
        <v>82</v>
      </c>
      <c r="P251">
        <v>57</v>
      </c>
      <c r="Q251">
        <v>9</v>
      </c>
      <c r="R251">
        <v>3</v>
      </c>
      <c r="S251">
        <v>3</v>
      </c>
      <c r="T251">
        <v>0</v>
      </c>
      <c r="U251" s="6">
        <f>Cleaned_MLB_Stats_Dataset__1[[#This Row],[Hits]]/Cleaned_MLB_Stats_Dataset__1[[#This Row],[At Bats]]</f>
        <v>0.28033472803347281</v>
      </c>
      <c r="V251" s="6">
        <f>Cleaned_MLB_Stats_Dataset__1[[#This Row],[Strikeouts]]/(Cleaned_MLB_Stats_Dataset__1[[#This Row],[At Bats]]+Cleaned_MLB_Stats_Dataset__1[[#This Row],[Walks]])</f>
        <v>0.15327102803738318</v>
      </c>
      <c r="W25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0.11152416356877323</v>
      </c>
      <c r="X25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0.35859519408502771</v>
      </c>
      <c r="Y25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0.54393305439330542</v>
      </c>
      <c r="Z251" s="6">
        <f>Cleaned_MLB_Stats_Dataset__1[[#This Row],[On Base Percentage]]+Cleaned_MLB_Stats_Dataset__1[[#This Row],[Slugging %]]</f>
        <v>0.90252824847833313</v>
      </c>
      <c r="AA251" s="6">
        <f>Cleaned_MLB_Stats_Dataset__1[[#This Row],[Slugging %]]-Cleaned_MLB_Stats_Dataset__1[[#This Row],[Batting Average]]</f>
        <v>0.2635983263598326</v>
      </c>
      <c r="AB251" s="6">
        <f>Cleaned_MLB_Stats_Dataset__1[[#This Row],[Batting Average]]-_xlfn.XLOOKUP(Cleaned_MLB_Stats_Dataset__1[[#This Row],[Year]],'League Averages'!$A$3:$A$23,'League Averages'!$B$3:$B$23)</f>
        <v>1.9334728033472803E-2</v>
      </c>
      <c r="AC251" s="6">
        <f>Cleaned_MLB_Stats_Dataset__1[[#This Row],[On Base Percentage]]-_xlfn.XLOOKUP(Cleaned_MLB_Stats_Dataset__1[[#This Row],[Year]],'League Averages'!$A$3:$A$23,'League Averages'!$C$3:$C$23)</f>
        <v>2.7595194085027697E-2</v>
      </c>
      <c r="AD251" s="6">
        <f>Cleaned_MLB_Stats_Dataset__1[[#This Row],[Slugging %]]-_xlfn.XLOOKUP(Cleaned_MLB_Stats_Dataset__1[[#This Row],[Year]],'League Averages'!$A$3:$A$23,'League Averages'!$D$3:$D$23)</f>
        <v>0.12693305439330543</v>
      </c>
      <c r="AE251" s="6">
        <f>Cleaned_MLB_Stats_Dataset__1[[#This Row],[OPS (On Base + Slugging)]]-_xlfn.XLOOKUP(Cleaned_MLB_Stats_Dataset__1[[#This Row],[Year]],'League Averages'!$A$3:$A$23,'League Averages'!$E$3:$E$23)</f>
        <v>0.15452824847833313</v>
      </c>
      <c r="AF251" s="6">
        <f>Cleaned_MLB_Stats_Dataset__1[[#This Row],[ISO (Isolated Power]]-_xlfn.XLOOKUP(Cleaned_MLB_Stats_Dataset__1[[#This Row],[Year]],'League Averages'!$A$3:$A$23,'League Averages'!$F$3:$F$23)</f>
        <v>0.1075983263598326</v>
      </c>
    </row>
    <row r="252" spans="1:32" x14ac:dyDescent="0.2">
      <c r="A252" t="s">
        <v>309</v>
      </c>
      <c r="B252">
        <v>2001</v>
      </c>
      <c r="C252" t="s">
        <v>163</v>
      </c>
      <c r="D252" t="s">
        <v>3</v>
      </c>
      <c r="E252" t="s">
        <v>83</v>
      </c>
      <c r="F252" t="str">
        <f>_xlfn.XLOOKUP(Cleaned_MLB_Stats_Dataset__1[[#This Row],[Position'#]],$B$373:$B$382,$A$373:$A$382)</f>
        <v>C</v>
      </c>
      <c r="G252">
        <v>2</v>
      </c>
      <c r="H252">
        <v>503</v>
      </c>
      <c r="I252">
        <v>151</v>
      </c>
      <c r="J252">
        <v>29</v>
      </c>
      <c r="K252">
        <v>0</v>
      </c>
      <c r="L252">
        <v>36</v>
      </c>
      <c r="M252">
        <v>81</v>
      </c>
      <c r="N252">
        <v>94</v>
      </c>
      <c r="O252">
        <v>87</v>
      </c>
      <c r="P252">
        <v>67</v>
      </c>
      <c r="Q252">
        <v>19</v>
      </c>
      <c r="R252">
        <v>2</v>
      </c>
      <c r="S252">
        <v>1</v>
      </c>
      <c r="T252">
        <v>0</v>
      </c>
      <c r="U252" s="6">
        <f>Cleaned_MLB_Stats_Dataset__1[[#This Row],[Hits]]/Cleaned_MLB_Stats_Dataset__1[[#This Row],[At Bats]]</f>
        <v>0.30019880715705766</v>
      </c>
      <c r="V252" s="6">
        <f>Cleaned_MLB_Stats_Dataset__1[[#This Row],[Strikeouts]]/(Cleaned_MLB_Stats_Dataset__1[[#This Row],[At Bats]]+Cleaned_MLB_Stats_Dataset__1[[#This Row],[Walks]])</f>
        <v>0.15263157894736842</v>
      </c>
      <c r="W25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0.12062937062937062</v>
      </c>
      <c r="X25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0.38394415357766143</v>
      </c>
      <c r="Y25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0.57256461232604372</v>
      </c>
      <c r="Z252" s="6">
        <f>Cleaned_MLB_Stats_Dataset__1[[#This Row],[On Base Percentage]]+Cleaned_MLB_Stats_Dataset__1[[#This Row],[Slugging %]]</f>
        <v>0.95650876590370515</v>
      </c>
      <c r="AA252" s="6">
        <f>Cleaned_MLB_Stats_Dataset__1[[#This Row],[Slugging %]]-Cleaned_MLB_Stats_Dataset__1[[#This Row],[Batting Average]]</f>
        <v>0.27236580516898606</v>
      </c>
      <c r="AB252" s="6">
        <f>Cleaned_MLB_Stats_Dataset__1[[#This Row],[Batting Average]]-_xlfn.XLOOKUP(Cleaned_MLB_Stats_Dataset__1[[#This Row],[Year]],'League Averages'!$A$3:$A$23,'League Averages'!$B$3:$B$23)</f>
        <v>3.6198807157057644E-2</v>
      </c>
      <c r="AC252" s="6">
        <f>Cleaned_MLB_Stats_Dataset__1[[#This Row],[On Base Percentage]]-_xlfn.XLOOKUP(Cleaned_MLB_Stats_Dataset__1[[#This Row],[Year]],'League Averages'!$A$3:$A$23,'League Averages'!$C$3:$C$23)</f>
        <v>5.1944153577661412E-2</v>
      </c>
      <c r="AD252" s="6">
        <f>Cleaned_MLB_Stats_Dataset__1[[#This Row],[Slugging %]]-_xlfn.XLOOKUP(Cleaned_MLB_Stats_Dataset__1[[#This Row],[Year]],'League Averages'!$A$3:$A$23,'League Averages'!$D$3:$D$23)</f>
        <v>0.14556461232604373</v>
      </c>
      <c r="AE252" s="6">
        <f>Cleaned_MLB_Stats_Dataset__1[[#This Row],[OPS (On Base + Slugging)]]-_xlfn.XLOOKUP(Cleaned_MLB_Stats_Dataset__1[[#This Row],[Year]],'League Averages'!$A$3:$A$23,'League Averages'!$E$3:$E$23)</f>
        <v>0.19750876590370514</v>
      </c>
      <c r="AF252" s="6">
        <f>Cleaned_MLB_Stats_Dataset__1[[#This Row],[ISO (Isolated Power]]-_xlfn.XLOOKUP(Cleaned_MLB_Stats_Dataset__1[[#This Row],[Year]],'League Averages'!$A$3:$A$23,'League Averages'!$F$3:$F$23)</f>
        <v>0.10936580516898606</v>
      </c>
    </row>
    <row r="253" spans="1:32" x14ac:dyDescent="0.2">
      <c r="A253" t="s">
        <v>309</v>
      </c>
      <c r="B253">
        <v>1997</v>
      </c>
      <c r="C253" t="s">
        <v>130</v>
      </c>
      <c r="D253" t="s">
        <v>3</v>
      </c>
      <c r="E253" t="s">
        <v>82</v>
      </c>
      <c r="F253" t="str">
        <f>_xlfn.XLOOKUP(Cleaned_MLB_Stats_Dataset__1[[#This Row],[Position'#]],$B$373:$B$382,$A$373:$A$382)</f>
        <v>2B</v>
      </c>
      <c r="G253">
        <v>4</v>
      </c>
      <c r="H253">
        <v>619</v>
      </c>
      <c r="I253">
        <v>191</v>
      </c>
      <c r="J253">
        <v>37</v>
      </c>
      <c r="K253">
        <v>8</v>
      </c>
      <c r="L253">
        <v>22</v>
      </c>
      <c r="M253">
        <v>146</v>
      </c>
      <c r="N253">
        <v>81</v>
      </c>
      <c r="O253">
        <v>107</v>
      </c>
      <c r="P253">
        <v>84</v>
      </c>
      <c r="Q253">
        <v>6</v>
      </c>
      <c r="R253">
        <v>34</v>
      </c>
      <c r="S253">
        <v>7</v>
      </c>
      <c r="T253">
        <v>0</v>
      </c>
      <c r="U253" s="6">
        <f>Cleaned_MLB_Stats_Dataset__1[[#This Row],[Hits]]/Cleaned_MLB_Stats_Dataset__1[[#This Row],[At Bats]]</f>
        <v>0.30856219709208399</v>
      </c>
      <c r="V253" s="6">
        <f>Cleaned_MLB_Stats_Dataset__1[[#This Row],[Strikeouts]]/(Cleaned_MLB_Stats_Dataset__1[[#This Row],[At Bats]]+Cleaned_MLB_Stats_Dataset__1[[#This Row],[Walks]])</f>
        <v>0.15220483641536273</v>
      </c>
      <c r="W25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0.16010854816824965</v>
      </c>
      <c r="X25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0.41532258064516131</v>
      </c>
      <c r="Y25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0.50080775444264947</v>
      </c>
      <c r="Z253" s="6">
        <f>Cleaned_MLB_Stats_Dataset__1[[#This Row],[On Base Percentage]]+Cleaned_MLB_Stats_Dataset__1[[#This Row],[Slugging %]]</f>
        <v>0.91613033508781072</v>
      </c>
      <c r="AA253" s="6">
        <f>Cleaned_MLB_Stats_Dataset__1[[#This Row],[Slugging %]]-Cleaned_MLB_Stats_Dataset__1[[#This Row],[Batting Average]]</f>
        <v>0.19224555735056548</v>
      </c>
      <c r="AB253" s="6">
        <f>Cleaned_MLB_Stats_Dataset__1[[#This Row],[Batting Average]]-_xlfn.XLOOKUP(Cleaned_MLB_Stats_Dataset__1[[#This Row],[Year]],'League Averages'!$A$3:$A$23,'League Averages'!$B$3:$B$23)</f>
        <v>4.1562197092083975E-2</v>
      </c>
      <c r="AC253" s="6">
        <f>Cleaned_MLB_Stats_Dataset__1[[#This Row],[On Base Percentage]]-_xlfn.XLOOKUP(Cleaned_MLB_Stats_Dataset__1[[#This Row],[Year]],'League Averages'!$A$3:$A$23,'League Averages'!$C$3:$C$23)</f>
        <v>7.8322580645161288E-2</v>
      </c>
      <c r="AD253" s="6">
        <f>Cleaned_MLB_Stats_Dataset__1[[#This Row],[Slugging %]]-_xlfn.XLOOKUP(Cleaned_MLB_Stats_Dataset__1[[#This Row],[Year]],'League Averages'!$A$3:$A$23,'League Averages'!$D$3:$D$23)</f>
        <v>8.1807754442649483E-2</v>
      </c>
      <c r="AE253" s="6">
        <f>Cleaned_MLB_Stats_Dataset__1[[#This Row],[OPS (On Base + Slugging)]]-_xlfn.XLOOKUP(Cleaned_MLB_Stats_Dataset__1[[#This Row],[Year]],'League Averages'!$A$3:$A$23,'League Averages'!$E$3:$E$23)</f>
        <v>0.16013033508781072</v>
      </c>
      <c r="AF253" s="6">
        <f>Cleaned_MLB_Stats_Dataset__1[[#This Row],[ISO (Isolated Power]]-_xlfn.XLOOKUP(Cleaned_MLB_Stats_Dataset__1[[#This Row],[Year]],'League Averages'!$A$3:$A$23,'League Averages'!$F$3:$F$23)</f>
        <v>4.0245557350565481E-2</v>
      </c>
    </row>
    <row r="254" spans="1:32" x14ac:dyDescent="0.2">
      <c r="A254" t="s">
        <v>309</v>
      </c>
      <c r="B254">
        <v>2001</v>
      </c>
      <c r="C254" t="s">
        <v>193</v>
      </c>
      <c r="D254" t="s">
        <v>3</v>
      </c>
      <c r="E254" t="s">
        <v>164</v>
      </c>
      <c r="F254" t="str">
        <f>_xlfn.XLOOKUP(Cleaned_MLB_Stats_Dataset__1[[#This Row],[Position'#]],$B$373:$B$382,$A$373:$A$382)</f>
        <v>1B</v>
      </c>
      <c r="G254">
        <v>3</v>
      </c>
      <c r="H254">
        <v>587</v>
      </c>
      <c r="I254">
        <v>197</v>
      </c>
      <c r="J254">
        <v>54</v>
      </c>
      <c r="K254">
        <v>2</v>
      </c>
      <c r="L254">
        <v>49</v>
      </c>
      <c r="M254">
        <v>132</v>
      </c>
      <c r="N254">
        <v>146</v>
      </c>
      <c r="O254">
        <v>104</v>
      </c>
      <c r="P254">
        <v>98</v>
      </c>
      <c r="Q254">
        <v>15</v>
      </c>
      <c r="R254">
        <v>5</v>
      </c>
      <c r="S254">
        <v>5</v>
      </c>
      <c r="T254">
        <v>1</v>
      </c>
      <c r="U254" s="6">
        <f>Cleaned_MLB_Stats_Dataset__1[[#This Row],[Hits]]/Cleaned_MLB_Stats_Dataset__1[[#This Row],[At Bats]]</f>
        <v>0.33560477001703576</v>
      </c>
      <c r="V254" s="6">
        <f>Cleaned_MLB_Stats_Dataset__1[[#This Row],[Strikeouts]]/(Cleaned_MLB_Stats_Dataset__1[[#This Row],[At Bats]]+Cleaned_MLB_Stats_Dataset__1[[#This Row],[Walks]])</f>
        <v>0.15182481751824817</v>
      </c>
      <c r="W25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0.14927536231884059</v>
      </c>
      <c r="X25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0.43165467625899279</v>
      </c>
      <c r="Y25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0.68483816013628618</v>
      </c>
      <c r="Z254" s="6">
        <f>Cleaned_MLB_Stats_Dataset__1[[#This Row],[On Base Percentage]]+Cleaned_MLB_Stats_Dataset__1[[#This Row],[Slugging %]]</f>
        <v>1.1164928363952789</v>
      </c>
      <c r="AA254" s="6">
        <f>Cleaned_MLB_Stats_Dataset__1[[#This Row],[Slugging %]]-Cleaned_MLB_Stats_Dataset__1[[#This Row],[Batting Average]]</f>
        <v>0.34923339011925042</v>
      </c>
      <c r="AB254" s="6">
        <f>Cleaned_MLB_Stats_Dataset__1[[#This Row],[Batting Average]]-_xlfn.XLOOKUP(Cleaned_MLB_Stats_Dataset__1[[#This Row],[Year]],'League Averages'!$A$3:$A$23,'League Averages'!$B$3:$B$23)</f>
        <v>7.1604770017035746E-2</v>
      </c>
      <c r="AC254" s="6">
        <f>Cleaned_MLB_Stats_Dataset__1[[#This Row],[On Base Percentage]]-_xlfn.XLOOKUP(Cleaned_MLB_Stats_Dataset__1[[#This Row],[Year]],'League Averages'!$A$3:$A$23,'League Averages'!$C$3:$C$23)</f>
        <v>9.9654676258992769E-2</v>
      </c>
      <c r="AD254" s="6">
        <f>Cleaned_MLB_Stats_Dataset__1[[#This Row],[Slugging %]]-_xlfn.XLOOKUP(Cleaned_MLB_Stats_Dataset__1[[#This Row],[Year]],'League Averages'!$A$3:$A$23,'League Averages'!$D$3:$D$23)</f>
        <v>0.25783816013628619</v>
      </c>
      <c r="AE254" s="6">
        <f>Cleaned_MLB_Stats_Dataset__1[[#This Row],[OPS (On Base + Slugging)]]-_xlfn.XLOOKUP(Cleaned_MLB_Stats_Dataset__1[[#This Row],[Year]],'League Averages'!$A$3:$A$23,'League Averages'!$E$3:$E$23)</f>
        <v>0.35749283639527885</v>
      </c>
      <c r="AF254" s="6">
        <f>Cleaned_MLB_Stats_Dataset__1[[#This Row],[ISO (Isolated Power]]-_xlfn.XLOOKUP(Cleaned_MLB_Stats_Dataset__1[[#This Row],[Year]],'League Averages'!$A$3:$A$23,'League Averages'!$F$3:$F$23)</f>
        <v>0.18623339011925041</v>
      </c>
    </row>
    <row r="255" spans="1:32" x14ac:dyDescent="0.2">
      <c r="A255" t="s">
        <v>309</v>
      </c>
      <c r="B255">
        <v>2002</v>
      </c>
      <c r="C255" t="s">
        <v>190</v>
      </c>
      <c r="D255" t="s">
        <v>3</v>
      </c>
      <c r="E255" t="s">
        <v>60</v>
      </c>
      <c r="F255" t="str">
        <f>_xlfn.XLOOKUP(Cleaned_MLB_Stats_Dataset__1[[#This Row],[Position'#]],$B$373:$B$382,$A$373:$A$382)</f>
        <v>3B</v>
      </c>
      <c r="G255">
        <v>5</v>
      </c>
      <c r="H255">
        <v>205</v>
      </c>
      <c r="I255">
        <v>57</v>
      </c>
      <c r="J255">
        <v>8</v>
      </c>
      <c r="K255">
        <v>4</v>
      </c>
      <c r="L255">
        <v>14</v>
      </c>
      <c r="M255">
        <v>37</v>
      </c>
      <c r="N255">
        <v>44</v>
      </c>
      <c r="O255">
        <v>34</v>
      </c>
      <c r="P255">
        <v>20</v>
      </c>
      <c r="Q255">
        <v>2</v>
      </c>
      <c r="R255">
        <v>4</v>
      </c>
      <c r="S255">
        <v>0</v>
      </c>
      <c r="T255">
        <v>0</v>
      </c>
      <c r="U255" s="6">
        <f>Cleaned_MLB_Stats_Dataset__1[[#This Row],[Hits]]/Cleaned_MLB_Stats_Dataset__1[[#This Row],[At Bats]]</f>
        <v>0.2780487804878049</v>
      </c>
      <c r="V255" s="6">
        <f>Cleaned_MLB_Stats_Dataset__1[[#This Row],[Strikeouts]]/(Cleaned_MLB_Stats_Dataset__1[[#This Row],[At Bats]]+Cleaned_MLB_Stats_Dataset__1[[#This Row],[Walks]])</f>
        <v>0.15111111111111111</v>
      </c>
      <c r="W25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0.10480349344978165</v>
      </c>
      <c r="X25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0.35371179039301309</v>
      </c>
      <c r="Y25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0.56097560975609762</v>
      </c>
      <c r="Z255" s="6">
        <f>Cleaned_MLB_Stats_Dataset__1[[#This Row],[On Base Percentage]]+Cleaned_MLB_Stats_Dataset__1[[#This Row],[Slugging %]]</f>
        <v>0.91468740014911076</v>
      </c>
      <c r="AA255" s="6">
        <f>Cleaned_MLB_Stats_Dataset__1[[#This Row],[Slugging %]]-Cleaned_MLB_Stats_Dataset__1[[#This Row],[Batting Average]]</f>
        <v>0.28292682926829271</v>
      </c>
      <c r="AB255" s="6">
        <f>Cleaned_MLB_Stats_Dataset__1[[#This Row],[Batting Average]]-_xlfn.XLOOKUP(Cleaned_MLB_Stats_Dataset__1[[#This Row],[Year]],'League Averages'!$A$3:$A$23,'League Averages'!$B$3:$B$23)</f>
        <v>1.7048780487804893E-2</v>
      </c>
      <c r="AC255" s="6">
        <f>Cleaned_MLB_Stats_Dataset__1[[#This Row],[On Base Percentage]]-_xlfn.XLOOKUP(Cleaned_MLB_Stats_Dataset__1[[#This Row],[Year]],'League Averages'!$A$3:$A$23,'League Averages'!$C$3:$C$23)</f>
        <v>2.2711790393013076E-2</v>
      </c>
      <c r="AD255" s="6">
        <f>Cleaned_MLB_Stats_Dataset__1[[#This Row],[Slugging %]]-_xlfn.XLOOKUP(Cleaned_MLB_Stats_Dataset__1[[#This Row],[Year]],'League Averages'!$A$3:$A$23,'League Averages'!$D$3:$D$23)</f>
        <v>0.14397560975609763</v>
      </c>
      <c r="AE255" s="6">
        <f>Cleaned_MLB_Stats_Dataset__1[[#This Row],[OPS (On Base + Slugging)]]-_xlfn.XLOOKUP(Cleaned_MLB_Stats_Dataset__1[[#This Row],[Year]],'League Averages'!$A$3:$A$23,'League Averages'!$E$3:$E$23)</f>
        <v>0.16668740014911076</v>
      </c>
      <c r="AF255" s="6">
        <f>Cleaned_MLB_Stats_Dataset__1[[#This Row],[ISO (Isolated Power]]-_xlfn.XLOOKUP(Cleaned_MLB_Stats_Dataset__1[[#This Row],[Year]],'League Averages'!$A$3:$A$23,'League Averages'!$F$3:$F$23)</f>
        <v>0.12692682926829271</v>
      </c>
    </row>
    <row r="256" spans="1:32" x14ac:dyDescent="0.2">
      <c r="A256" t="s">
        <v>309</v>
      </c>
      <c r="B256">
        <v>1995</v>
      </c>
      <c r="C256" t="s">
        <v>104</v>
      </c>
      <c r="D256" t="s">
        <v>6</v>
      </c>
      <c r="E256" t="s">
        <v>81</v>
      </c>
      <c r="F256" t="str">
        <f>_xlfn.XLOOKUP(Cleaned_MLB_Stats_Dataset__1[[#This Row],[Position'#]],$B$373:$B$382,$A$373:$A$382)</f>
        <v>RF</v>
      </c>
      <c r="G256">
        <v>9</v>
      </c>
      <c r="H256">
        <v>538</v>
      </c>
      <c r="I256">
        <v>169</v>
      </c>
      <c r="J256">
        <v>39</v>
      </c>
      <c r="K256">
        <v>0</v>
      </c>
      <c r="L256">
        <v>23</v>
      </c>
      <c r="M256">
        <v>83</v>
      </c>
      <c r="N256">
        <v>99</v>
      </c>
      <c r="O256">
        <v>89</v>
      </c>
      <c r="P256">
        <v>56</v>
      </c>
      <c r="Q256">
        <v>18</v>
      </c>
      <c r="R256">
        <v>3</v>
      </c>
      <c r="S256">
        <v>5</v>
      </c>
      <c r="T256">
        <v>0</v>
      </c>
      <c r="U256" s="6">
        <f>Cleaned_MLB_Stats_Dataset__1[[#This Row],[Hits]]/Cleaned_MLB_Stats_Dataset__1[[#This Row],[At Bats]]</f>
        <v>0.31412639405204462</v>
      </c>
      <c r="V256" s="6">
        <f>Cleaned_MLB_Stats_Dataset__1[[#This Row],[Strikeouts]]/(Cleaned_MLB_Stats_Dataset__1[[#This Row],[At Bats]]+Cleaned_MLB_Stats_Dataset__1[[#This Row],[Walks]])</f>
        <v>0.14983164983164984</v>
      </c>
      <c r="W25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9.8827470686767172E-2</v>
      </c>
      <c r="X25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0.37873754152823919</v>
      </c>
      <c r="Y25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0.51486988847583648</v>
      </c>
      <c r="Z256" s="6">
        <f>Cleaned_MLB_Stats_Dataset__1[[#This Row],[On Base Percentage]]+Cleaned_MLB_Stats_Dataset__1[[#This Row],[Slugging %]]</f>
        <v>0.89360743000407572</v>
      </c>
      <c r="AA256" s="6">
        <f>Cleaned_MLB_Stats_Dataset__1[[#This Row],[Slugging %]]-Cleaned_MLB_Stats_Dataset__1[[#This Row],[Batting Average]]</f>
        <v>0.20074349442379186</v>
      </c>
      <c r="AB256" s="6">
        <f>Cleaned_MLB_Stats_Dataset__1[[#This Row],[Batting Average]]-_xlfn.XLOOKUP(Cleaned_MLB_Stats_Dataset__1[[#This Row],[Year]],'League Averages'!$A$3:$A$23,'League Averages'!$B$3:$B$23)</f>
        <v>4.7126394052044607E-2</v>
      </c>
      <c r="AC256" s="6">
        <f>Cleaned_MLB_Stats_Dataset__1[[#This Row],[On Base Percentage]]-_xlfn.XLOOKUP(Cleaned_MLB_Stats_Dataset__1[[#This Row],[Year]],'League Averages'!$A$3:$A$23,'League Averages'!$C$3:$C$23)</f>
        <v>4.0737541528239163E-2</v>
      </c>
      <c r="AD256" s="6">
        <f>Cleaned_MLB_Stats_Dataset__1[[#This Row],[Slugging %]]-_xlfn.XLOOKUP(Cleaned_MLB_Stats_Dataset__1[[#This Row],[Year]],'League Averages'!$A$3:$A$23,'League Averages'!$D$3:$D$23)</f>
        <v>9.7869888475836497E-2</v>
      </c>
      <c r="AE256" s="6">
        <f>Cleaned_MLB_Stats_Dataset__1[[#This Row],[OPS (On Base + Slugging)]]-_xlfn.XLOOKUP(Cleaned_MLB_Stats_Dataset__1[[#This Row],[Year]],'League Averages'!$A$3:$A$23,'League Averages'!$E$3:$E$23)</f>
        <v>0.13860743000407572</v>
      </c>
      <c r="AF256" s="6">
        <f>Cleaned_MLB_Stats_Dataset__1[[#This Row],[ISO (Isolated Power]]-_xlfn.XLOOKUP(Cleaned_MLB_Stats_Dataset__1[[#This Row],[Year]],'League Averages'!$A$3:$A$23,'League Averages'!$F$3:$F$23)</f>
        <v>5.0743494423791863E-2</v>
      </c>
    </row>
    <row r="257" spans="1:32" x14ac:dyDescent="0.2">
      <c r="A257" t="s">
        <v>309</v>
      </c>
      <c r="B257">
        <v>2000</v>
      </c>
      <c r="C257" t="s">
        <v>177</v>
      </c>
      <c r="D257" t="s">
        <v>6</v>
      </c>
      <c r="E257" t="s">
        <v>71</v>
      </c>
      <c r="F257" t="str">
        <f>_xlfn.XLOOKUP(Cleaned_MLB_Stats_Dataset__1[[#This Row],[Position'#]],$B$373:$B$382,$A$373:$A$382)</f>
        <v>SS</v>
      </c>
      <c r="G257">
        <v>6</v>
      </c>
      <c r="H257">
        <v>593</v>
      </c>
      <c r="I257">
        <v>201</v>
      </c>
      <c r="J257">
        <v>31</v>
      </c>
      <c r="K257">
        <v>4</v>
      </c>
      <c r="L257">
        <v>15</v>
      </c>
      <c r="M257">
        <v>119</v>
      </c>
      <c r="N257">
        <v>73</v>
      </c>
      <c r="O257">
        <v>99</v>
      </c>
      <c r="P257">
        <v>68</v>
      </c>
      <c r="Q257">
        <v>4</v>
      </c>
      <c r="R257">
        <v>12</v>
      </c>
      <c r="S257">
        <v>3</v>
      </c>
      <c r="T257">
        <v>3</v>
      </c>
      <c r="U257" s="6">
        <f>Cleaned_MLB_Stats_Dataset__1[[#This Row],[Hits]]/Cleaned_MLB_Stats_Dataset__1[[#This Row],[At Bats]]</f>
        <v>0.33895446880269814</v>
      </c>
      <c r="V257" s="6">
        <f>Cleaned_MLB_Stats_Dataset__1[[#This Row],[Strikeouts]]/(Cleaned_MLB_Stats_Dataset__1[[#This Row],[At Bats]]+Cleaned_MLB_Stats_Dataset__1[[#This Row],[Walks]])</f>
        <v>0.14977307110438728</v>
      </c>
      <c r="W25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0.1188707280832095</v>
      </c>
      <c r="X25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0.41568047337278108</v>
      </c>
      <c r="Y25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0.48060708263069141</v>
      </c>
      <c r="Z257" s="6">
        <f>Cleaned_MLB_Stats_Dataset__1[[#This Row],[On Base Percentage]]+Cleaned_MLB_Stats_Dataset__1[[#This Row],[Slugging %]]</f>
        <v>0.89628755600347243</v>
      </c>
      <c r="AA257" s="6">
        <f>Cleaned_MLB_Stats_Dataset__1[[#This Row],[Slugging %]]-Cleaned_MLB_Stats_Dataset__1[[#This Row],[Batting Average]]</f>
        <v>0.14165261382799327</v>
      </c>
      <c r="AB257" s="6">
        <f>Cleaned_MLB_Stats_Dataset__1[[#This Row],[Batting Average]]-_xlfn.XLOOKUP(Cleaned_MLB_Stats_Dataset__1[[#This Row],[Year]],'League Averages'!$A$3:$A$23,'League Averages'!$B$3:$B$23)</f>
        <v>6.8954468802698121E-2</v>
      </c>
      <c r="AC257" s="6">
        <f>Cleaned_MLB_Stats_Dataset__1[[#This Row],[On Base Percentage]]-_xlfn.XLOOKUP(Cleaned_MLB_Stats_Dataset__1[[#This Row],[Year]],'League Averages'!$A$3:$A$23,'League Averages'!$C$3:$C$23)</f>
        <v>7.0680473372781105E-2</v>
      </c>
      <c r="AD257" s="6">
        <f>Cleaned_MLB_Stats_Dataset__1[[#This Row],[Slugging %]]-_xlfn.XLOOKUP(Cleaned_MLB_Stats_Dataset__1[[#This Row],[Year]],'League Averages'!$A$3:$A$23,'League Averages'!$D$3:$D$23)</f>
        <v>4.3607082630691407E-2</v>
      </c>
      <c r="AE257" s="6">
        <f>Cleaned_MLB_Stats_Dataset__1[[#This Row],[OPS (On Base + Slugging)]]-_xlfn.XLOOKUP(Cleaned_MLB_Stats_Dataset__1[[#This Row],[Year]],'League Averages'!$A$3:$A$23,'League Averages'!$E$3:$E$23)</f>
        <v>0.1142875560034724</v>
      </c>
      <c r="AF257" s="6">
        <f>Cleaned_MLB_Stats_Dataset__1[[#This Row],[ISO (Isolated Power]]-_xlfn.XLOOKUP(Cleaned_MLB_Stats_Dataset__1[[#This Row],[Year]],'League Averages'!$A$3:$A$23,'League Averages'!$F$3:$F$23)</f>
        <v>-2.5347386172006742E-2</v>
      </c>
    </row>
    <row r="258" spans="1:32" x14ac:dyDescent="0.2">
      <c r="A258" t="s">
        <v>309</v>
      </c>
      <c r="B258">
        <v>1994</v>
      </c>
      <c r="C258" t="s">
        <v>138</v>
      </c>
      <c r="D258" t="s">
        <v>6</v>
      </c>
      <c r="E258" t="s">
        <v>91</v>
      </c>
      <c r="F258" t="str">
        <f>_xlfn.XLOOKUP(Cleaned_MLB_Stats_Dataset__1[[#This Row],[Position'#]],$B$373:$B$382,$A$373:$A$382)</f>
        <v>CF</v>
      </c>
      <c r="G258">
        <v>8</v>
      </c>
      <c r="H258">
        <v>433</v>
      </c>
      <c r="I258">
        <v>140</v>
      </c>
      <c r="J258">
        <v>24</v>
      </c>
      <c r="K258">
        <v>4</v>
      </c>
      <c r="L258">
        <v>40</v>
      </c>
      <c r="M258">
        <v>94</v>
      </c>
      <c r="N258">
        <v>90</v>
      </c>
      <c r="O258">
        <v>73</v>
      </c>
      <c r="P258">
        <v>56</v>
      </c>
      <c r="Q258">
        <v>19</v>
      </c>
      <c r="R258">
        <v>2</v>
      </c>
      <c r="S258">
        <v>2</v>
      </c>
      <c r="T258">
        <v>0</v>
      </c>
      <c r="U258" s="6">
        <f>Cleaned_MLB_Stats_Dataset__1[[#This Row],[Hits]]/Cleaned_MLB_Stats_Dataset__1[[#This Row],[At Bats]]</f>
        <v>0.32332563510392609</v>
      </c>
      <c r="V258" s="6">
        <f>Cleaned_MLB_Stats_Dataset__1[[#This Row],[Strikeouts]]/(Cleaned_MLB_Stats_Dataset__1[[#This Row],[At Bats]]+Cleaned_MLB_Stats_Dataset__1[[#This Row],[Walks]])</f>
        <v>0.1492842535787321</v>
      </c>
      <c r="W25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0.11812627291242363</v>
      </c>
      <c r="X25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0.40162271805273836</v>
      </c>
      <c r="Y25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0.67436489607390304</v>
      </c>
      <c r="Z258" s="6">
        <f>Cleaned_MLB_Stats_Dataset__1[[#This Row],[On Base Percentage]]+Cleaned_MLB_Stats_Dataset__1[[#This Row],[Slugging %]]</f>
        <v>1.0759876141266413</v>
      </c>
      <c r="AA258" s="6">
        <f>Cleaned_MLB_Stats_Dataset__1[[#This Row],[Slugging %]]-Cleaned_MLB_Stats_Dataset__1[[#This Row],[Batting Average]]</f>
        <v>0.35103926096997695</v>
      </c>
      <c r="AB258" s="6">
        <f>Cleaned_MLB_Stats_Dataset__1[[#This Row],[Batting Average]]-_xlfn.XLOOKUP(Cleaned_MLB_Stats_Dataset__1[[#This Row],[Year]],'League Averages'!$A$3:$A$23,'League Averages'!$B$3:$B$23)</f>
        <v>5.3325635103926072E-2</v>
      </c>
      <c r="AC258" s="6">
        <f>Cleaned_MLB_Stats_Dataset__1[[#This Row],[On Base Percentage]]-_xlfn.XLOOKUP(Cleaned_MLB_Stats_Dataset__1[[#This Row],[Year]],'League Averages'!$A$3:$A$23,'League Averages'!$C$3:$C$23)</f>
        <v>6.2622718052738335E-2</v>
      </c>
      <c r="AD258" s="6">
        <f>Cleaned_MLB_Stats_Dataset__1[[#This Row],[Slugging %]]-_xlfn.XLOOKUP(Cleaned_MLB_Stats_Dataset__1[[#This Row],[Year]],'League Averages'!$A$3:$A$23,'League Averages'!$D$3:$D$23)</f>
        <v>0.25036489607390305</v>
      </c>
      <c r="AE258" s="6">
        <f>Cleaned_MLB_Stats_Dataset__1[[#This Row],[OPS (On Base + Slugging)]]-_xlfn.XLOOKUP(Cleaned_MLB_Stats_Dataset__1[[#This Row],[Year]],'League Averages'!$A$3:$A$23,'League Averages'!$E$3:$E$23)</f>
        <v>0.31298761412664133</v>
      </c>
      <c r="AF258" s="6">
        <f>Cleaned_MLB_Stats_Dataset__1[[#This Row],[ISO (Isolated Power]]-_xlfn.XLOOKUP(Cleaned_MLB_Stats_Dataset__1[[#This Row],[Year]],'League Averages'!$A$3:$A$23,'League Averages'!$F$3:$F$23)</f>
        <v>0.19703926096997695</v>
      </c>
    </row>
    <row r="259" spans="1:32" x14ac:dyDescent="0.2">
      <c r="A259" t="s">
        <v>309</v>
      </c>
      <c r="B259">
        <v>2002</v>
      </c>
      <c r="C259" t="s">
        <v>220</v>
      </c>
      <c r="D259" t="s">
        <v>3</v>
      </c>
      <c r="E259" t="s">
        <v>29</v>
      </c>
      <c r="F259" t="str">
        <f>_xlfn.XLOOKUP(Cleaned_MLB_Stats_Dataset__1[[#This Row],[Position'#]],$B$373:$B$382,$A$373:$A$382)</f>
        <v>SS</v>
      </c>
      <c r="G259">
        <v>6</v>
      </c>
      <c r="H259">
        <v>637</v>
      </c>
      <c r="I259">
        <v>156</v>
      </c>
      <c r="J259">
        <v>33</v>
      </c>
      <c r="K259">
        <v>10</v>
      </c>
      <c r="L259">
        <v>11</v>
      </c>
      <c r="M259">
        <v>82</v>
      </c>
      <c r="N259">
        <v>60</v>
      </c>
      <c r="O259">
        <v>103</v>
      </c>
      <c r="P259">
        <v>54</v>
      </c>
      <c r="Q259">
        <v>3</v>
      </c>
      <c r="R259">
        <v>4</v>
      </c>
      <c r="S259">
        <v>4</v>
      </c>
      <c r="T259">
        <v>6</v>
      </c>
      <c r="U259" s="6">
        <f>Cleaned_MLB_Stats_Dataset__1[[#This Row],[Hits]]/Cleaned_MLB_Stats_Dataset__1[[#This Row],[At Bats]]</f>
        <v>0.24489795918367346</v>
      </c>
      <c r="V259" s="6">
        <f>Cleaned_MLB_Stats_Dataset__1[[#This Row],[Strikeouts]]/(Cleaned_MLB_Stats_Dataset__1[[#This Row],[At Bats]]+Cleaned_MLB_Stats_Dataset__1[[#This Row],[Walks]])</f>
        <v>0.14905933429811866</v>
      </c>
      <c r="W25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8.3453237410071948E-2</v>
      </c>
      <c r="X25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0.3061516452074392</v>
      </c>
      <c r="Y25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0.37990580847723704</v>
      </c>
      <c r="Z259" s="6">
        <f>Cleaned_MLB_Stats_Dataset__1[[#This Row],[On Base Percentage]]+Cleaned_MLB_Stats_Dataset__1[[#This Row],[Slugging %]]</f>
        <v>0.68605745368467619</v>
      </c>
      <c r="AA259" s="6">
        <f>Cleaned_MLB_Stats_Dataset__1[[#This Row],[Slugging %]]-Cleaned_MLB_Stats_Dataset__1[[#This Row],[Batting Average]]</f>
        <v>0.13500784929356358</v>
      </c>
      <c r="AB259" s="6">
        <f>Cleaned_MLB_Stats_Dataset__1[[#This Row],[Batting Average]]-_xlfn.XLOOKUP(Cleaned_MLB_Stats_Dataset__1[[#This Row],[Year]],'League Averages'!$A$3:$A$23,'League Averages'!$B$3:$B$23)</f>
        <v>-1.6102040816326546E-2</v>
      </c>
      <c r="AC259" s="6">
        <f>Cleaned_MLB_Stats_Dataset__1[[#This Row],[On Base Percentage]]-_xlfn.XLOOKUP(Cleaned_MLB_Stats_Dataset__1[[#This Row],[Year]],'League Averages'!$A$3:$A$23,'League Averages'!$C$3:$C$23)</f>
        <v>-2.4848354792560812E-2</v>
      </c>
      <c r="AD259" s="6">
        <f>Cleaned_MLB_Stats_Dataset__1[[#This Row],[Slugging %]]-_xlfn.XLOOKUP(Cleaned_MLB_Stats_Dataset__1[[#This Row],[Year]],'League Averages'!$A$3:$A$23,'League Averages'!$D$3:$D$23)</f>
        <v>-3.7094191522762943E-2</v>
      </c>
      <c r="AE259" s="6">
        <f>Cleaned_MLB_Stats_Dataset__1[[#This Row],[OPS (On Base + Slugging)]]-_xlfn.XLOOKUP(Cleaned_MLB_Stats_Dataset__1[[#This Row],[Year]],'League Averages'!$A$3:$A$23,'League Averages'!$E$3:$E$23)</f>
        <v>-6.194254631532381E-2</v>
      </c>
      <c r="AF259" s="6">
        <f>Cleaned_MLB_Stats_Dataset__1[[#This Row],[ISO (Isolated Power]]-_xlfn.XLOOKUP(Cleaned_MLB_Stats_Dataset__1[[#This Row],[Year]],'League Averages'!$A$3:$A$23,'League Averages'!$F$3:$F$23)</f>
        <v>-2.0992150706436424E-2</v>
      </c>
    </row>
    <row r="260" spans="1:32" x14ac:dyDescent="0.2">
      <c r="A260" t="s">
        <v>309</v>
      </c>
      <c r="B260">
        <v>1994</v>
      </c>
      <c r="C260" t="s">
        <v>163</v>
      </c>
      <c r="D260" t="s">
        <v>3</v>
      </c>
      <c r="E260" t="s">
        <v>80</v>
      </c>
      <c r="F260" t="str">
        <f>_xlfn.XLOOKUP(Cleaned_MLB_Stats_Dataset__1[[#This Row],[Position'#]],$B$373:$B$382,$A$373:$A$382)</f>
        <v>C</v>
      </c>
      <c r="G260">
        <v>2</v>
      </c>
      <c r="H260">
        <v>405</v>
      </c>
      <c r="I260">
        <v>129</v>
      </c>
      <c r="J260">
        <v>18</v>
      </c>
      <c r="K260">
        <v>0</v>
      </c>
      <c r="L260">
        <v>24</v>
      </c>
      <c r="M260">
        <v>64</v>
      </c>
      <c r="N260">
        <v>92</v>
      </c>
      <c r="O260">
        <v>65</v>
      </c>
      <c r="P260">
        <v>33</v>
      </c>
      <c r="Q260">
        <v>10</v>
      </c>
      <c r="R260">
        <v>1</v>
      </c>
      <c r="S260">
        <v>2</v>
      </c>
      <c r="T260">
        <v>0</v>
      </c>
      <c r="U260" s="6">
        <f>Cleaned_MLB_Stats_Dataset__1[[#This Row],[Hits]]/Cleaned_MLB_Stats_Dataset__1[[#This Row],[At Bats]]</f>
        <v>0.31851851851851853</v>
      </c>
      <c r="V260" s="6">
        <f>Cleaned_MLB_Stats_Dataset__1[[#This Row],[Strikeouts]]/(Cleaned_MLB_Stats_Dataset__1[[#This Row],[At Bats]]+Cleaned_MLB_Stats_Dataset__1[[#This Row],[Walks]])</f>
        <v>0.14840182648401826</v>
      </c>
      <c r="W26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7.7448747152619596E-2</v>
      </c>
      <c r="X26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0.36961451247165533</v>
      </c>
      <c r="Y26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0.54074074074074074</v>
      </c>
      <c r="Z260" s="6">
        <f>Cleaned_MLB_Stats_Dataset__1[[#This Row],[On Base Percentage]]+Cleaned_MLB_Stats_Dataset__1[[#This Row],[Slugging %]]</f>
        <v>0.91035525321239608</v>
      </c>
      <c r="AA260" s="6">
        <f>Cleaned_MLB_Stats_Dataset__1[[#This Row],[Slugging %]]-Cleaned_MLB_Stats_Dataset__1[[#This Row],[Batting Average]]</f>
        <v>0.22222222222222221</v>
      </c>
      <c r="AB260" s="6">
        <f>Cleaned_MLB_Stats_Dataset__1[[#This Row],[Batting Average]]-_xlfn.XLOOKUP(Cleaned_MLB_Stats_Dataset__1[[#This Row],[Year]],'League Averages'!$A$3:$A$23,'League Averages'!$B$3:$B$23)</f>
        <v>4.8518518518518516E-2</v>
      </c>
      <c r="AC260" s="6">
        <f>Cleaned_MLB_Stats_Dataset__1[[#This Row],[On Base Percentage]]-_xlfn.XLOOKUP(Cleaned_MLB_Stats_Dataset__1[[#This Row],[Year]],'League Averages'!$A$3:$A$23,'League Averages'!$C$3:$C$23)</f>
        <v>3.0614512471655309E-2</v>
      </c>
      <c r="AD260" s="6">
        <f>Cleaned_MLB_Stats_Dataset__1[[#This Row],[Slugging %]]-_xlfn.XLOOKUP(Cleaned_MLB_Stats_Dataset__1[[#This Row],[Year]],'League Averages'!$A$3:$A$23,'League Averages'!$D$3:$D$23)</f>
        <v>0.11674074074074076</v>
      </c>
      <c r="AE260" s="6">
        <f>Cleaned_MLB_Stats_Dataset__1[[#This Row],[OPS (On Base + Slugging)]]-_xlfn.XLOOKUP(Cleaned_MLB_Stats_Dataset__1[[#This Row],[Year]],'League Averages'!$A$3:$A$23,'League Averages'!$E$3:$E$23)</f>
        <v>0.14735525321239606</v>
      </c>
      <c r="AF260" s="6">
        <f>Cleaned_MLB_Stats_Dataset__1[[#This Row],[ISO (Isolated Power]]-_xlfn.XLOOKUP(Cleaned_MLB_Stats_Dataset__1[[#This Row],[Year]],'League Averages'!$A$3:$A$23,'League Averages'!$F$3:$F$23)</f>
        <v>6.8222222222222212E-2</v>
      </c>
    </row>
    <row r="261" spans="1:32" x14ac:dyDescent="0.2">
      <c r="A261" t="s">
        <v>309</v>
      </c>
      <c r="B261">
        <v>2000</v>
      </c>
      <c r="C261" t="s">
        <v>176</v>
      </c>
      <c r="D261" t="s">
        <v>6</v>
      </c>
      <c r="E261" t="s">
        <v>86</v>
      </c>
      <c r="F261" t="str">
        <f>_xlfn.XLOOKUP(Cleaned_MLB_Stats_Dataset__1[[#This Row],[Position'#]],$B$373:$B$382,$A$373:$A$382)</f>
        <v>1B</v>
      </c>
      <c r="G261">
        <v>3</v>
      </c>
      <c r="H261">
        <v>510</v>
      </c>
      <c r="I261">
        <v>170</v>
      </c>
      <c r="J261">
        <v>29</v>
      </c>
      <c r="K261">
        <v>1</v>
      </c>
      <c r="L261">
        <v>43</v>
      </c>
      <c r="M261">
        <v>108</v>
      </c>
      <c r="N261">
        <v>137</v>
      </c>
      <c r="O261">
        <v>96</v>
      </c>
      <c r="P261">
        <v>137</v>
      </c>
      <c r="Q261">
        <v>6</v>
      </c>
      <c r="R261">
        <v>9</v>
      </c>
      <c r="S261">
        <v>8</v>
      </c>
      <c r="T261">
        <v>0</v>
      </c>
      <c r="U261" s="6">
        <f>Cleaned_MLB_Stats_Dataset__1[[#This Row],[Hits]]/Cleaned_MLB_Stats_Dataset__1[[#This Row],[At Bats]]</f>
        <v>0.33333333333333331</v>
      </c>
      <c r="V261" s="6">
        <f>Cleaned_MLB_Stats_Dataset__1[[#This Row],[Strikeouts]]/(Cleaned_MLB_Stats_Dataset__1[[#This Row],[At Bats]]+Cleaned_MLB_Stats_Dataset__1[[#This Row],[Walks]])</f>
        <v>0.14837712519319937</v>
      </c>
      <c r="W26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0.2225609756097561</v>
      </c>
      <c r="X26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0.4759036144578313</v>
      </c>
      <c r="Y26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0.6470588235294118</v>
      </c>
      <c r="Z261" s="6">
        <f>Cleaned_MLB_Stats_Dataset__1[[#This Row],[On Base Percentage]]+Cleaned_MLB_Stats_Dataset__1[[#This Row],[Slugging %]]</f>
        <v>1.1229624379872432</v>
      </c>
      <c r="AA261" s="6">
        <f>Cleaned_MLB_Stats_Dataset__1[[#This Row],[Slugging %]]-Cleaned_MLB_Stats_Dataset__1[[#This Row],[Batting Average]]</f>
        <v>0.31372549019607848</v>
      </c>
      <c r="AB261" s="6">
        <f>Cleaned_MLB_Stats_Dataset__1[[#This Row],[Batting Average]]-_xlfn.XLOOKUP(Cleaned_MLB_Stats_Dataset__1[[#This Row],[Year]],'League Averages'!$A$3:$A$23,'League Averages'!$B$3:$B$23)</f>
        <v>6.3333333333333297E-2</v>
      </c>
      <c r="AC261" s="6">
        <f>Cleaned_MLB_Stats_Dataset__1[[#This Row],[On Base Percentage]]-_xlfn.XLOOKUP(Cleaned_MLB_Stats_Dataset__1[[#This Row],[Year]],'League Averages'!$A$3:$A$23,'League Averages'!$C$3:$C$23)</f>
        <v>0.13090361445783133</v>
      </c>
      <c r="AD261" s="6">
        <f>Cleaned_MLB_Stats_Dataset__1[[#This Row],[Slugging %]]-_xlfn.XLOOKUP(Cleaned_MLB_Stats_Dataset__1[[#This Row],[Year]],'League Averages'!$A$3:$A$23,'League Averages'!$D$3:$D$23)</f>
        <v>0.2100588235294118</v>
      </c>
      <c r="AE261" s="6">
        <f>Cleaned_MLB_Stats_Dataset__1[[#This Row],[OPS (On Base + Slugging)]]-_xlfn.XLOOKUP(Cleaned_MLB_Stats_Dataset__1[[#This Row],[Year]],'League Averages'!$A$3:$A$23,'League Averages'!$E$3:$E$23)</f>
        <v>0.34096243798724313</v>
      </c>
      <c r="AF261" s="6">
        <f>Cleaned_MLB_Stats_Dataset__1[[#This Row],[ISO (Isolated Power]]-_xlfn.XLOOKUP(Cleaned_MLB_Stats_Dataset__1[[#This Row],[Year]],'League Averages'!$A$3:$A$23,'League Averages'!$F$3:$F$23)</f>
        <v>0.14672549019607847</v>
      </c>
    </row>
    <row r="262" spans="1:32" x14ac:dyDescent="0.2">
      <c r="A262" t="s">
        <v>309</v>
      </c>
      <c r="B262">
        <v>1996</v>
      </c>
      <c r="C262" t="s">
        <v>163</v>
      </c>
      <c r="D262" t="s">
        <v>3</v>
      </c>
      <c r="E262" t="s">
        <v>80</v>
      </c>
      <c r="F262" t="str">
        <f>_xlfn.XLOOKUP(Cleaned_MLB_Stats_Dataset__1[[#This Row],[Position'#]],$B$373:$B$382,$A$373:$A$382)</f>
        <v>C</v>
      </c>
      <c r="G262">
        <v>2</v>
      </c>
      <c r="H262">
        <v>547</v>
      </c>
      <c r="I262">
        <v>184</v>
      </c>
      <c r="J262">
        <v>16</v>
      </c>
      <c r="K262">
        <v>0</v>
      </c>
      <c r="L262">
        <v>36</v>
      </c>
      <c r="M262">
        <v>87</v>
      </c>
      <c r="N262">
        <v>105</v>
      </c>
      <c r="O262">
        <v>93</v>
      </c>
      <c r="P262">
        <v>81</v>
      </c>
      <c r="Q262">
        <v>21</v>
      </c>
      <c r="R262">
        <v>1</v>
      </c>
      <c r="S262">
        <v>2</v>
      </c>
      <c r="T262">
        <v>0</v>
      </c>
      <c r="U262" s="6">
        <f>Cleaned_MLB_Stats_Dataset__1[[#This Row],[Hits]]/Cleaned_MLB_Stats_Dataset__1[[#This Row],[At Bats]]</f>
        <v>0.33638025594149906</v>
      </c>
      <c r="V262" s="6">
        <f>Cleaned_MLB_Stats_Dataset__1[[#This Row],[Strikeouts]]/(Cleaned_MLB_Stats_Dataset__1[[#This Row],[At Bats]]+Cleaned_MLB_Stats_Dataset__1[[#This Row],[Walks]])</f>
        <v>0.14808917197452229</v>
      </c>
      <c r="W26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0.13036565977742448</v>
      </c>
      <c r="X26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0.42155309033280508</v>
      </c>
      <c r="Y26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0.56307129798903111</v>
      </c>
      <c r="Z262" s="6">
        <f>Cleaned_MLB_Stats_Dataset__1[[#This Row],[On Base Percentage]]+Cleaned_MLB_Stats_Dataset__1[[#This Row],[Slugging %]]</f>
        <v>0.98462438832183619</v>
      </c>
      <c r="AA262" s="6">
        <f>Cleaned_MLB_Stats_Dataset__1[[#This Row],[Slugging %]]-Cleaned_MLB_Stats_Dataset__1[[#This Row],[Batting Average]]</f>
        <v>0.22669104204753204</v>
      </c>
      <c r="AB262" s="6">
        <f>Cleaned_MLB_Stats_Dataset__1[[#This Row],[Batting Average]]-_xlfn.XLOOKUP(Cleaned_MLB_Stats_Dataset__1[[#This Row],[Year]],'League Averages'!$A$3:$A$23,'League Averages'!$B$3:$B$23)</f>
        <v>6.6380255941499045E-2</v>
      </c>
      <c r="AC262" s="6">
        <f>Cleaned_MLB_Stats_Dataset__1[[#This Row],[On Base Percentage]]-_xlfn.XLOOKUP(Cleaned_MLB_Stats_Dataset__1[[#This Row],[Year]],'League Averages'!$A$3:$A$23,'League Averages'!$C$3:$C$23)</f>
        <v>8.1553090332805056E-2</v>
      </c>
      <c r="AD262" s="6">
        <f>Cleaned_MLB_Stats_Dataset__1[[#This Row],[Slugging %]]-_xlfn.XLOOKUP(Cleaned_MLB_Stats_Dataset__1[[#This Row],[Year]],'League Averages'!$A$3:$A$23,'League Averages'!$D$3:$D$23)</f>
        <v>0.13607129798903111</v>
      </c>
      <c r="AE262" s="6">
        <f>Cleaned_MLB_Stats_Dataset__1[[#This Row],[OPS (On Base + Slugging)]]-_xlfn.XLOOKUP(Cleaned_MLB_Stats_Dataset__1[[#This Row],[Year]],'League Averages'!$A$3:$A$23,'League Averages'!$E$3:$E$23)</f>
        <v>0.21762438832183617</v>
      </c>
      <c r="AF262" s="6">
        <f>Cleaned_MLB_Stats_Dataset__1[[#This Row],[ISO (Isolated Power]]-_xlfn.XLOOKUP(Cleaned_MLB_Stats_Dataset__1[[#This Row],[Year]],'League Averages'!$A$3:$A$23,'League Averages'!$F$3:$F$23)</f>
        <v>6.9691042047532042E-2</v>
      </c>
    </row>
    <row r="263" spans="1:32" x14ac:dyDescent="0.2">
      <c r="A263" t="s">
        <v>309</v>
      </c>
      <c r="B263">
        <v>2000</v>
      </c>
      <c r="C263" t="s">
        <v>184</v>
      </c>
      <c r="D263" t="s">
        <v>6</v>
      </c>
      <c r="E263" t="s">
        <v>87</v>
      </c>
      <c r="F263" t="str">
        <f>_xlfn.XLOOKUP(Cleaned_MLB_Stats_Dataset__1[[#This Row],[Position'#]],$B$373:$B$382,$A$373:$A$382)</f>
        <v>RF</v>
      </c>
      <c r="G263">
        <v>9</v>
      </c>
      <c r="H263">
        <v>601</v>
      </c>
      <c r="I263">
        <v>193</v>
      </c>
      <c r="J263">
        <v>41</v>
      </c>
      <c r="K263">
        <v>2</v>
      </c>
      <c r="L263">
        <v>33</v>
      </c>
      <c r="M263">
        <v>107</v>
      </c>
      <c r="N263">
        <v>118</v>
      </c>
      <c r="O263">
        <v>99</v>
      </c>
      <c r="P263">
        <v>69</v>
      </c>
      <c r="Q263">
        <v>6</v>
      </c>
      <c r="R263">
        <v>3</v>
      </c>
      <c r="S263">
        <v>6</v>
      </c>
      <c r="T263">
        <v>0</v>
      </c>
      <c r="U263" s="6">
        <f>Cleaned_MLB_Stats_Dataset__1[[#This Row],[Hits]]/Cleaned_MLB_Stats_Dataset__1[[#This Row],[At Bats]]</f>
        <v>0.3211314475873544</v>
      </c>
      <c r="V263" s="6">
        <f>Cleaned_MLB_Stats_Dataset__1[[#This Row],[Strikeouts]]/(Cleaned_MLB_Stats_Dataset__1[[#This Row],[At Bats]]+Cleaned_MLB_Stats_Dataset__1[[#This Row],[Walks]])</f>
        <v>0.14776119402985075</v>
      </c>
      <c r="W26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0.10698365527488855</v>
      </c>
      <c r="X26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0.39027982326951399</v>
      </c>
      <c r="Y26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0.56073211314475868</v>
      </c>
      <c r="Z263" s="6">
        <f>Cleaned_MLB_Stats_Dataset__1[[#This Row],[On Base Percentage]]+Cleaned_MLB_Stats_Dataset__1[[#This Row],[Slugging %]]</f>
        <v>0.95101193641427262</v>
      </c>
      <c r="AA263" s="6">
        <f>Cleaned_MLB_Stats_Dataset__1[[#This Row],[Slugging %]]-Cleaned_MLB_Stats_Dataset__1[[#This Row],[Batting Average]]</f>
        <v>0.23960066555740428</v>
      </c>
      <c r="AB263" s="6">
        <f>Cleaned_MLB_Stats_Dataset__1[[#This Row],[Batting Average]]-_xlfn.XLOOKUP(Cleaned_MLB_Stats_Dataset__1[[#This Row],[Year]],'League Averages'!$A$3:$A$23,'League Averages'!$B$3:$B$23)</f>
        <v>5.1131447587354384E-2</v>
      </c>
      <c r="AC263" s="6">
        <f>Cleaned_MLB_Stats_Dataset__1[[#This Row],[On Base Percentage]]-_xlfn.XLOOKUP(Cleaned_MLB_Stats_Dataset__1[[#This Row],[Year]],'League Averages'!$A$3:$A$23,'League Averages'!$C$3:$C$23)</f>
        <v>4.5279823269514019E-2</v>
      </c>
      <c r="AD263" s="6">
        <f>Cleaned_MLB_Stats_Dataset__1[[#This Row],[Slugging %]]-_xlfn.XLOOKUP(Cleaned_MLB_Stats_Dataset__1[[#This Row],[Year]],'League Averages'!$A$3:$A$23,'League Averages'!$D$3:$D$23)</f>
        <v>0.12373211314475868</v>
      </c>
      <c r="AE263" s="6">
        <f>Cleaned_MLB_Stats_Dataset__1[[#This Row],[OPS (On Base + Slugging)]]-_xlfn.XLOOKUP(Cleaned_MLB_Stats_Dataset__1[[#This Row],[Year]],'League Averages'!$A$3:$A$23,'League Averages'!$E$3:$E$23)</f>
        <v>0.16901193641427259</v>
      </c>
      <c r="AF263" s="6">
        <f>Cleaned_MLB_Stats_Dataset__1[[#This Row],[ISO (Isolated Power]]-_xlfn.XLOOKUP(Cleaned_MLB_Stats_Dataset__1[[#This Row],[Year]],'League Averages'!$A$3:$A$23,'League Averages'!$F$3:$F$23)</f>
        <v>7.260066555740427E-2</v>
      </c>
    </row>
    <row r="264" spans="1:32" x14ac:dyDescent="0.2">
      <c r="A264" t="s">
        <v>309</v>
      </c>
      <c r="B264">
        <v>1997</v>
      </c>
      <c r="C264" t="s">
        <v>108</v>
      </c>
      <c r="D264" t="s">
        <v>6</v>
      </c>
      <c r="E264" t="s">
        <v>71</v>
      </c>
      <c r="F264" t="str">
        <f>_xlfn.XLOOKUP(Cleaned_MLB_Stats_Dataset__1[[#This Row],[Position'#]],$B$373:$B$382,$A$373:$A$382)</f>
        <v>RF</v>
      </c>
      <c r="G264">
        <v>9</v>
      </c>
      <c r="H264">
        <v>553</v>
      </c>
      <c r="I264">
        <v>179</v>
      </c>
      <c r="J264">
        <v>42</v>
      </c>
      <c r="K264">
        <v>0</v>
      </c>
      <c r="L264">
        <v>21</v>
      </c>
      <c r="M264">
        <v>89</v>
      </c>
      <c r="N264">
        <v>117</v>
      </c>
      <c r="O264">
        <v>92</v>
      </c>
      <c r="P264">
        <v>75</v>
      </c>
      <c r="Q264">
        <v>8</v>
      </c>
      <c r="R264">
        <v>0</v>
      </c>
      <c r="S264">
        <v>9</v>
      </c>
      <c r="T264">
        <v>0</v>
      </c>
      <c r="U264" s="6">
        <f>Cleaned_MLB_Stats_Dataset__1[[#This Row],[Hits]]/Cleaned_MLB_Stats_Dataset__1[[#This Row],[At Bats]]</f>
        <v>0.32368896925858953</v>
      </c>
      <c r="V264" s="6">
        <f>Cleaned_MLB_Stats_Dataset__1[[#This Row],[Strikeouts]]/(Cleaned_MLB_Stats_Dataset__1[[#This Row],[At Bats]]+Cleaned_MLB_Stats_Dataset__1[[#This Row],[Walks]])</f>
        <v>0.1464968152866242</v>
      </c>
      <c r="W26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0.11942675159235669</v>
      </c>
      <c r="X26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0.39874411302982732</v>
      </c>
      <c r="Y26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0.51356238698010848</v>
      </c>
      <c r="Z264" s="6">
        <f>Cleaned_MLB_Stats_Dataset__1[[#This Row],[On Base Percentage]]+Cleaned_MLB_Stats_Dataset__1[[#This Row],[Slugging %]]</f>
        <v>0.91230650000993574</v>
      </c>
      <c r="AA264" s="6">
        <f>Cleaned_MLB_Stats_Dataset__1[[#This Row],[Slugging %]]-Cleaned_MLB_Stats_Dataset__1[[#This Row],[Batting Average]]</f>
        <v>0.18987341772151894</v>
      </c>
      <c r="AB264" s="6">
        <f>Cleaned_MLB_Stats_Dataset__1[[#This Row],[Batting Average]]-_xlfn.XLOOKUP(Cleaned_MLB_Stats_Dataset__1[[#This Row],[Year]],'League Averages'!$A$3:$A$23,'League Averages'!$B$3:$B$23)</f>
        <v>5.6688969258589517E-2</v>
      </c>
      <c r="AC264" s="6">
        <f>Cleaned_MLB_Stats_Dataset__1[[#This Row],[On Base Percentage]]-_xlfn.XLOOKUP(Cleaned_MLB_Stats_Dataset__1[[#This Row],[Year]],'League Averages'!$A$3:$A$23,'League Averages'!$C$3:$C$23)</f>
        <v>6.1744113029827297E-2</v>
      </c>
      <c r="AD264" s="6">
        <f>Cleaned_MLB_Stats_Dataset__1[[#This Row],[Slugging %]]-_xlfn.XLOOKUP(Cleaned_MLB_Stats_Dataset__1[[#This Row],[Year]],'League Averages'!$A$3:$A$23,'League Averages'!$D$3:$D$23)</f>
        <v>9.4562386980108493E-2</v>
      </c>
      <c r="AE264" s="6">
        <f>Cleaned_MLB_Stats_Dataset__1[[#This Row],[OPS (On Base + Slugging)]]-_xlfn.XLOOKUP(Cleaned_MLB_Stats_Dataset__1[[#This Row],[Year]],'League Averages'!$A$3:$A$23,'League Averages'!$E$3:$E$23)</f>
        <v>0.15630650000993573</v>
      </c>
      <c r="AF264" s="6">
        <f>Cleaned_MLB_Stats_Dataset__1[[#This Row],[ISO (Isolated Power]]-_xlfn.XLOOKUP(Cleaned_MLB_Stats_Dataset__1[[#This Row],[Year]],'League Averages'!$A$3:$A$23,'League Averages'!$F$3:$F$23)</f>
        <v>3.7873417721518948E-2</v>
      </c>
    </row>
    <row r="265" spans="1:32" x14ac:dyDescent="0.2">
      <c r="A265" t="s">
        <v>309</v>
      </c>
      <c r="B265">
        <v>1999</v>
      </c>
      <c r="C265" t="s">
        <v>127</v>
      </c>
      <c r="D265" t="s">
        <v>6</v>
      </c>
      <c r="E265" t="s">
        <v>66</v>
      </c>
      <c r="F265" t="str">
        <f>_xlfn.XLOOKUP(Cleaned_MLB_Stats_Dataset__1[[#This Row],[Position'#]],$B$373:$B$382,$A$373:$A$382)</f>
        <v>2B</v>
      </c>
      <c r="G265">
        <v>4</v>
      </c>
      <c r="H265">
        <v>563</v>
      </c>
      <c r="I265">
        <v>182</v>
      </c>
      <c r="J265">
        <v>40</v>
      </c>
      <c r="K265">
        <v>3</v>
      </c>
      <c r="L265">
        <v>24</v>
      </c>
      <c r="M265">
        <v>138</v>
      </c>
      <c r="N265">
        <v>120</v>
      </c>
      <c r="O265">
        <v>96</v>
      </c>
      <c r="P265">
        <v>99</v>
      </c>
      <c r="Q265">
        <v>3</v>
      </c>
      <c r="R265">
        <v>7</v>
      </c>
      <c r="S265">
        <v>13</v>
      </c>
      <c r="T265">
        <v>12</v>
      </c>
      <c r="U265" s="6">
        <f>Cleaned_MLB_Stats_Dataset__1[[#This Row],[Hits]]/Cleaned_MLB_Stats_Dataset__1[[#This Row],[At Bats]]</f>
        <v>0.32326820603907636</v>
      </c>
      <c r="V265" s="6">
        <f>Cleaned_MLB_Stats_Dataset__1[[#This Row],[Strikeouts]]/(Cleaned_MLB_Stats_Dataset__1[[#This Row],[At Bats]]+Cleaned_MLB_Stats_Dataset__1[[#This Row],[Walks]])</f>
        <v>0.14501510574018128</v>
      </c>
      <c r="W26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0.15844544095665172</v>
      </c>
      <c r="X26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0.42228739002932553</v>
      </c>
      <c r="Y26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0.53285968028419184</v>
      </c>
      <c r="Z265" s="6">
        <f>Cleaned_MLB_Stats_Dataset__1[[#This Row],[On Base Percentage]]+Cleaned_MLB_Stats_Dataset__1[[#This Row],[Slugging %]]</f>
        <v>0.95514707031351742</v>
      </c>
      <c r="AA265" s="6">
        <f>Cleaned_MLB_Stats_Dataset__1[[#This Row],[Slugging %]]-Cleaned_MLB_Stats_Dataset__1[[#This Row],[Batting Average]]</f>
        <v>0.20959147424511548</v>
      </c>
      <c r="AB265" s="6">
        <f>Cleaned_MLB_Stats_Dataset__1[[#This Row],[Batting Average]]-_xlfn.XLOOKUP(Cleaned_MLB_Stats_Dataset__1[[#This Row],[Year]],'League Averages'!$A$3:$A$23,'League Averages'!$B$3:$B$23)</f>
        <v>5.2268206039076337E-2</v>
      </c>
      <c r="AC265" s="6">
        <f>Cleaned_MLB_Stats_Dataset__1[[#This Row],[On Base Percentage]]-_xlfn.XLOOKUP(Cleaned_MLB_Stats_Dataset__1[[#This Row],[Year]],'League Averages'!$A$3:$A$23,'League Averages'!$C$3:$C$23)</f>
        <v>7.7287390029325553E-2</v>
      </c>
      <c r="AD265" s="6">
        <f>Cleaned_MLB_Stats_Dataset__1[[#This Row],[Slugging %]]-_xlfn.XLOOKUP(Cleaned_MLB_Stats_Dataset__1[[#This Row],[Year]],'League Averages'!$A$3:$A$23,'League Averages'!$D$3:$D$23)</f>
        <v>9.8859680284191842E-2</v>
      </c>
      <c r="AE265" s="6">
        <f>Cleaned_MLB_Stats_Dataset__1[[#This Row],[OPS (On Base + Slugging)]]-_xlfn.XLOOKUP(Cleaned_MLB_Stats_Dataset__1[[#This Row],[Year]],'League Averages'!$A$3:$A$23,'League Averages'!$E$3:$E$23)</f>
        <v>0.1771470703135174</v>
      </c>
      <c r="AF265" s="6">
        <f>Cleaned_MLB_Stats_Dataset__1[[#This Row],[ISO (Isolated Power]]-_xlfn.XLOOKUP(Cleaned_MLB_Stats_Dataset__1[[#This Row],[Year]],'League Averages'!$A$3:$A$23,'League Averages'!$F$3:$F$23)</f>
        <v>4.6591474245115477E-2</v>
      </c>
    </row>
    <row r="266" spans="1:32" x14ac:dyDescent="0.2">
      <c r="A266" t="s">
        <v>309</v>
      </c>
      <c r="B266">
        <v>2002</v>
      </c>
      <c r="C266" t="s">
        <v>224</v>
      </c>
      <c r="D266" t="s">
        <v>6</v>
      </c>
      <c r="E266" t="s">
        <v>68</v>
      </c>
      <c r="F266" t="str">
        <f>_xlfn.XLOOKUP(Cleaned_MLB_Stats_Dataset__1[[#This Row],[Position'#]],$B$373:$B$382,$A$373:$A$382)</f>
        <v>3B</v>
      </c>
      <c r="G266">
        <v>5</v>
      </c>
      <c r="H266">
        <v>634</v>
      </c>
      <c r="I266">
        <v>186</v>
      </c>
      <c r="J266">
        <v>43</v>
      </c>
      <c r="K266">
        <v>4</v>
      </c>
      <c r="L266">
        <v>18</v>
      </c>
      <c r="M266">
        <v>94</v>
      </c>
      <c r="N266">
        <v>83</v>
      </c>
      <c r="O266">
        <v>95</v>
      </c>
      <c r="P266">
        <v>25</v>
      </c>
      <c r="Q266">
        <v>4</v>
      </c>
      <c r="R266">
        <v>12</v>
      </c>
      <c r="S266">
        <v>5</v>
      </c>
      <c r="T266">
        <v>0</v>
      </c>
      <c r="U266" s="6">
        <f>Cleaned_MLB_Stats_Dataset__1[[#This Row],[Hits]]/Cleaned_MLB_Stats_Dataset__1[[#This Row],[At Bats]]</f>
        <v>0.29337539432176657</v>
      </c>
      <c r="V266" s="6">
        <f>Cleaned_MLB_Stats_Dataset__1[[#This Row],[Strikeouts]]/(Cleaned_MLB_Stats_Dataset__1[[#This Row],[At Bats]]+Cleaned_MLB_Stats_Dataset__1[[#This Row],[Walks]])</f>
        <v>0.1441578148710167</v>
      </c>
      <c r="W26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5.5141579731743669E-2</v>
      </c>
      <c r="X26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0.32988165680473375</v>
      </c>
      <c r="Y26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0.4589905362776025</v>
      </c>
      <c r="Z266" s="6">
        <f>Cleaned_MLB_Stats_Dataset__1[[#This Row],[On Base Percentage]]+Cleaned_MLB_Stats_Dataset__1[[#This Row],[Slugging %]]</f>
        <v>0.78887219308233625</v>
      </c>
      <c r="AA266" s="6">
        <f>Cleaned_MLB_Stats_Dataset__1[[#This Row],[Slugging %]]-Cleaned_MLB_Stats_Dataset__1[[#This Row],[Batting Average]]</f>
        <v>0.16561514195583593</v>
      </c>
      <c r="AB266" s="6">
        <f>Cleaned_MLB_Stats_Dataset__1[[#This Row],[Batting Average]]-_xlfn.XLOOKUP(Cleaned_MLB_Stats_Dataset__1[[#This Row],[Year]],'League Averages'!$A$3:$A$23,'League Averages'!$B$3:$B$23)</f>
        <v>3.237539432176656E-2</v>
      </c>
      <c r="AC266" s="6">
        <f>Cleaned_MLB_Stats_Dataset__1[[#This Row],[On Base Percentage]]-_xlfn.XLOOKUP(Cleaned_MLB_Stats_Dataset__1[[#This Row],[Year]],'League Averages'!$A$3:$A$23,'League Averages'!$C$3:$C$23)</f>
        <v>-1.1183431952662692E-3</v>
      </c>
      <c r="AD266" s="6">
        <f>Cleaned_MLB_Stats_Dataset__1[[#This Row],[Slugging %]]-_xlfn.XLOOKUP(Cleaned_MLB_Stats_Dataset__1[[#This Row],[Year]],'League Averages'!$A$3:$A$23,'League Averages'!$D$3:$D$23)</f>
        <v>4.1990536277602519E-2</v>
      </c>
      <c r="AE266" s="6">
        <f>Cleaned_MLB_Stats_Dataset__1[[#This Row],[OPS (On Base + Slugging)]]-_xlfn.XLOOKUP(Cleaned_MLB_Stats_Dataset__1[[#This Row],[Year]],'League Averages'!$A$3:$A$23,'League Averages'!$E$3:$E$23)</f>
        <v>4.087219308233625E-2</v>
      </c>
      <c r="AF266" s="6">
        <f>Cleaned_MLB_Stats_Dataset__1[[#This Row],[ISO (Isolated Power]]-_xlfn.XLOOKUP(Cleaned_MLB_Stats_Dataset__1[[#This Row],[Year]],'League Averages'!$A$3:$A$23,'League Averages'!$F$3:$F$23)</f>
        <v>9.6151419558359319E-3</v>
      </c>
    </row>
    <row r="267" spans="1:32" x14ac:dyDescent="0.2">
      <c r="A267" t="s">
        <v>309</v>
      </c>
      <c r="B267">
        <v>1998</v>
      </c>
      <c r="C267" t="s">
        <v>155</v>
      </c>
      <c r="D267" t="s">
        <v>6</v>
      </c>
      <c r="E267" t="s">
        <v>90</v>
      </c>
      <c r="F267" t="str">
        <f>_xlfn.XLOOKUP(Cleaned_MLB_Stats_Dataset__1[[#This Row],[Position'#]],$B$373:$B$382,$A$373:$A$382)</f>
        <v>C</v>
      </c>
      <c r="G267">
        <v>2</v>
      </c>
      <c r="H267">
        <v>579</v>
      </c>
      <c r="I267">
        <v>186</v>
      </c>
      <c r="J267">
        <v>40</v>
      </c>
      <c r="K267">
        <v>4</v>
      </c>
      <c r="L267">
        <v>21</v>
      </c>
      <c r="M267">
        <v>88</v>
      </c>
      <c r="N267">
        <v>91</v>
      </c>
      <c r="O267">
        <v>88</v>
      </c>
      <c r="P267">
        <v>32</v>
      </c>
      <c r="Q267">
        <v>4</v>
      </c>
      <c r="R267">
        <v>3</v>
      </c>
      <c r="S267">
        <v>3</v>
      </c>
      <c r="T267">
        <v>0</v>
      </c>
      <c r="U267" s="6">
        <f>Cleaned_MLB_Stats_Dataset__1[[#This Row],[Hits]]/Cleaned_MLB_Stats_Dataset__1[[#This Row],[At Bats]]</f>
        <v>0.32124352331606215</v>
      </c>
      <c r="V267" s="6">
        <f>Cleaned_MLB_Stats_Dataset__1[[#This Row],[Strikeouts]]/(Cleaned_MLB_Stats_Dataset__1[[#This Row],[At Bats]]+Cleaned_MLB_Stats_Dataset__1[[#This Row],[Walks]])</f>
        <v>0.14402618657937807</v>
      </c>
      <c r="W26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5.7003257328990226E-2</v>
      </c>
      <c r="X26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0.35818476499189628</v>
      </c>
      <c r="Y26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0.51295336787564771</v>
      </c>
      <c r="Z267" s="6">
        <f>Cleaned_MLB_Stats_Dataset__1[[#This Row],[On Base Percentage]]+Cleaned_MLB_Stats_Dataset__1[[#This Row],[Slugging %]]</f>
        <v>0.87113813286754405</v>
      </c>
      <c r="AA267" s="6">
        <f>Cleaned_MLB_Stats_Dataset__1[[#This Row],[Slugging %]]-Cleaned_MLB_Stats_Dataset__1[[#This Row],[Batting Average]]</f>
        <v>0.19170984455958556</v>
      </c>
      <c r="AB267" s="6">
        <f>Cleaned_MLB_Stats_Dataset__1[[#This Row],[Batting Average]]-_xlfn.XLOOKUP(Cleaned_MLB_Stats_Dataset__1[[#This Row],[Year]],'League Averages'!$A$3:$A$23,'League Averages'!$B$3:$B$23)</f>
        <v>5.5243523316062138E-2</v>
      </c>
      <c r="AC267" s="6">
        <f>Cleaned_MLB_Stats_Dataset__1[[#This Row],[On Base Percentage]]-_xlfn.XLOOKUP(Cleaned_MLB_Stats_Dataset__1[[#This Row],[Year]],'League Averages'!$A$3:$A$23,'League Averages'!$C$3:$C$23)</f>
        <v>2.3184764991896256E-2</v>
      </c>
      <c r="AD267" s="6">
        <f>Cleaned_MLB_Stats_Dataset__1[[#This Row],[Slugging %]]-_xlfn.XLOOKUP(Cleaned_MLB_Stats_Dataset__1[[#This Row],[Year]],'League Averages'!$A$3:$A$23,'League Averages'!$D$3:$D$23)</f>
        <v>9.295336787564773E-2</v>
      </c>
      <c r="AE267" s="6">
        <f>Cleaned_MLB_Stats_Dataset__1[[#This Row],[OPS (On Base + Slugging)]]-_xlfn.XLOOKUP(Cleaned_MLB_Stats_Dataset__1[[#This Row],[Year]],'League Averages'!$A$3:$A$23,'League Averages'!$E$3:$E$23)</f>
        <v>0.11613813286754404</v>
      </c>
      <c r="AF267" s="6">
        <f>Cleaned_MLB_Stats_Dataset__1[[#This Row],[ISO (Isolated Power]]-_xlfn.XLOOKUP(Cleaned_MLB_Stats_Dataset__1[[#This Row],[Year]],'League Averages'!$A$3:$A$23,'League Averages'!$F$3:$F$23)</f>
        <v>3.7709844559585565E-2</v>
      </c>
    </row>
    <row r="268" spans="1:32" x14ac:dyDescent="0.2">
      <c r="A268" t="s">
        <v>309</v>
      </c>
      <c r="B268">
        <v>2001</v>
      </c>
      <c r="C268" t="s">
        <v>160</v>
      </c>
      <c r="D268" t="s">
        <v>3</v>
      </c>
      <c r="E268" t="s">
        <v>79</v>
      </c>
      <c r="F268" t="str">
        <f>_xlfn.XLOOKUP(Cleaned_MLB_Stats_Dataset__1[[#This Row],[Position'#]],$B$373:$B$382,$A$373:$A$382)</f>
        <v>2B</v>
      </c>
      <c r="G268">
        <v>4</v>
      </c>
      <c r="H268">
        <v>607</v>
      </c>
      <c r="I268">
        <v>181</v>
      </c>
      <c r="J268">
        <v>49</v>
      </c>
      <c r="K268">
        <v>6</v>
      </c>
      <c r="L268">
        <v>22</v>
      </c>
      <c r="M268">
        <v>84</v>
      </c>
      <c r="N268">
        <v>106</v>
      </c>
      <c r="O268">
        <v>96</v>
      </c>
      <c r="P268">
        <v>65</v>
      </c>
      <c r="Q268">
        <v>4</v>
      </c>
      <c r="R268">
        <v>11</v>
      </c>
      <c r="S268">
        <v>13</v>
      </c>
      <c r="T268">
        <v>0</v>
      </c>
      <c r="U268" s="6">
        <f>Cleaned_MLB_Stats_Dataset__1[[#This Row],[Hits]]/Cleaned_MLB_Stats_Dataset__1[[#This Row],[At Bats]]</f>
        <v>0.29818780889621088</v>
      </c>
      <c r="V268" s="6">
        <f>Cleaned_MLB_Stats_Dataset__1[[#This Row],[Strikeouts]]/(Cleaned_MLB_Stats_Dataset__1[[#This Row],[At Bats]]+Cleaned_MLB_Stats_Dataset__1[[#This Row],[Walks]])</f>
        <v>0.14285714285714285</v>
      </c>
      <c r="W26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0.11127379209370425</v>
      </c>
      <c r="X26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0.3692528735632184</v>
      </c>
      <c r="Y26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0.5074135090609555</v>
      </c>
      <c r="Z268" s="6">
        <f>Cleaned_MLB_Stats_Dataset__1[[#This Row],[On Base Percentage]]+Cleaned_MLB_Stats_Dataset__1[[#This Row],[Slugging %]]</f>
        <v>0.87666638262417385</v>
      </c>
      <c r="AA268" s="6">
        <f>Cleaned_MLB_Stats_Dataset__1[[#This Row],[Slugging %]]-Cleaned_MLB_Stats_Dataset__1[[#This Row],[Batting Average]]</f>
        <v>0.20922570016474462</v>
      </c>
      <c r="AB268" s="6">
        <f>Cleaned_MLB_Stats_Dataset__1[[#This Row],[Batting Average]]-_xlfn.XLOOKUP(Cleaned_MLB_Stats_Dataset__1[[#This Row],[Year]],'League Averages'!$A$3:$A$23,'League Averages'!$B$3:$B$23)</f>
        <v>3.4187808896210869E-2</v>
      </c>
      <c r="AC268" s="6">
        <f>Cleaned_MLB_Stats_Dataset__1[[#This Row],[On Base Percentage]]-_xlfn.XLOOKUP(Cleaned_MLB_Stats_Dataset__1[[#This Row],[Year]],'League Averages'!$A$3:$A$23,'League Averages'!$C$3:$C$23)</f>
        <v>3.7252873563218381E-2</v>
      </c>
      <c r="AD268" s="6">
        <f>Cleaned_MLB_Stats_Dataset__1[[#This Row],[Slugging %]]-_xlfn.XLOOKUP(Cleaned_MLB_Stats_Dataset__1[[#This Row],[Year]],'League Averages'!$A$3:$A$23,'League Averages'!$D$3:$D$23)</f>
        <v>8.0413509060955513E-2</v>
      </c>
      <c r="AE268" s="6">
        <f>Cleaned_MLB_Stats_Dataset__1[[#This Row],[OPS (On Base + Slugging)]]-_xlfn.XLOOKUP(Cleaned_MLB_Stats_Dataset__1[[#This Row],[Year]],'League Averages'!$A$3:$A$23,'League Averages'!$E$3:$E$23)</f>
        <v>0.11766638262417384</v>
      </c>
      <c r="AF268" s="6">
        <f>Cleaned_MLB_Stats_Dataset__1[[#This Row],[ISO (Isolated Power]]-_xlfn.XLOOKUP(Cleaned_MLB_Stats_Dataset__1[[#This Row],[Year]],'League Averages'!$A$3:$A$23,'League Averages'!$F$3:$F$23)</f>
        <v>4.6225700164744615E-2</v>
      </c>
    </row>
    <row r="269" spans="1:32" x14ac:dyDescent="0.2">
      <c r="A269" t="s">
        <v>309</v>
      </c>
      <c r="B269">
        <v>2001</v>
      </c>
      <c r="C269" t="s">
        <v>110</v>
      </c>
      <c r="D269" t="s">
        <v>3</v>
      </c>
      <c r="E269" t="s">
        <v>79</v>
      </c>
      <c r="F269" t="str">
        <f>_xlfn.XLOOKUP(Cleaned_MLB_Stats_Dataset__1[[#This Row],[Position'#]],$B$373:$B$382,$A$373:$A$382)</f>
        <v>LF</v>
      </c>
      <c r="G269">
        <v>7</v>
      </c>
      <c r="H269">
        <v>476</v>
      </c>
      <c r="I269">
        <v>156</v>
      </c>
      <c r="J269">
        <v>32</v>
      </c>
      <c r="K269">
        <v>2</v>
      </c>
      <c r="L269">
        <v>73</v>
      </c>
      <c r="M269">
        <v>129</v>
      </c>
      <c r="N269">
        <v>137</v>
      </c>
      <c r="O269">
        <v>93</v>
      </c>
      <c r="P269">
        <v>177</v>
      </c>
      <c r="Q269">
        <v>35</v>
      </c>
      <c r="R269">
        <v>9</v>
      </c>
      <c r="S269">
        <v>2</v>
      </c>
      <c r="T269">
        <v>0</v>
      </c>
      <c r="U269" s="6">
        <f>Cleaned_MLB_Stats_Dataset__1[[#This Row],[Hits]]/Cleaned_MLB_Stats_Dataset__1[[#This Row],[At Bats]]</f>
        <v>0.32773109243697479</v>
      </c>
      <c r="V269" s="6">
        <f>Cleaned_MLB_Stats_Dataset__1[[#This Row],[Strikeouts]]/(Cleaned_MLB_Stats_Dataset__1[[#This Row],[At Bats]]+Cleaned_MLB_Stats_Dataset__1[[#This Row],[Walks]])</f>
        <v>0.14241960183767227</v>
      </c>
      <c r="W26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0.2809667673716012</v>
      </c>
      <c r="X26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0.51506024096385539</v>
      </c>
      <c r="Y26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0.86344537815126055</v>
      </c>
      <c r="Z269" s="6">
        <f>Cleaned_MLB_Stats_Dataset__1[[#This Row],[On Base Percentage]]+Cleaned_MLB_Stats_Dataset__1[[#This Row],[Slugging %]]</f>
        <v>1.3785056191151159</v>
      </c>
      <c r="AA269" s="6">
        <f>Cleaned_MLB_Stats_Dataset__1[[#This Row],[Slugging %]]-Cleaned_MLB_Stats_Dataset__1[[#This Row],[Batting Average]]</f>
        <v>0.53571428571428581</v>
      </c>
      <c r="AB269" s="6">
        <f>Cleaned_MLB_Stats_Dataset__1[[#This Row],[Batting Average]]-_xlfn.XLOOKUP(Cleaned_MLB_Stats_Dataset__1[[#This Row],[Year]],'League Averages'!$A$3:$A$23,'League Averages'!$B$3:$B$23)</f>
        <v>6.3731092436974779E-2</v>
      </c>
      <c r="AC269" s="6">
        <f>Cleaned_MLB_Stats_Dataset__1[[#This Row],[On Base Percentage]]-_xlfn.XLOOKUP(Cleaned_MLB_Stats_Dataset__1[[#This Row],[Year]],'League Averages'!$A$3:$A$23,'League Averages'!$C$3:$C$23)</f>
        <v>0.18306024096385537</v>
      </c>
      <c r="AD269" s="6">
        <f>Cleaned_MLB_Stats_Dataset__1[[#This Row],[Slugging %]]-_xlfn.XLOOKUP(Cleaned_MLB_Stats_Dataset__1[[#This Row],[Year]],'League Averages'!$A$3:$A$23,'League Averages'!$D$3:$D$23)</f>
        <v>0.43644537815126055</v>
      </c>
      <c r="AE269" s="6">
        <f>Cleaned_MLB_Stats_Dataset__1[[#This Row],[OPS (On Base + Slugging)]]-_xlfn.XLOOKUP(Cleaned_MLB_Stats_Dataset__1[[#This Row],[Year]],'League Averages'!$A$3:$A$23,'League Averages'!$E$3:$E$23)</f>
        <v>0.61950561911511592</v>
      </c>
      <c r="AF269" s="6">
        <f>Cleaned_MLB_Stats_Dataset__1[[#This Row],[ISO (Isolated Power]]-_xlfn.XLOOKUP(Cleaned_MLB_Stats_Dataset__1[[#This Row],[Year]],'League Averages'!$A$3:$A$23,'League Averages'!$F$3:$F$23)</f>
        <v>0.37271428571428578</v>
      </c>
    </row>
    <row r="270" spans="1:32" x14ac:dyDescent="0.2">
      <c r="A270" t="s">
        <v>309</v>
      </c>
      <c r="B270">
        <v>1997</v>
      </c>
      <c r="C270" t="s">
        <v>155</v>
      </c>
      <c r="D270" t="s">
        <v>6</v>
      </c>
      <c r="E270" t="s">
        <v>90</v>
      </c>
      <c r="F270" t="str">
        <f>_xlfn.XLOOKUP(Cleaned_MLB_Stats_Dataset__1[[#This Row],[Position'#]],$B$373:$B$382,$A$373:$A$382)</f>
        <v>C</v>
      </c>
      <c r="G270">
        <v>2</v>
      </c>
      <c r="H270">
        <v>597</v>
      </c>
      <c r="I270">
        <v>187</v>
      </c>
      <c r="J270">
        <v>34</v>
      </c>
      <c r="K270">
        <v>4</v>
      </c>
      <c r="L270">
        <v>20</v>
      </c>
      <c r="M270">
        <v>98</v>
      </c>
      <c r="N270">
        <v>77</v>
      </c>
      <c r="O270">
        <v>89</v>
      </c>
      <c r="P270">
        <v>38</v>
      </c>
      <c r="Q270">
        <v>7</v>
      </c>
      <c r="R270">
        <v>8</v>
      </c>
      <c r="S270">
        <v>4</v>
      </c>
      <c r="T270">
        <v>1</v>
      </c>
      <c r="U270" s="6">
        <f>Cleaned_MLB_Stats_Dataset__1[[#This Row],[Hits]]/Cleaned_MLB_Stats_Dataset__1[[#This Row],[At Bats]]</f>
        <v>0.31323283082077052</v>
      </c>
      <c r="V270" s="6">
        <f>Cleaned_MLB_Stats_Dataset__1[[#This Row],[Strikeouts]]/(Cleaned_MLB_Stats_Dataset__1[[#This Row],[At Bats]]+Cleaned_MLB_Stats_Dataset__1[[#This Row],[Walks]])</f>
        <v>0.14015748031496064</v>
      </c>
      <c r="W27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7.1539657853810265E-2</v>
      </c>
      <c r="X27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0.36012364760432769</v>
      </c>
      <c r="Y27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0.48408710217755446</v>
      </c>
      <c r="Z270" s="6">
        <f>Cleaned_MLB_Stats_Dataset__1[[#This Row],[On Base Percentage]]+Cleaned_MLB_Stats_Dataset__1[[#This Row],[Slugging %]]</f>
        <v>0.84421074978188215</v>
      </c>
      <c r="AA270" s="6">
        <f>Cleaned_MLB_Stats_Dataset__1[[#This Row],[Slugging %]]-Cleaned_MLB_Stats_Dataset__1[[#This Row],[Batting Average]]</f>
        <v>0.17085427135678394</v>
      </c>
      <c r="AB270" s="6">
        <f>Cleaned_MLB_Stats_Dataset__1[[#This Row],[Batting Average]]-_xlfn.XLOOKUP(Cleaned_MLB_Stats_Dataset__1[[#This Row],[Year]],'League Averages'!$A$3:$A$23,'League Averages'!$B$3:$B$23)</f>
        <v>4.623283082077051E-2</v>
      </c>
      <c r="AC270" s="6">
        <f>Cleaned_MLB_Stats_Dataset__1[[#This Row],[On Base Percentage]]-_xlfn.XLOOKUP(Cleaned_MLB_Stats_Dataset__1[[#This Row],[Year]],'League Averages'!$A$3:$A$23,'League Averages'!$C$3:$C$23)</f>
        <v>2.3123647604327668E-2</v>
      </c>
      <c r="AD270" s="6">
        <f>Cleaned_MLB_Stats_Dataset__1[[#This Row],[Slugging %]]-_xlfn.XLOOKUP(Cleaned_MLB_Stats_Dataset__1[[#This Row],[Year]],'League Averages'!$A$3:$A$23,'League Averages'!$D$3:$D$23)</f>
        <v>6.5087102177554479E-2</v>
      </c>
      <c r="AE270" s="6">
        <f>Cleaned_MLB_Stats_Dataset__1[[#This Row],[OPS (On Base + Slugging)]]-_xlfn.XLOOKUP(Cleaned_MLB_Stats_Dataset__1[[#This Row],[Year]],'League Averages'!$A$3:$A$23,'League Averages'!$E$3:$E$23)</f>
        <v>8.8210749781882147E-2</v>
      </c>
      <c r="AF270" s="6">
        <f>Cleaned_MLB_Stats_Dataset__1[[#This Row],[ISO (Isolated Power]]-_xlfn.XLOOKUP(Cleaned_MLB_Stats_Dataset__1[[#This Row],[Year]],'League Averages'!$A$3:$A$23,'League Averages'!$F$3:$F$23)</f>
        <v>1.8854271356783942E-2</v>
      </c>
    </row>
    <row r="271" spans="1:32" x14ac:dyDescent="0.2">
      <c r="A271" t="s">
        <v>309</v>
      </c>
      <c r="B271">
        <v>2002</v>
      </c>
      <c r="C271" t="s">
        <v>193</v>
      </c>
      <c r="D271" t="s">
        <v>3</v>
      </c>
      <c r="E271" t="s">
        <v>164</v>
      </c>
      <c r="F271" t="str">
        <f>_xlfn.XLOOKUP(Cleaned_MLB_Stats_Dataset__1[[#This Row],[Position'#]],$B$373:$B$382,$A$373:$A$382)</f>
        <v>1B</v>
      </c>
      <c r="G271">
        <v>3</v>
      </c>
      <c r="H271">
        <v>553</v>
      </c>
      <c r="I271">
        <v>182</v>
      </c>
      <c r="J271">
        <v>39</v>
      </c>
      <c r="K271">
        <v>4</v>
      </c>
      <c r="L271">
        <v>30</v>
      </c>
      <c r="M271">
        <v>107</v>
      </c>
      <c r="N271">
        <v>109</v>
      </c>
      <c r="O271">
        <v>91</v>
      </c>
      <c r="P271">
        <v>99</v>
      </c>
      <c r="Q271">
        <v>21</v>
      </c>
      <c r="R271">
        <v>5</v>
      </c>
      <c r="S271">
        <v>10</v>
      </c>
      <c r="T271">
        <v>0</v>
      </c>
      <c r="U271" s="6">
        <f>Cleaned_MLB_Stats_Dataset__1[[#This Row],[Hits]]/Cleaned_MLB_Stats_Dataset__1[[#This Row],[At Bats]]</f>
        <v>0.32911392405063289</v>
      </c>
      <c r="V271" s="6">
        <f>Cleaned_MLB_Stats_Dataset__1[[#This Row],[Strikeouts]]/(Cleaned_MLB_Stats_Dataset__1[[#This Row],[At Bats]]+Cleaned_MLB_Stats_Dataset__1[[#This Row],[Walks]])</f>
        <v>0.13957055214723926</v>
      </c>
      <c r="W27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0.15829528158295281</v>
      </c>
      <c r="X27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0.4287856071964018</v>
      </c>
      <c r="Y27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0.57685352622061481</v>
      </c>
      <c r="Z271" s="6">
        <f>Cleaned_MLB_Stats_Dataset__1[[#This Row],[On Base Percentage]]+Cleaned_MLB_Stats_Dataset__1[[#This Row],[Slugging %]]</f>
        <v>1.0056391334170165</v>
      </c>
      <c r="AA271" s="6">
        <f>Cleaned_MLB_Stats_Dataset__1[[#This Row],[Slugging %]]-Cleaned_MLB_Stats_Dataset__1[[#This Row],[Batting Average]]</f>
        <v>0.24773960216998192</v>
      </c>
      <c r="AB271" s="6">
        <f>Cleaned_MLB_Stats_Dataset__1[[#This Row],[Batting Average]]-_xlfn.XLOOKUP(Cleaned_MLB_Stats_Dataset__1[[#This Row],[Year]],'League Averages'!$A$3:$A$23,'League Averages'!$B$3:$B$23)</f>
        <v>6.8113924050632879E-2</v>
      </c>
      <c r="AC271" s="6">
        <f>Cleaned_MLB_Stats_Dataset__1[[#This Row],[On Base Percentage]]-_xlfn.XLOOKUP(Cleaned_MLB_Stats_Dataset__1[[#This Row],[Year]],'League Averages'!$A$3:$A$23,'League Averages'!$C$3:$C$23)</f>
        <v>9.778560719640178E-2</v>
      </c>
      <c r="AD271" s="6">
        <f>Cleaned_MLB_Stats_Dataset__1[[#This Row],[Slugging %]]-_xlfn.XLOOKUP(Cleaned_MLB_Stats_Dataset__1[[#This Row],[Year]],'League Averages'!$A$3:$A$23,'League Averages'!$D$3:$D$23)</f>
        <v>0.15985352622061483</v>
      </c>
      <c r="AE271" s="6">
        <f>Cleaned_MLB_Stats_Dataset__1[[#This Row],[OPS (On Base + Slugging)]]-_xlfn.XLOOKUP(Cleaned_MLB_Stats_Dataset__1[[#This Row],[Year]],'League Averages'!$A$3:$A$23,'League Averages'!$E$3:$E$23)</f>
        <v>0.2576391334170165</v>
      </c>
      <c r="AF271" s="6">
        <f>Cleaned_MLB_Stats_Dataset__1[[#This Row],[ISO (Isolated Power]]-_xlfn.XLOOKUP(Cleaned_MLB_Stats_Dataset__1[[#This Row],[Year]],'League Averages'!$A$3:$A$23,'League Averages'!$F$3:$F$23)</f>
        <v>9.1739602169981921E-2</v>
      </c>
    </row>
    <row r="272" spans="1:32" x14ac:dyDescent="0.2">
      <c r="A272" t="s">
        <v>309</v>
      </c>
      <c r="B272">
        <v>1993</v>
      </c>
      <c r="C272" t="s">
        <v>155</v>
      </c>
      <c r="D272" t="s">
        <v>6</v>
      </c>
      <c r="E272" t="s">
        <v>90</v>
      </c>
      <c r="F272" t="str">
        <f>_xlfn.XLOOKUP(Cleaned_MLB_Stats_Dataset__1[[#This Row],[Position'#]],$B$373:$B$382,$A$373:$A$382)</f>
        <v>C</v>
      </c>
      <c r="G272">
        <v>2</v>
      </c>
      <c r="H272">
        <v>473</v>
      </c>
      <c r="I272">
        <v>129</v>
      </c>
      <c r="J272">
        <v>28</v>
      </c>
      <c r="K272">
        <v>4</v>
      </c>
      <c r="L272">
        <v>10</v>
      </c>
      <c r="M272">
        <v>56</v>
      </c>
      <c r="N272">
        <v>66</v>
      </c>
      <c r="O272">
        <v>70</v>
      </c>
      <c r="P272">
        <v>29</v>
      </c>
      <c r="Q272">
        <v>3</v>
      </c>
      <c r="R272">
        <v>4</v>
      </c>
      <c r="S272">
        <v>8</v>
      </c>
      <c r="T272">
        <v>5</v>
      </c>
      <c r="U272" s="6">
        <f>Cleaned_MLB_Stats_Dataset__1[[#This Row],[Hits]]/Cleaned_MLB_Stats_Dataset__1[[#This Row],[At Bats]]</f>
        <v>0.27272727272727271</v>
      </c>
      <c r="V272" s="6">
        <f>Cleaned_MLB_Stats_Dataset__1[[#This Row],[Strikeouts]]/(Cleaned_MLB_Stats_Dataset__1[[#This Row],[At Bats]]+Cleaned_MLB_Stats_Dataset__1[[#This Row],[Walks]])</f>
        <v>0.1394422310756972</v>
      </c>
      <c r="W27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6.5217391304347824E-2</v>
      </c>
      <c r="X27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0.31517509727626458</v>
      </c>
      <c r="Y27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0.41226215644820297</v>
      </c>
      <c r="Z272" s="6">
        <f>Cleaned_MLB_Stats_Dataset__1[[#This Row],[On Base Percentage]]+Cleaned_MLB_Stats_Dataset__1[[#This Row],[Slugging %]]</f>
        <v>0.72743725372446755</v>
      </c>
      <c r="AA272" s="6">
        <f>Cleaned_MLB_Stats_Dataset__1[[#This Row],[Slugging %]]-Cleaned_MLB_Stats_Dataset__1[[#This Row],[Batting Average]]</f>
        <v>0.13953488372093026</v>
      </c>
      <c r="AB272" s="6">
        <f>Cleaned_MLB_Stats_Dataset__1[[#This Row],[Batting Average]]-_xlfn.XLOOKUP(Cleaned_MLB_Stats_Dataset__1[[#This Row],[Year]],'League Averages'!$A$3:$A$23,'League Averages'!$B$3:$B$23)</f>
        <v>7.7272727272726938E-3</v>
      </c>
      <c r="AC272" s="6">
        <f>Cleaned_MLB_Stats_Dataset__1[[#This Row],[On Base Percentage]]-_xlfn.XLOOKUP(Cleaned_MLB_Stats_Dataset__1[[#This Row],[Year]],'League Averages'!$A$3:$A$23,'League Averages'!$C$3:$C$23)</f>
        <v>-1.6824902723735435E-2</v>
      </c>
      <c r="AD272" s="6">
        <f>Cleaned_MLB_Stats_Dataset__1[[#This Row],[Slugging %]]-_xlfn.XLOOKUP(Cleaned_MLB_Stats_Dataset__1[[#This Row],[Year]],'League Averages'!$A$3:$A$23,'League Averages'!$D$3:$D$23)</f>
        <v>9.2621564482029406E-3</v>
      </c>
      <c r="AE272" s="6">
        <f>Cleaned_MLB_Stats_Dataset__1[[#This Row],[OPS (On Base + Slugging)]]-_xlfn.XLOOKUP(Cleaned_MLB_Stats_Dataset__1[[#This Row],[Year]],'League Averages'!$A$3:$A$23,'League Averages'!$E$3:$E$23)</f>
        <v>-8.5627462755324402E-3</v>
      </c>
      <c r="AF272" s="6">
        <f>Cleaned_MLB_Stats_Dataset__1[[#This Row],[ISO (Isolated Power]]-_xlfn.XLOOKUP(Cleaned_MLB_Stats_Dataset__1[[#This Row],[Year]],'League Averages'!$A$3:$A$23,'League Averages'!$F$3:$F$23)</f>
        <v>1.5348837209302468E-3</v>
      </c>
    </row>
    <row r="273" spans="1:32" x14ac:dyDescent="0.2">
      <c r="A273" t="s">
        <v>309</v>
      </c>
      <c r="B273">
        <v>1997</v>
      </c>
      <c r="C273" t="s">
        <v>144</v>
      </c>
      <c r="D273" t="s">
        <v>3</v>
      </c>
      <c r="E273" t="s">
        <v>164</v>
      </c>
      <c r="F273" t="str">
        <f>_xlfn.XLOOKUP(Cleaned_MLB_Stats_Dataset__1[[#This Row],[Position'#]],$B$373:$B$382,$A$373:$A$382)</f>
        <v>RF</v>
      </c>
      <c r="G273">
        <v>9</v>
      </c>
      <c r="H273">
        <v>568</v>
      </c>
      <c r="I273">
        <v>208</v>
      </c>
      <c r="J273">
        <v>46</v>
      </c>
      <c r="K273">
        <v>4</v>
      </c>
      <c r="L273">
        <v>49</v>
      </c>
      <c r="M273">
        <v>143</v>
      </c>
      <c r="N273">
        <v>130</v>
      </c>
      <c r="O273">
        <v>90</v>
      </c>
      <c r="P273">
        <v>78</v>
      </c>
      <c r="Q273">
        <v>14</v>
      </c>
      <c r="R273">
        <v>14</v>
      </c>
      <c r="S273">
        <v>4</v>
      </c>
      <c r="T273">
        <v>0</v>
      </c>
      <c r="U273" s="6">
        <f>Cleaned_MLB_Stats_Dataset__1[[#This Row],[Hits]]/Cleaned_MLB_Stats_Dataset__1[[#This Row],[At Bats]]</f>
        <v>0.36619718309859156</v>
      </c>
      <c r="V273" s="6">
        <f>Cleaned_MLB_Stats_Dataset__1[[#This Row],[Strikeouts]]/(Cleaned_MLB_Stats_Dataset__1[[#This Row],[At Bats]]+Cleaned_MLB_Stats_Dataset__1[[#This Row],[Walks]])</f>
        <v>0.13931888544891641</v>
      </c>
      <c r="W27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0.1393939393939394</v>
      </c>
      <c r="X27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0.45180722891566266</v>
      </c>
      <c r="Y27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0.72007042253521125</v>
      </c>
      <c r="Z273" s="6">
        <f>Cleaned_MLB_Stats_Dataset__1[[#This Row],[On Base Percentage]]+Cleaned_MLB_Stats_Dataset__1[[#This Row],[Slugging %]]</f>
        <v>1.171877651450874</v>
      </c>
      <c r="AA273" s="6">
        <f>Cleaned_MLB_Stats_Dataset__1[[#This Row],[Slugging %]]-Cleaned_MLB_Stats_Dataset__1[[#This Row],[Batting Average]]</f>
        <v>0.35387323943661969</v>
      </c>
      <c r="AB273" s="6">
        <f>Cleaned_MLB_Stats_Dataset__1[[#This Row],[Batting Average]]-_xlfn.XLOOKUP(Cleaned_MLB_Stats_Dataset__1[[#This Row],[Year]],'League Averages'!$A$3:$A$23,'League Averages'!$B$3:$B$23)</f>
        <v>9.9197183098591546E-2</v>
      </c>
      <c r="AC273" s="6">
        <f>Cleaned_MLB_Stats_Dataset__1[[#This Row],[On Base Percentage]]-_xlfn.XLOOKUP(Cleaned_MLB_Stats_Dataset__1[[#This Row],[Year]],'League Averages'!$A$3:$A$23,'League Averages'!$C$3:$C$23)</f>
        <v>0.11480722891566264</v>
      </c>
      <c r="AD273" s="6">
        <f>Cleaned_MLB_Stats_Dataset__1[[#This Row],[Slugging %]]-_xlfn.XLOOKUP(Cleaned_MLB_Stats_Dataset__1[[#This Row],[Year]],'League Averages'!$A$3:$A$23,'League Averages'!$D$3:$D$23)</f>
        <v>0.30107042253521127</v>
      </c>
      <c r="AE273" s="6">
        <f>Cleaned_MLB_Stats_Dataset__1[[#This Row],[OPS (On Base + Slugging)]]-_xlfn.XLOOKUP(Cleaned_MLB_Stats_Dataset__1[[#This Row],[Year]],'League Averages'!$A$3:$A$23,'League Averages'!$E$3:$E$23)</f>
        <v>0.41587765145087396</v>
      </c>
      <c r="AF273" s="6">
        <f>Cleaned_MLB_Stats_Dataset__1[[#This Row],[ISO (Isolated Power]]-_xlfn.XLOOKUP(Cleaned_MLB_Stats_Dataset__1[[#This Row],[Year]],'League Averages'!$A$3:$A$23,'League Averages'!$F$3:$F$23)</f>
        <v>0.20187323943661969</v>
      </c>
    </row>
    <row r="274" spans="1:32" x14ac:dyDescent="0.2">
      <c r="A274" t="s">
        <v>309</v>
      </c>
      <c r="B274">
        <v>1999</v>
      </c>
      <c r="C274" t="s">
        <v>126</v>
      </c>
      <c r="D274" t="s">
        <v>3</v>
      </c>
      <c r="E274" t="s">
        <v>202</v>
      </c>
      <c r="F274" t="str">
        <f>_xlfn.XLOOKUP(Cleaned_MLB_Stats_Dataset__1[[#This Row],[Position'#]],$B$373:$B$382,$A$373:$A$382)</f>
        <v>3B</v>
      </c>
      <c r="G274">
        <v>5</v>
      </c>
      <c r="H274">
        <v>627</v>
      </c>
      <c r="I274">
        <v>190</v>
      </c>
      <c r="J274">
        <v>37</v>
      </c>
      <c r="K274">
        <v>2</v>
      </c>
      <c r="L274">
        <v>35</v>
      </c>
      <c r="M274">
        <v>98</v>
      </c>
      <c r="N274">
        <v>142</v>
      </c>
      <c r="O274">
        <v>93</v>
      </c>
      <c r="P274">
        <v>41</v>
      </c>
      <c r="Q274">
        <v>9</v>
      </c>
      <c r="R274">
        <v>2</v>
      </c>
      <c r="S274">
        <v>8</v>
      </c>
      <c r="T274">
        <v>0</v>
      </c>
      <c r="U274" s="6">
        <f>Cleaned_MLB_Stats_Dataset__1[[#This Row],[Hits]]/Cleaned_MLB_Stats_Dataset__1[[#This Row],[At Bats]]</f>
        <v>0.30303030303030304</v>
      </c>
      <c r="V274" s="6">
        <f>Cleaned_MLB_Stats_Dataset__1[[#This Row],[Strikeouts]]/(Cleaned_MLB_Stats_Dataset__1[[#This Row],[At Bats]]+Cleaned_MLB_Stats_Dataset__1[[#This Row],[Walks]])</f>
        <v>0.13922155688622753</v>
      </c>
      <c r="W27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6.4179104477611937E-2</v>
      </c>
      <c r="X27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0.34365781710914456</v>
      </c>
      <c r="Y27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0.53588516746411485</v>
      </c>
      <c r="Z274" s="6">
        <f>Cleaned_MLB_Stats_Dataset__1[[#This Row],[On Base Percentage]]+Cleaned_MLB_Stats_Dataset__1[[#This Row],[Slugging %]]</f>
        <v>0.87954298457325941</v>
      </c>
      <c r="AA274" s="6">
        <f>Cleaned_MLB_Stats_Dataset__1[[#This Row],[Slugging %]]-Cleaned_MLB_Stats_Dataset__1[[#This Row],[Batting Average]]</f>
        <v>0.23285486443381181</v>
      </c>
      <c r="AB274" s="6">
        <f>Cleaned_MLB_Stats_Dataset__1[[#This Row],[Batting Average]]-_xlfn.XLOOKUP(Cleaned_MLB_Stats_Dataset__1[[#This Row],[Year]],'League Averages'!$A$3:$A$23,'League Averages'!$B$3:$B$23)</f>
        <v>3.203030303030302E-2</v>
      </c>
      <c r="AC274" s="6">
        <f>Cleaned_MLB_Stats_Dataset__1[[#This Row],[On Base Percentage]]-_xlfn.XLOOKUP(Cleaned_MLB_Stats_Dataset__1[[#This Row],[Year]],'League Averages'!$A$3:$A$23,'League Averages'!$C$3:$C$23)</f>
        <v>-1.3421828908554145E-3</v>
      </c>
      <c r="AD274" s="6">
        <f>Cleaned_MLB_Stats_Dataset__1[[#This Row],[Slugging %]]-_xlfn.XLOOKUP(Cleaned_MLB_Stats_Dataset__1[[#This Row],[Year]],'League Averages'!$A$3:$A$23,'League Averages'!$D$3:$D$23)</f>
        <v>0.10188516746411486</v>
      </c>
      <c r="AE274" s="6">
        <f>Cleaned_MLB_Stats_Dataset__1[[#This Row],[OPS (On Base + Slugging)]]-_xlfn.XLOOKUP(Cleaned_MLB_Stats_Dataset__1[[#This Row],[Year]],'League Averages'!$A$3:$A$23,'League Averages'!$E$3:$E$23)</f>
        <v>0.10154298457325939</v>
      </c>
      <c r="AF274" s="6">
        <f>Cleaned_MLB_Stats_Dataset__1[[#This Row],[ISO (Isolated Power]]-_xlfn.XLOOKUP(Cleaned_MLB_Stats_Dataset__1[[#This Row],[Year]],'League Averages'!$A$3:$A$23,'League Averages'!$F$3:$F$23)</f>
        <v>6.9854864433811809E-2</v>
      </c>
    </row>
    <row r="275" spans="1:32" x14ac:dyDescent="0.2">
      <c r="A275" t="s">
        <v>309</v>
      </c>
      <c r="B275">
        <v>1993</v>
      </c>
      <c r="C275" t="s">
        <v>104</v>
      </c>
      <c r="D275" t="s">
        <v>6</v>
      </c>
      <c r="E275" t="s">
        <v>81</v>
      </c>
      <c r="F275" t="str">
        <f>_xlfn.XLOOKUP(Cleaned_MLB_Stats_Dataset__1[[#This Row],[Position'#]],$B$373:$B$382,$A$373:$A$382)</f>
        <v>LF</v>
      </c>
      <c r="G275">
        <v>7</v>
      </c>
      <c r="H275">
        <v>622</v>
      </c>
      <c r="I275">
        <v>184</v>
      </c>
      <c r="J275">
        <v>39</v>
      </c>
      <c r="K275">
        <v>3</v>
      </c>
      <c r="L275">
        <v>22</v>
      </c>
      <c r="M275">
        <v>89</v>
      </c>
      <c r="N275">
        <v>89</v>
      </c>
      <c r="O275">
        <v>93</v>
      </c>
      <c r="P275">
        <v>47</v>
      </c>
      <c r="Q275">
        <v>7</v>
      </c>
      <c r="R275">
        <v>7</v>
      </c>
      <c r="S275">
        <v>5</v>
      </c>
      <c r="T275">
        <v>1</v>
      </c>
      <c r="U275" s="6">
        <f>Cleaned_MLB_Stats_Dataset__1[[#This Row],[Hits]]/Cleaned_MLB_Stats_Dataset__1[[#This Row],[At Bats]]</f>
        <v>0.29581993569131831</v>
      </c>
      <c r="V275" s="6">
        <f>Cleaned_MLB_Stats_Dataset__1[[#This Row],[Strikeouts]]/(Cleaned_MLB_Stats_Dataset__1[[#This Row],[At Bats]]+Cleaned_MLB_Stats_Dataset__1[[#This Row],[Walks]])</f>
        <v>0.13901345291479822</v>
      </c>
      <c r="W27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7.9881656804733733E-2</v>
      </c>
      <c r="X27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0.34948604992657856</v>
      </c>
      <c r="Y27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0.47427652733118969</v>
      </c>
      <c r="Z275" s="6">
        <f>Cleaned_MLB_Stats_Dataset__1[[#This Row],[On Base Percentage]]+Cleaned_MLB_Stats_Dataset__1[[#This Row],[Slugging %]]</f>
        <v>0.82376257725776825</v>
      </c>
      <c r="AA275" s="6">
        <f>Cleaned_MLB_Stats_Dataset__1[[#This Row],[Slugging %]]-Cleaned_MLB_Stats_Dataset__1[[#This Row],[Batting Average]]</f>
        <v>0.17845659163987138</v>
      </c>
      <c r="AB275" s="6">
        <f>Cleaned_MLB_Stats_Dataset__1[[#This Row],[Batting Average]]-_xlfn.XLOOKUP(Cleaned_MLB_Stats_Dataset__1[[#This Row],[Year]],'League Averages'!$A$3:$A$23,'League Averages'!$B$3:$B$23)</f>
        <v>3.0819935691318301E-2</v>
      </c>
      <c r="AC275" s="6">
        <f>Cleaned_MLB_Stats_Dataset__1[[#This Row],[On Base Percentage]]-_xlfn.XLOOKUP(Cleaned_MLB_Stats_Dataset__1[[#This Row],[Year]],'League Averages'!$A$3:$A$23,'League Averages'!$C$3:$C$23)</f>
        <v>1.748604992657854E-2</v>
      </c>
      <c r="AD275" s="6">
        <f>Cleaned_MLB_Stats_Dataset__1[[#This Row],[Slugging %]]-_xlfn.XLOOKUP(Cleaned_MLB_Stats_Dataset__1[[#This Row],[Year]],'League Averages'!$A$3:$A$23,'League Averages'!$D$3:$D$23)</f>
        <v>7.1276527331189665E-2</v>
      </c>
      <c r="AE275" s="6">
        <f>Cleaned_MLB_Stats_Dataset__1[[#This Row],[OPS (On Base + Slugging)]]-_xlfn.XLOOKUP(Cleaned_MLB_Stats_Dataset__1[[#This Row],[Year]],'League Averages'!$A$3:$A$23,'League Averages'!$E$3:$E$23)</f>
        <v>8.7762577257768259E-2</v>
      </c>
      <c r="AF275" s="6">
        <f>Cleaned_MLB_Stats_Dataset__1[[#This Row],[ISO (Isolated Power]]-_xlfn.XLOOKUP(Cleaned_MLB_Stats_Dataset__1[[#This Row],[Year]],'League Averages'!$A$3:$A$23,'League Averages'!$F$3:$F$23)</f>
        <v>4.0456591639871364E-2</v>
      </c>
    </row>
    <row r="276" spans="1:32" x14ac:dyDescent="0.2">
      <c r="A276" t="s">
        <v>309</v>
      </c>
      <c r="B276">
        <v>1995</v>
      </c>
      <c r="C276" t="s">
        <v>123</v>
      </c>
      <c r="D276" t="s">
        <v>6</v>
      </c>
      <c r="E276" t="s">
        <v>91</v>
      </c>
      <c r="F276" t="str">
        <f>_xlfn.XLOOKUP(Cleaned_MLB_Stats_Dataset__1[[#This Row],[Position'#]],$B$373:$B$382,$A$373:$A$382)</f>
        <v>DH</v>
      </c>
      <c r="G276">
        <v>10</v>
      </c>
      <c r="H276">
        <v>511</v>
      </c>
      <c r="I276">
        <v>182</v>
      </c>
      <c r="J276">
        <v>52</v>
      </c>
      <c r="K276">
        <v>0</v>
      </c>
      <c r="L276">
        <v>29</v>
      </c>
      <c r="M276">
        <v>121</v>
      </c>
      <c r="N276">
        <v>113</v>
      </c>
      <c r="O276">
        <v>87</v>
      </c>
      <c r="P276">
        <v>116</v>
      </c>
      <c r="Q276">
        <v>19</v>
      </c>
      <c r="R276">
        <v>8</v>
      </c>
      <c r="S276">
        <v>4</v>
      </c>
      <c r="T276">
        <v>0</v>
      </c>
      <c r="U276" s="6">
        <f>Cleaned_MLB_Stats_Dataset__1[[#This Row],[Hits]]/Cleaned_MLB_Stats_Dataset__1[[#This Row],[At Bats]]</f>
        <v>0.35616438356164382</v>
      </c>
      <c r="V276" s="6">
        <f>Cleaned_MLB_Stats_Dataset__1[[#This Row],[Strikeouts]]/(Cleaned_MLB_Stats_Dataset__1[[#This Row],[At Bats]]+Cleaned_MLB_Stats_Dataset__1[[#This Row],[Walks]])</f>
        <v>0.13875598086124402</v>
      </c>
      <c r="W27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0.1952755905511811</v>
      </c>
      <c r="X27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0.47887323943661969</v>
      </c>
      <c r="Y27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0.62818003913894327</v>
      </c>
      <c r="Z276" s="6">
        <f>Cleaned_MLB_Stats_Dataset__1[[#This Row],[On Base Percentage]]+Cleaned_MLB_Stats_Dataset__1[[#This Row],[Slugging %]]</f>
        <v>1.1070532785755629</v>
      </c>
      <c r="AA276" s="6">
        <f>Cleaned_MLB_Stats_Dataset__1[[#This Row],[Slugging %]]-Cleaned_MLB_Stats_Dataset__1[[#This Row],[Batting Average]]</f>
        <v>0.27201565557729945</v>
      </c>
      <c r="AB276" s="6">
        <f>Cleaned_MLB_Stats_Dataset__1[[#This Row],[Batting Average]]-_xlfn.XLOOKUP(Cleaned_MLB_Stats_Dataset__1[[#This Row],[Year]],'League Averages'!$A$3:$A$23,'League Averages'!$B$3:$B$23)</f>
        <v>8.9164383561643801E-2</v>
      </c>
      <c r="AC276" s="6">
        <f>Cleaned_MLB_Stats_Dataset__1[[#This Row],[On Base Percentage]]-_xlfn.XLOOKUP(Cleaned_MLB_Stats_Dataset__1[[#This Row],[Year]],'League Averages'!$A$3:$A$23,'League Averages'!$C$3:$C$23)</f>
        <v>0.14087323943661967</v>
      </c>
      <c r="AD276" s="6">
        <f>Cleaned_MLB_Stats_Dataset__1[[#This Row],[Slugging %]]-_xlfn.XLOOKUP(Cleaned_MLB_Stats_Dataset__1[[#This Row],[Year]],'League Averages'!$A$3:$A$23,'League Averages'!$D$3:$D$23)</f>
        <v>0.21118003913894329</v>
      </c>
      <c r="AE276" s="6">
        <f>Cleaned_MLB_Stats_Dataset__1[[#This Row],[OPS (On Base + Slugging)]]-_xlfn.XLOOKUP(Cleaned_MLB_Stats_Dataset__1[[#This Row],[Year]],'League Averages'!$A$3:$A$23,'League Averages'!$E$3:$E$23)</f>
        <v>0.3520532785755629</v>
      </c>
      <c r="AF276" s="6">
        <f>Cleaned_MLB_Stats_Dataset__1[[#This Row],[ISO (Isolated Power]]-_xlfn.XLOOKUP(Cleaned_MLB_Stats_Dataset__1[[#This Row],[Year]],'League Averages'!$A$3:$A$23,'League Averages'!$F$3:$F$23)</f>
        <v>0.12201565557729946</v>
      </c>
    </row>
    <row r="277" spans="1:32" x14ac:dyDescent="0.2">
      <c r="A277" t="s">
        <v>309</v>
      </c>
      <c r="B277">
        <v>2000</v>
      </c>
      <c r="C277" t="s">
        <v>158</v>
      </c>
      <c r="D277" t="s">
        <v>6</v>
      </c>
      <c r="E277" t="s">
        <v>71</v>
      </c>
      <c r="F277" t="str">
        <f>_xlfn.XLOOKUP(Cleaned_MLB_Stats_Dataset__1[[#This Row],[Position'#]],$B$373:$B$382,$A$373:$A$382)</f>
        <v>CF</v>
      </c>
      <c r="G277">
        <v>8</v>
      </c>
      <c r="H277">
        <v>537</v>
      </c>
      <c r="I277">
        <v>165</v>
      </c>
      <c r="J277">
        <v>37</v>
      </c>
      <c r="K277">
        <v>6</v>
      </c>
      <c r="L277">
        <v>30</v>
      </c>
      <c r="M277">
        <v>108</v>
      </c>
      <c r="N277">
        <v>121</v>
      </c>
      <c r="O277">
        <v>84</v>
      </c>
      <c r="P277">
        <v>71</v>
      </c>
      <c r="Q277">
        <v>11</v>
      </c>
      <c r="R277">
        <v>5</v>
      </c>
      <c r="S277">
        <v>3</v>
      </c>
      <c r="T277">
        <v>0</v>
      </c>
      <c r="U277" s="6">
        <f>Cleaned_MLB_Stats_Dataset__1[[#This Row],[Hits]]/Cleaned_MLB_Stats_Dataset__1[[#This Row],[At Bats]]</f>
        <v>0.30726256983240224</v>
      </c>
      <c r="V277" s="6">
        <f>Cleaned_MLB_Stats_Dataset__1[[#This Row],[Strikeouts]]/(Cleaned_MLB_Stats_Dataset__1[[#This Row],[At Bats]]+Cleaned_MLB_Stats_Dataset__1[[#This Row],[Walks]])</f>
        <v>0.13815789473684212</v>
      </c>
      <c r="W27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0.12398042414355628</v>
      </c>
      <c r="X27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0.39123376623376621</v>
      </c>
      <c r="Y27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0.56610800744878953</v>
      </c>
      <c r="Z277" s="6">
        <f>Cleaned_MLB_Stats_Dataset__1[[#This Row],[On Base Percentage]]+Cleaned_MLB_Stats_Dataset__1[[#This Row],[Slugging %]]</f>
        <v>0.9573417736825558</v>
      </c>
      <c r="AA277" s="6">
        <f>Cleaned_MLB_Stats_Dataset__1[[#This Row],[Slugging %]]-Cleaned_MLB_Stats_Dataset__1[[#This Row],[Batting Average]]</f>
        <v>0.25884543761638729</v>
      </c>
      <c r="AB277" s="6">
        <f>Cleaned_MLB_Stats_Dataset__1[[#This Row],[Batting Average]]-_xlfn.XLOOKUP(Cleaned_MLB_Stats_Dataset__1[[#This Row],[Year]],'League Averages'!$A$3:$A$23,'League Averages'!$B$3:$B$23)</f>
        <v>3.7262569832402226E-2</v>
      </c>
      <c r="AC277" s="6">
        <f>Cleaned_MLB_Stats_Dataset__1[[#This Row],[On Base Percentage]]-_xlfn.XLOOKUP(Cleaned_MLB_Stats_Dataset__1[[#This Row],[Year]],'League Averages'!$A$3:$A$23,'League Averages'!$C$3:$C$23)</f>
        <v>4.6233766233766238E-2</v>
      </c>
      <c r="AD277" s="6">
        <f>Cleaned_MLB_Stats_Dataset__1[[#This Row],[Slugging %]]-_xlfn.XLOOKUP(Cleaned_MLB_Stats_Dataset__1[[#This Row],[Year]],'League Averages'!$A$3:$A$23,'League Averages'!$D$3:$D$23)</f>
        <v>0.12910800744878953</v>
      </c>
      <c r="AE277" s="6">
        <f>Cleaned_MLB_Stats_Dataset__1[[#This Row],[OPS (On Base + Slugging)]]-_xlfn.XLOOKUP(Cleaned_MLB_Stats_Dataset__1[[#This Row],[Year]],'League Averages'!$A$3:$A$23,'League Averages'!$E$3:$E$23)</f>
        <v>0.17534177368255577</v>
      </c>
      <c r="AF277" s="6">
        <f>Cleaned_MLB_Stats_Dataset__1[[#This Row],[ISO (Isolated Power]]-_xlfn.XLOOKUP(Cleaned_MLB_Stats_Dataset__1[[#This Row],[Year]],'League Averages'!$A$3:$A$23,'League Averages'!$F$3:$F$23)</f>
        <v>9.1845437616387277E-2</v>
      </c>
    </row>
    <row r="278" spans="1:32" x14ac:dyDescent="0.2">
      <c r="A278" t="s">
        <v>309</v>
      </c>
      <c r="B278">
        <v>1994</v>
      </c>
      <c r="C278" t="s">
        <v>99</v>
      </c>
      <c r="D278" t="s">
        <v>6</v>
      </c>
      <c r="E278" t="s">
        <v>92</v>
      </c>
      <c r="F278" t="str">
        <f>_xlfn.XLOOKUP(Cleaned_MLB_Stats_Dataset__1[[#This Row],[Position'#]],$B$373:$B$382,$A$373:$A$382)</f>
        <v>LF</v>
      </c>
      <c r="G278">
        <v>7</v>
      </c>
      <c r="H278">
        <v>435</v>
      </c>
      <c r="I278">
        <v>118</v>
      </c>
      <c r="J278">
        <v>25</v>
      </c>
      <c r="K278">
        <v>2</v>
      </c>
      <c r="L278">
        <v>27</v>
      </c>
      <c r="M278">
        <v>70</v>
      </c>
      <c r="N278">
        <v>103</v>
      </c>
      <c r="O278">
        <v>64</v>
      </c>
      <c r="P278">
        <v>33</v>
      </c>
      <c r="Q278">
        <v>6</v>
      </c>
      <c r="R278">
        <v>2</v>
      </c>
      <c r="S278">
        <v>13</v>
      </c>
      <c r="T278">
        <v>0</v>
      </c>
      <c r="U278" s="6">
        <f>Cleaned_MLB_Stats_Dataset__1[[#This Row],[Hits]]/Cleaned_MLB_Stats_Dataset__1[[#This Row],[At Bats]]</f>
        <v>0.27126436781609198</v>
      </c>
      <c r="V278" s="6">
        <f>Cleaned_MLB_Stats_Dataset__1[[#This Row],[Strikeouts]]/(Cleaned_MLB_Stats_Dataset__1[[#This Row],[At Bats]]+Cleaned_MLB_Stats_Dataset__1[[#This Row],[Walks]])</f>
        <v>0.13675213675213677</v>
      </c>
      <c r="W27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7.4468085106382975E-2</v>
      </c>
      <c r="X27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0.31677018633540371</v>
      </c>
      <c r="Y27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0.52413793103448281</v>
      </c>
      <c r="Z278" s="6">
        <f>Cleaned_MLB_Stats_Dataset__1[[#This Row],[On Base Percentage]]+Cleaned_MLB_Stats_Dataset__1[[#This Row],[Slugging %]]</f>
        <v>0.84090811736988647</v>
      </c>
      <c r="AA278" s="6">
        <f>Cleaned_MLB_Stats_Dataset__1[[#This Row],[Slugging %]]-Cleaned_MLB_Stats_Dataset__1[[#This Row],[Batting Average]]</f>
        <v>0.25287356321839083</v>
      </c>
      <c r="AB278" s="6">
        <f>Cleaned_MLB_Stats_Dataset__1[[#This Row],[Batting Average]]-_xlfn.XLOOKUP(Cleaned_MLB_Stats_Dataset__1[[#This Row],[Year]],'League Averages'!$A$3:$A$23,'League Averages'!$B$3:$B$23)</f>
        <v>1.2643678160919603E-3</v>
      </c>
      <c r="AC278" s="6">
        <f>Cleaned_MLB_Stats_Dataset__1[[#This Row],[On Base Percentage]]-_xlfn.XLOOKUP(Cleaned_MLB_Stats_Dataset__1[[#This Row],[Year]],'League Averages'!$A$3:$A$23,'League Averages'!$C$3:$C$23)</f>
        <v>-2.222981366459631E-2</v>
      </c>
      <c r="AD278" s="6">
        <f>Cleaned_MLB_Stats_Dataset__1[[#This Row],[Slugging %]]-_xlfn.XLOOKUP(Cleaned_MLB_Stats_Dataset__1[[#This Row],[Year]],'League Averages'!$A$3:$A$23,'League Averages'!$D$3:$D$23)</f>
        <v>0.10013793103448282</v>
      </c>
      <c r="AE278" s="6">
        <f>Cleaned_MLB_Stats_Dataset__1[[#This Row],[OPS (On Base + Slugging)]]-_xlfn.XLOOKUP(Cleaned_MLB_Stats_Dataset__1[[#This Row],[Year]],'League Averages'!$A$3:$A$23,'League Averages'!$E$3:$E$23)</f>
        <v>7.7908117369886454E-2</v>
      </c>
      <c r="AF278" s="6">
        <f>Cleaned_MLB_Stats_Dataset__1[[#This Row],[ISO (Isolated Power]]-_xlfn.XLOOKUP(Cleaned_MLB_Stats_Dataset__1[[#This Row],[Year]],'League Averages'!$A$3:$A$23,'League Averages'!$F$3:$F$23)</f>
        <v>9.8873563218390831E-2</v>
      </c>
    </row>
    <row r="279" spans="1:32" x14ac:dyDescent="0.2">
      <c r="A279" t="s">
        <v>309</v>
      </c>
      <c r="B279">
        <v>1993</v>
      </c>
      <c r="C279" t="s">
        <v>140</v>
      </c>
      <c r="D279" t="s">
        <v>3</v>
      </c>
      <c r="E279" t="s">
        <v>85</v>
      </c>
      <c r="F279" t="str">
        <f>_xlfn.XLOOKUP(Cleaned_MLB_Stats_Dataset__1[[#This Row],[Position'#]],$B$373:$B$382,$A$373:$A$382)</f>
        <v>RF</v>
      </c>
      <c r="G279">
        <v>9</v>
      </c>
      <c r="H279">
        <v>585</v>
      </c>
      <c r="I279">
        <v>158</v>
      </c>
      <c r="J279">
        <v>15</v>
      </c>
      <c r="K279">
        <v>4</v>
      </c>
      <c r="L279">
        <v>40</v>
      </c>
      <c r="M279">
        <v>90</v>
      </c>
      <c r="N279">
        <v>120</v>
      </c>
      <c r="O279">
        <v>90</v>
      </c>
      <c r="P279">
        <v>78</v>
      </c>
      <c r="Q279">
        <v>12</v>
      </c>
      <c r="R279">
        <v>3</v>
      </c>
      <c r="S279">
        <v>4</v>
      </c>
      <c r="T279">
        <v>0</v>
      </c>
      <c r="U279" s="6">
        <f>Cleaned_MLB_Stats_Dataset__1[[#This Row],[Hits]]/Cleaned_MLB_Stats_Dataset__1[[#This Row],[At Bats]]</f>
        <v>0.27008547008547007</v>
      </c>
      <c r="V279" s="6">
        <f>Cleaned_MLB_Stats_Dataset__1[[#This Row],[Strikeouts]]/(Cleaned_MLB_Stats_Dataset__1[[#This Row],[At Bats]]+Cleaned_MLB_Stats_Dataset__1[[#This Row],[Walks]])</f>
        <v>0.13574660633484162</v>
      </c>
      <c r="W27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0.12162162162162163</v>
      </c>
      <c r="X27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0.35671641791044778</v>
      </c>
      <c r="Y27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0.51452991452991448</v>
      </c>
      <c r="Z279" s="6">
        <f>Cleaned_MLB_Stats_Dataset__1[[#This Row],[On Base Percentage]]+Cleaned_MLB_Stats_Dataset__1[[#This Row],[Slugging %]]</f>
        <v>0.87124633244036231</v>
      </c>
      <c r="AA279" s="6">
        <f>Cleaned_MLB_Stats_Dataset__1[[#This Row],[Slugging %]]-Cleaned_MLB_Stats_Dataset__1[[#This Row],[Batting Average]]</f>
        <v>0.24444444444444441</v>
      </c>
      <c r="AB279" s="6">
        <f>Cleaned_MLB_Stats_Dataset__1[[#This Row],[Batting Average]]-_xlfn.XLOOKUP(Cleaned_MLB_Stats_Dataset__1[[#This Row],[Year]],'League Averages'!$A$3:$A$23,'League Averages'!$B$3:$B$23)</f>
        <v>5.0854700854700563E-3</v>
      </c>
      <c r="AC279" s="6">
        <f>Cleaned_MLB_Stats_Dataset__1[[#This Row],[On Base Percentage]]-_xlfn.XLOOKUP(Cleaned_MLB_Stats_Dataset__1[[#This Row],[Year]],'League Averages'!$A$3:$A$23,'League Averages'!$C$3:$C$23)</f>
        <v>2.4716417910447763E-2</v>
      </c>
      <c r="AD279" s="6">
        <f>Cleaned_MLB_Stats_Dataset__1[[#This Row],[Slugging %]]-_xlfn.XLOOKUP(Cleaned_MLB_Stats_Dataset__1[[#This Row],[Year]],'League Averages'!$A$3:$A$23,'League Averages'!$D$3:$D$23)</f>
        <v>0.11152991452991445</v>
      </c>
      <c r="AE279" s="6">
        <f>Cleaned_MLB_Stats_Dataset__1[[#This Row],[OPS (On Base + Slugging)]]-_xlfn.XLOOKUP(Cleaned_MLB_Stats_Dataset__1[[#This Row],[Year]],'League Averages'!$A$3:$A$23,'League Averages'!$E$3:$E$23)</f>
        <v>0.13524633244036233</v>
      </c>
      <c r="AF279" s="6">
        <f>Cleaned_MLB_Stats_Dataset__1[[#This Row],[ISO (Isolated Power]]-_xlfn.XLOOKUP(Cleaned_MLB_Stats_Dataset__1[[#This Row],[Year]],'League Averages'!$A$3:$A$23,'League Averages'!$F$3:$F$23)</f>
        <v>0.1064444444444444</v>
      </c>
    </row>
    <row r="280" spans="1:32" x14ac:dyDescent="0.2">
      <c r="A280" t="s">
        <v>309</v>
      </c>
      <c r="B280">
        <v>1998</v>
      </c>
      <c r="C280" t="s">
        <v>110</v>
      </c>
      <c r="D280" t="s">
        <v>3</v>
      </c>
      <c r="E280" t="s">
        <v>79</v>
      </c>
      <c r="F280" t="str">
        <f>_xlfn.XLOOKUP(Cleaned_MLB_Stats_Dataset__1[[#This Row],[Position'#]],$B$373:$B$382,$A$373:$A$382)</f>
        <v>LF</v>
      </c>
      <c r="G280">
        <v>7</v>
      </c>
      <c r="H280">
        <v>552</v>
      </c>
      <c r="I280">
        <v>167</v>
      </c>
      <c r="J280">
        <v>44</v>
      </c>
      <c r="K280">
        <v>7</v>
      </c>
      <c r="L280">
        <v>37</v>
      </c>
      <c r="M280">
        <v>120</v>
      </c>
      <c r="N280">
        <v>122</v>
      </c>
      <c r="O280">
        <v>92</v>
      </c>
      <c r="P280">
        <v>130</v>
      </c>
      <c r="Q280">
        <v>29</v>
      </c>
      <c r="R280">
        <v>8</v>
      </c>
      <c r="S280">
        <v>6</v>
      </c>
      <c r="T280">
        <v>1</v>
      </c>
      <c r="U280" s="6">
        <f>Cleaned_MLB_Stats_Dataset__1[[#This Row],[Hits]]/Cleaned_MLB_Stats_Dataset__1[[#This Row],[At Bats]]</f>
        <v>0.30253623188405798</v>
      </c>
      <c r="V280" s="6">
        <f>Cleaned_MLB_Stats_Dataset__1[[#This Row],[Strikeouts]]/(Cleaned_MLB_Stats_Dataset__1[[#This Row],[At Bats]]+Cleaned_MLB_Stats_Dataset__1[[#This Row],[Walks]])</f>
        <v>0.13489736070381231</v>
      </c>
      <c r="W28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</v>
      </c>
      <c r="X28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0.43821839080459768</v>
      </c>
      <c r="Y28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0.60869565217391308</v>
      </c>
      <c r="Z280" s="6">
        <f>Cleaned_MLB_Stats_Dataset__1[[#This Row],[On Base Percentage]]+Cleaned_MLB_Stats_Dataset__1[[#This Row],[Slugging %]]</f>
        <v>1.0469140429785107</v>
      </c>
      <c r="AA280" s="6">
        <f>Cleaned_MLB_Stats_Dataset__1[[#This Row],[Slugging %]]-Cleaned_MLB_Stats_Dataset__1[[#This Row],[Batting Average]]</f>
        <v>0.3061594202898551</v>
      </c>
      <c r="AB280" s="6">
        <f>Cleaned_MLB_Stats_Dataset__1[[#This Row],[Batting Average]]-_xlfn.XLOOKUP(Cleaned_MLB_Stats_Dataset__1[[#This Row],[Year]],'League Averages'!$A$3:$A$23,'League Averages'!$B$3:$B$23)</f>
        <v>3.6536231884057968E-2</v>
      </c>
      <c r="AC280" s="6">
        <f>Cleaned_MLB_Stats_Dataset__1[[#This Row],[On Base Percentage]]-_xlfn.XLOOKUP(Cleaned_MLB_Stats_Dataset__1[[#This Row],[Year]],'League Averages'!$A$3:$A$23,'League Averages'!$C$3:$C$23)</f>
        <v>0.10321839080459766</v>
      </c>
      <c r="AD280" s="6">
        <f>Cleaned_MLB_Stats_Dataset__1[[#This Row],[Slugging %]]-_xlfn.XLOOKUP(Cleaned_MLB_Stats_Dataset__1[[#This Row],[Year]],'League Averages'!$A$3:$A$23,'League Averages'!$D$3:$D$23)</f>
        <v>0.1886956521739131</v>
      </c>
      <c r="AE280" s="6">
        <f>Cleaned_MLB_Stats_Dataset__1[[#This Row],[OPS (On Base + Slugging)]]-_xlfn.XLOOKUP(Cleaned_MLB_Stats_Dataset__1[[#This Row],[Year]],'League Averages'!$A$3:$A$23,'League Averages'!$E$3:$E$23)</f>
        <v>0.29191404297851065</v>
      </c>
      <c r="AF280" s="6">
        <f>Cleaned_MLB_Stats_Dataset__1[[#This Row],[ISO (Isolated Power]]-_xlfn.XLOOKUP(Cleaned_MLB_Stats_Dataset__1[[#This Row],[Year]],'League Averages'!$A$3:$A$23,'League Averages'!$F$3:$F$23)</f>
        <v>0.1521594202898551</v>
      </c>
    </row>
    <row r="281" spans="1:32" x14ac:dyDescent="0.2">
      <c r="A281" t="s">
        <v>309</v>
      </c>
      <c r="B281">
        <v>1993</v>
      </c>
      <c r="C281" t="s">
        <v>111</v>
      </c>
      <c r="D281" t="s">
        <v>3</v>
      </c>
      <c r="E281" t="s">
        <v>29</v>
      </c>
      <c r="F281" t="str">
        <f>_xlfn.XLOOKUP(Cleaned_MLB_Stats_Dataset__1[[#This Row],[Position'#]],$B$373:$B$382,$A$373:$A$382)</f>
        <v>1B</v>
      </c>
      <c r="G281">
        <v>3</v>
      </c>
      <c r="H281">
        <v>535</v>
      </c>
      <c r="I281">
        <v>169</v>
      </c>
      <c r="J281">
        <v>33</v>
      </c>
      <c r="K281">
        <v>5</v>
      </c>
      <c r="L281">
        <v>14</v>
      </c>
      <c r="M281">
        <v>100</v>
      </c>
      <c r="N281">
        <v>85</v>
      </c>
      <c r="O281">
        <v>87</v>
      </c>
      <c r="P281">
        <v>111</v>
      </c>
      <c r="Q281">
        <v>10</v>
      </c>
      <c r="R281">
        <v>0</v>
      </c>
      <c r="S281">
        <v>5</v>
      </c>
      <c r="T281">
        <v>0</v>
      </c>
      <c r="U281" s="6">
        <f>Cleaned_MLB_Stats_Dataset__1[[#This Row],[Hits]]/Cleaned_MLB_Stats_Dataset__1[[#This Row],[At Bats]]</f>
        <v>0.31588785046728973</v>
      </c>
      <c r="V281" s="6">
        <f>Cleaned_MLB_Stats_Dataset__1[[#This Row],[Strikeouts]]/(Cleaned_MLB_Stats_Dataset__1[[#This Row],[At Bats]]+Cleaned_MLB_Stats_Dataset__1[[#This Row],[Walks]])</f>
        <v>0.1346749226006192</v>
      </c>
      <c r="W28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0.17182662538699692</v>
      </c>
      <c r="X28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0.43010752688172044</v>
      </c>
      <c r="Y28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0.47476635514018689</v>
      </c>
      <c r="Z281" s="6">
        <f>Cleaned_MLB_Stats_Dataset__1[[#This Row],[On Base Percentage]]+Cleaned_MLB_Stats_Dataset__1[[#This Row],[Slugging %]]</f>
        <v>0.90487388202190733</v>
      </c>
      <c r="AA281" s="6">
        <f>Cleaned_MLB_Stats_Dataset__1[[#This Row],[Slugging %]]-Cleaned_MLB_Stats_Dataset__1[[#This Row],[Batting Average]]</f>
        <v>0.15887850467289716</v>
      </c>
      <c r="AB281" s="6">
        <f>Cleaned_MLB_Stats_Dataset__1[[#This Row],[Batting Average]]-_xlfn.XLOOKUP(Cleaned_MLB_Stats_Dataset__1[[#This Row],[Year]],'League Averages'!$A$3:$A$23,'League Averages'!$B$3:$B$23)</f>
        <v>5.0887850467289719E-2</v>
      </c>
      <c r="AC281" s="6">
        <f>Cleaned_MLB_Stats_Dataset__1[[#This Row],[On Base Percentage]]-_xlfn.XLOOKUP(Cleaned_MLB_Stats_Dataset__1[[#This Row],[Year]],'League Averages'!$A$3:$A$23,'League Averages'!$C$3:$C$23)</f>
        <v>9.8107526881720419E-2</v>
      </c>
      <c r="AD281" s="6">
        <f>Cleaned_MLB_Stats_Dataset__1[[#This Row],[Slugging %]]-_xlfn.XLOOKUP(Cleaned_MLB_Stats_Dataset__1[[#This Row],[Year]],'League Averages'!$A$3:$A$23,'League Averages'!$D$3:$D$23)</f>
        <v>7.1766355140186866E-2</v>
      </c>
      <c r="AE281" s="6">
        <f>Cleaned_MLB_Stats_Dataset__1[[#This Row],[OPS (On Base + Slugging)]]-_xlfn.XLOOKUP(Cleaned_MLB_Stats_Dataset__1[[#This Row],[Year]],'League Averages'!$A$3:$A$23,'League Averages'!$E$3:$E$23)</f>
        <v>0.16887388202190734</v>
      </c>
      <c r="AF281" s="6">
        <f>Cleaned_MLB_Stats_Dataset__1[[#This Row],[ISO (Isolated Power]]-_xlfn.XLOOKUP(Cleaned_MLB_Stats_Dataset__1[[#This Row],[Year]],'League Averages'!$A$3:$A$23,'League Averages'!$F$3:$F$23)</f>
        <v>2.0878504672897147E-2</v>
      </c>
    </row>
    <row r="282" spans="1:32" x14ac:dyDescent="0.2">
      <c r="A282" t="s">
        <v>309</v>
      </c>
      <c r="B282">
        <v>1995</v>
      </c>
      <c r="C282" t="s">
        <v>130</v>
      </c>
      <c r="D282" t="s">
        <v>3</v>
      </c>
      <c r="E282" t="s">
        <v>82</v>
      </c>
      <c r="F282" t="str">
        <f>_xlfn.XLOOKUP(Cleaned_MLB_Stats_Dataset__1[[#This Row],[Position'#]],$B$373:$B$382,$A$373:$A$382)</f>
        <v>2B</v>
      </c>
      <c r="G282">
        <v>4</v>
      </c>
      <c r="H282">
        <v>553</v>
      </c>
      <c r="I282">
        <v>167</v>
      </c>
      <c r="J282">
        <v>30</v>
      </c>
      <c r="K282">
        <v>2</v>
      </c>
      <c r="L282">
        <v>22</v>
      </c>
      <c r="M282">
        <v>123</v>
      </c>
      <c r="N282">
        <v>77</v>
      </c>
      <c r="O282">
        <v>85</v>
      </c>
      <c r="P282">
        <v>80</v>
      </c>
      <c r="Q282">
        <v>1</v>
      </c>
      <c r="R282">
        <v>22</v>
      </c>
      <c r="S282">
        <v>7</v>
      </c>
      <c r="T282">
        <v>11</v>
      </c>
      <c r="U282" s="6">
        <f>Cleaned_MLB_Stats_Dataset__1[[#This Row],[Hits]]/Cleaned_MLB_Stats_Dataset__1[[#This Row],[At Bats]]</f>
        <v>0.30198915009041594</v>
      </c>
      <c r="V282" s="6">
        <f>Cleaned_MLB_Stats_Dataset__1[[#This Row],[Strikeouts]]/(Cleaned_MLB_Stats_Dataset__1[[#This Row],[At Bats]]+Cleaned_MLB_Stats_Dataset__1[[#This Row],[Walks]])</f>
        <v>0.13428120063191154</v>
      </c>
      <c r="W28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0.15572519083969466</v>
      </c>
      <c r="X28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0.40634441087613293</v>
      </c>
      <c r="Y28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0.48282097649186256</v>
      </c>
      <c r="Z282" s="6">
        <f>Cleaned_MLB_Stats_Dataset__1[[#This Row],[On Base Percentage]]+Cleaned_MLB_Stats_Dataset__1[[#This Row],[Slugging %]]</f>
        <v>0.88916538736799544</v>
      </c>
      <c r="AA282" s="6">
        <f>Cleaned_MLB_Stats_Dataset__1[[#This Row],[Slugging %]]-Cleaned_MLB_Stats_Dataset__1[[#This Row],[Batting Average]]</f>
        <v>0.18083182640144663</v>
      </c>
      <c r="AB282" s="6">
        <f>Cleaned_MLB_Stats_Dataset__1[[#This Row],[Batting Average]]-_xlfn.XLOOKUP(Cleaned_MLB_Stats_Dataset__1[[#This Row],[Year]],'League Averages'!$A$3:$A$23,'League Averages'!$B$3:$B$23)</f>
        <v>3.4989150090415921E-2</v>
      </c>
      <c r="AC282" s="6">
        <f>Cleaned_MLB_Stats_Dataset__1[[#This Row],[On Base Percentage]]-_xlfn.XLOOKUP(Cleaned_MLB_Stats_Dataset__1[[#This Row],[Year]],'League Averages'!$A$3:$A$23,'League Averages'!$C$3:$C$23)</f>
        <v>6.8344410876132911E-2</v>
      </c>
      <c r="AD282" s="6">
        <f>Cleaned_MLB_Stats_Dataset__1[[#This Row],[Slugging %]]-_xlfn.XLOOKUP(Cleaned_MLB_Stats_Dataset__1[[#This Row],[Year]],'League Averages'!$A$3:$A$23,'League Averages'!$D$3:$D$23)</f>
        <v>6.5820976491862582E-2</v>
      </c>
      <c r="AE282" s="6">
        <f>Cleaned_MLB_Stats_Dataset__1[[#This Row],[OPS (On Base + Slugging)]]-_xlfn.XLOOKUP(Cleaned_MLB_Stats_Dataset__1[[#This Row],[Year]],'League Averages'!$A$3:$A$23,'League Averages'!$E$3:$E$23)</f>
        <v>0.13416538736799544</v>
      </c>
      <c r="AF282" s="6">
        <f>Cleaned_MLB_Stats_Dataset__1[[#This Row],[ISO (Isolated Power]]-_xlfn.XLOOKUP(Cleaned_MLB_Stats_Dataset__1[[#This Row],[Year]],'League Averages'!$A$3:$A$23,'League Averages'!$F$3:$F$23)</f>
        <v>3.0831826401446633E-2</v>
      </c>
    </row>
    <row r="283" spans="1:32" x14ac:dyDescent="0.2">
      <c r="A283" t="s">
        <v>309</v>
      </c>
      <c r="B283">
        <v>1993</v>
      </c>
      <c r="C283" t="s">
        <v>138</v>
      </c>
      <c r="D283" t="s">
        <v>6</v>
      </c>
      <c r="E283" t="s">
        <v>91</v>
      </c>
      <c r="F283" t="str">
        <f>_xlfn.XLOOKUP(Cleaned_MLB_Stats_Dataset__1[[#This Row],[Position'#]],$B$373:$B$382,$A$373:$A$382)</f>
        <v>CF</v>
      </c>
      <c r="G283">
        <v>8</v>
      </c>
      <c r="H283">
        <v>582</v>
      </c>
      <c r="I283">
        <v>180</v>
      </c>
      <c r="J283">
        <v>38</v>
      </c>
      <c r="K283">
        <v>3</v>
      </c>
      <c r="L283">
        <v>45</v>
      </c>
      <c r="M283">
        <v>113</v>
      </c>
      <c r="N283">
        <v>109</v>
      </c>
      <c r="O283">
        <v>91</v>
      </c>
      <c r="P283">
        <v>96</v>
      </c>
      <c r="Q283">
        <v>25</v>
      </c>
      <c r="R283">
        <v>6</v>
      </c>
      <c r="S283">
        <v>7</v>
      </c>
      <c r="T283">
        <v>0</v>
      </c>
      <c r="U283" s="6">
        <f>Cleaned_MLB_Stats_Dataset__1[[#This Row],[Hits]]/Cleaned_MLB_Stats_Dataset__1[[#This Row],[At Bats]]</f>
        <v>0.30927835051546393</v>
      </c>
      <c r="V283" s="6">
        <f>Cleaned_MLB_Stats_Dataset__1[[#This Row],[Strikeouts]]/(Cleaned_MLB_Stats_Dataset__1[[#This Row],[At Bats]]+Cleaned_MLB_Stats_Dataset__1[[#This Row],[Walks]])</f>
        <v>0.13421828908554573</v>
      </c>
      <c r="W28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0.14912280701754385</v>
      </c>
      <c r="X28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0.40810419681620841</v>
      </c>
      <c r="Y28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0.61683848797250862</v>
      </c>
      <c r="Z283" s="6">
        <f>Cleaned_MLB_Stats_Dataset__1[[#This Row],[On Base Percentage]]+Cleaned_MLB_Stats_Dataset__1[[#This Row],[Slugging %]]</f>
        <v>1.0249426847887171</v>
      </c>
      <c r="AA283" s="6">
        <f>Cleaned_MLB_Stats_Dataset__1[[#This Row],[Slugging %]]-Cleaned_MLB_Stats_Dataset__1[[#This Row],[Batting Average]]</f>
        <v>0.30756013745704469</v>
      </c>
      <c r="AB283" s="6">
        <f>Cleaned_MLB_Stats_Dataset__1[[#This Row],[Batting Average]]-_xlfn.XLOOKUP(Cleaned_MLB_Stats_Dataset__1[[#This Row],[Year]],'League Averages'!$A$3:$A$23,'League Averages'!$B$3:$B$23)</f>
        <v>4.4278350515463916E-2</v>
      </c>
      <c r="AC283" s="6">
        <f>Cleaned_MLB_Stats_Dataset__1[[#This Row],[On Base Percentage]]-_xlfn.XLOOKUP(Cleaned_MLB_Stats_Dataset__1[[#This Row],[Year]],'League Averages'!$A$3:$A$23,'League Averages'!$C$3:$C$23)</f>
        <v>7.6104196816208391E-2</v>
      </c>
      <c r="AD283" s="6">
        <f>Cleaned_MLB_Stats_Dataset__1[[#This Row],[Slugging %]]-_xlfn.XLOOKUP(Cleaned_MLB_Stats_Dataset__1[[#This Row],[Year]],'League Averages'!$A$3:$A$23,'League Averages'!$D$3:$D$23)</f>
        <v>0.2138384879725086</v>
      </c>
      <c r="AE283" s="6">
        <f>Cleaned_MLB_Stats_Dataset__1[[#This Row],[OPS (On Base + Slugging)]]-_xlfn.XLOOKUP(Cleaned_MLB_Stats_Dataset__1[[#This Row],[Year]],'League Averages'!$A$3:$A$23,'League Averages'!$E$3:$E$23)</f>
        <v>0.2889426847887171</v>
      </c>
      <c r="AF283" s="6">
        <f>Cleaned_MLB_Stats_Dataset__1[[#This Row],[ISO (Isolated Power]]-_xlfn.XLOOKUP(Cleaned_MLB_Stats_Dataset__1[[#This Row],[Year]],'League Averages'!$A$3:$A$23,'League Averages'!$F$3:$F$23)</f>
        <v>0.16956013745704468</v>
      </c>
    </row>
    <row r="284" spans="1:32" x14ac:dyDescent="0.2">
      <c r="A284" t="s">
        <v>309</v>
      </c>
      <c r="B284">
        <v>1998</v>
      </c>
      <c r="C284" t="s">
        <v>170</v>
      </c>
      <c r="D284" t="s">
        <v>3</v>
      </c>
      <c r="E284" t="s">
        <v>85</v>
      </c>
      <c r="F284" t="str">
        <f>_xlfn.XLOOKUP(Cleaned_MLB_Stats_Dataset__1[[#This Row],[Position'#]],$B$373:$B$382,$A$373:$A$382)</f>
        <v>3B</v>
      </c>
      <c r="G284">
        <v>5</v>
      </c>
      <c r="H284">
        <v>601</v>
      </c>
      <c r="I284">
        <v>188</v>
      </c>
      <c r="J284">
        <v>29</v>
      </c>
      <c r="K284">
        <v>5</v>
      </c>
      <c r="L284">
        <v>34</v>
      </c>
      <c r="M284">
        <v>123</v>
      </c>
      <c r="N284">
        <v>107</v>
      </c>
      <c r="O284">
        <v>93</v>
      </c>
      <c r="P284">
        <v>96</v>
      </c>
      <c r="Q284">
        <v>1</v>
      </c>
      <c r="R284">
        <v>1</v>
      </c>
      <c r="S284">
        <v>8</v>
      </c>
      <c r="T284">
        <v>1</v>
      </c>
      <c r="U284" s="6">
        <f>Cleaned_MLB_Stats_Dataset__1[[#This Row],[Hits]]/Cleaned_MLB_Stats_Dataset__1[[#This Row],[At Bats]]</f>
        <v>0.31281198003327787</v>
      </c>
      <c r="V284" s="6">
        <f>Cleaned_MLB_Stats_Dataset__1[[#This Row],[Strikeouts]]/(Cleaned_MLB_Stats_Dataset__1[[#This Row],[At Bats]]+Cleaned_MLB_Stats_Dataset__1[[#This Row],[Walks]])</f>
        <v>0.13342898134863701</v>
      </c>
      <c r="W28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0.13896848137535817</v>
      </c>
      <c r="X28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0.40368271954674223</v>
      </c>
      <c r="Y28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0.54742096505823623</v>
      </c>
      <c r="Z284" s="6">
        <f>Cleaned_MLB_Stats_Dataset__1[[#This Row],[On Base Percentage]]+Cleaned_MLB_Stats_Dataset__1[[#This Row],[Slugging %]]</f>
        <v>0.95110368460497852</v>
      </c>
      <c r="AA284" s="6">
        <f>Cleaned_MLB_Stats_Dataset__1[[#This Row],[Slugging %]]-Cleaned_MLB_Stats_Dataset__1[[#This Row],[Batting Average]]</f>
        <v>0.23460898502495836</v>
      </c>
      <c r="AB284" s="6">
        <f>Cleaned_MLB_Stats_Dataset__1[[#This Row],[Batting Average]]-_xlfn.XLOOKUP(Cleaned_MLB_Stats_Dataset__1[[#This Row],[Year]],'League Averages'!$A$3:$A$23,'League Averages'!$B$3:$B$23)</f>
        <v>4.6811980033277856E-2</v>
      </c>
      <c r="AC284" s="6">
        <f>Cleaned_MLB_Stats_Dataset__1[[#This Row],[On Base Percentage]]-_xlfn.XLOOKUP(Cleaned_MLB_Stats_Dataset__1[[#This Row],[Year]],'League Averages'!$A$3:$A$23,'League Averages'!$C$3:$C$23)</f>
        <v>6.868271954674221E-2</v>
      </c>
      <c r="AD284" s="6">
        <f>Cleaned_MLB_Stats_Dataset__1[[#This Row],[Slugging %]]-_xlfn.XLOOKUP(Cleaned_MLB_Stats_Dataset__1[[#This Row],[Year]],'League Averages'!$A$3:$A$23,'League Averages'!$D$3:$D$23)</f>
        <v>0.12742096505823625</v>
      </c>
      <c r="AE284" s="6">
        <f>Cleaned_MLB_Stats_Dataset__1[[#This Row],[OPS (On Base + Slugging)]]-_xlfn.XLOOKUP(Cleaned_MLB_Stats_Dataset__1[[#This Row],[Year]],'League Averages'!$A$3:$A$23,'League Averages'!$E$3:$E$23)</f>
        <v>0.19610368460497851</v>
      </c>
      <c r="AF284" s="6">
        <f>Cleaned_MLB_Stats_Dataset__1[[#This Row],[ISO (Isolated Power]]-_xlfn.XLOOKUP(Cleaned_MLB_Stats_Dataset__1[[#This Row],[Year]],'League Averages'!$A$3:$A$23,'League Averages'!$F$3:$F$23)</f>
        <v>8.0608985024958363E-2</v>
      </c>
    </row>
    <row r="285" spans="1:32" x14ac:dyDescent="0.2">
      <c r="A285" t="s">
        <v>309</v>
      </c>
      <c r="B285">
        <v>1995</v>
      </c>
      <c r="C285" t="s">
        <v>110</v>
      </c>
      <c r="D285" t="s">
        <v>3</v>
      </c>
      <c r="E285" t="s">
        <v>79</v>
      </c>
      <c r="F285" t="str">
        <f>_xlfn.XLOOKUP(Cleaned_MLB_Stats_Dataset__1[[#This Row],[Position'#]],$B$373:$B$382,$A$373:$A$382)</f>
        <v>LF</v>
      </c>
      <c r="G285">
        <v>7</v>
      </c>
      <c r="H285">
        <v>506</v>
      </c>
      <c r="I285">
        <v>149</v>
      </c>
      <c r="J285">
        <v>30</v>
      </c>
      <c r="K285">
        <v>7</v>
      </c>
      <c r="L285">
        <v>33</v>
      </c>
      <c r="M285">
        <v>109</v>
      </c>
      <c r="N285">
        <v>104</v>
      </c>
      <c r="O285">
        <v>83</v>
      </c>
      <c r="P285">
        <v>120</v>
      </c>
      <c r="Q285">
        <v>22</v>
      </c>
      <c r="R285">
        <v>5</v>
      </c>
      <c r="S285">
        <v>4</v>
      </c>
      <c r="T285">
        <v>0</v>
      </c>
      <c r="U285" s="6">
        <f>Cleaned_MLB_Stats_Dataset__1[[#This Row],[Hits]]/Cleaned_MLB_Stats_Dataset__1[[#This Row],[At Bats]]</f>
        <v>0.29446640316205536</v>
      </c>
      <c r="V285" s="6">
        <f>Cleaned_MLB_Stats_Dataset__1[[#This Row],[Strikeouts]]/(Cleaned_MLB_Stats_Dataset__1[[#This Row],[At Bats]]+Cleaned_MLB_Stats_Dataset__1[[#This Row],[Walks]])</f>
        <v>0.13258785942492013</v>
      </c>
      <c r="W28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0.19809825673534073</v>
      </c>
      <c r="X28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0.43149606299212601</v>
      </c>
      <c r="Y28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0.57707509881422925</v>
      </c>
      <c r="Z285" s="6">
        <f>Cleaned_MLB_Stats_Dataset__1[[#This Row],[On Base Percentage]]+Cleaned_MLB_Stats_Dataset__1[[#This Row],[Slugging %]]</f>
        <v>1.0085711618063553</v>
      </c>
      <c r="AA285" s="6">
        <f>Cleaned_MLB_Stats_Dataset__1[[#This Row],[Slugging %]]-Cleaned_MLB_Stats_Dataset__1[[#This Row],[Batting Average]]</f>
        <v>0.28260869565217389</v>
      </c>
      <c r="AB285" s="6">
        <f>Cleaned_MLB_Stats_Dataset__1[[#This Row],[Batting Average]]-_xlfn.XLOOKUP(Cleaned_MLB_Stats_Dataset__1[[#This Row],[Year]],'League Averages'!$A$3:$A$23,'League Averages'!$B$3:$B$23)</f>
        <v>2.7466403162055342E-2</v>
      </c>
      <c r="AC285" s="6">
        <f>Cleaned_MLB_Stats_Dataset__1[[#This Row],[On Base Percentage]]-_xlfn.XLOOKUP(Cleaned_MLB_Stats_Dataset__1[[#This Row],[Year]],'League Averages'!$A$3:$A$23,'League Averages'!$C$3:$C$23)</f>
        <v>9.3496062992125983E-2</v>
      </c>
      <c r="AD285" s="6">
        <f>Cleaned_MLB_Stats_Dataset__1[[#This Row],[Slugging %]]-_xlfn.XLOOKUP(Cleaned_MLB_Stats_Dataset__1[[#This Row],[Year]],'League Averages'!$A$3:$A$23,'League Averages'!$D$3:$D$23)</f>
        <v>0.16007509881422927</v>
      </c>
      <c r="AE285" s="6">
        <f>Cleaned_MLB_Stats_Dataset__1[[#This Row],[OPS (On Base + Slugging)]]-_xlfn.XLOOKUP(Cleaned_MLB_Stats_Dataset__1[[#This Row],[Year]],'League Averages'!$A$3:$A$23,'League Averages'!$E$3:$E$23)</f>
        <v>0.25357116180635531</v>
      </c>
      <c r="AF285" s="6">
        <f>Cleaned_MLB_Stats_Dataset__1[[#This Row],[ISO (Isolated Power]]-_xlfn.XLOOKUP(Cleaned_MLB_Stats_Dataset__1[[#This Row],[Year]],'League Averages'!$A$3:$A$23,'League Averages'!$F$3:$F$23)</f>
        <v>0.1326086956521739</v>
      </c>
    </row>
    <row r="286" spans="1:32" x14ac:dyDescent="0.2">
      <c r="A286" t="s">
        <v>309</v>
      </c>
      <c r="B286">
        <v>1998</v>
      </c>
      <c r="C286" t="s">
        <v>124</v>
      </c>
      <c r="D286" t="s">
        <v>3</v>
      </c>
      <c r="E286" t="s">
        <v>85</v>
      </c>
      <c r="F286" t="str">
        <f>_xlfn.XLOOKUP(Cleaned_MLB_Stats_Dataset__1[[#This Row],[Position'#]],$B$373:$B$382,$A$373:$A$382)</f>
        <v>SS</v>
      </c>
      <c r="G286">
        <v>6</v>
      </c>
      <c r="H286">
        <v>347</v>
      </c>
      <c r="I286">
        <v>97</v>
      </c>
      <c r="J286">
        <v>18</v>
      </c>
      <c r="K286">
        <v>2</v>
      </c>
      <c r="L286">
        <v>0</v>
      </c>
      <c r="M286">
        <v>64</v>
      </c>
      <c r="N286">
        <v>27</v>
      </c>
      <c r="O286">
        <v>53</v>
      </c>
      <c r="P286">
        <v>59</v>
      </c>
      <c r="Q286">
        <v>0</v>
      </c>
      <c r="R286">
        <v>3</v>
      </c>
      <c r="S286">
        <v>3</v>
      </c>
      <c r="T286">
        <v>12</v>
      </c>
      <c r="U286" s="6">
        <f>Cleaned_MLB_Stats_Dataset__1[[#This Row],[Hits]]/Cleaned_MLB_Stats_Dataset__1[[#This Row],[At Bats]]</f>
        <v>0.27953890489913547</v>
      </c>
      <c r="V286" s="6">
        <f>Cleaned_MLB_Stats_Dataset__1[[#This Row],[Strikeouts]]/(Cleaned_MLB_Stats_Dataset__1[[#This Row],[At Bats]]+Cleaned_MLB_Stats_Dataset__1[[#This Row],[Walks]])</f>
        <v>0.13054187192118227</v>
      </c>
      <c r="W28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0.15158924205378974</v>
      </c>
      <c r="X28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0.38592233009708737</v>
      </c>
      <c r="Y28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0.34293948126801155</v>
      </c>
      <c r="Z286" s="6">
        <f>Cleaned_MLB_Stats_Dataset__1[[#This Row],[On Base Percentage]]+Cleaned_MLB_Stats_Dataset__1[[#This Row],[Slugging %]]</f>
        <v>0.72886181136509887</v>
      </c>
      <c r="AA286" s="6">
        <f>Cleaned_MLB_Stats_Dataset__1[[#This Row],[Slugging %]]-Cleaned_MLB_Stats_Dataset__1[[#This Row],[Batting Average]]</f>
        <v>6.3400576368876083E-2</v>
      </c>
      <c r="AB286" s="6">
        <f>Cleaned_MLB_Stats_Dataset__1[[#This Row],[Batting Average]]-_xlfn.XLOOKUP(Cleaned_MLB_Stats_Dataset__1[[#This Row],[Year]],'League Averages'!$A$3:$A$23,'League Averages'!$B$3:$B$23)</f>
        <v>1.3538904899135451E-2</v>
      </c>
      <c r="AC286" s="6">
        <f>Cleaned_MLB_Stats_Dataset__1[[#This Row],[On Base Percentage]]-_xlfn.XLOOKUP(Cleaned_MLB_Stats_Dataset__1[[#This Row],[Year]],'League Averages'!$A$3:$A$23,'League Averages'!$C$3:$C$23)</f>
        <v>5.0922330097087354E-2</v>
      </c>
      <c r="AD286" s="6">
        <f>Cleaned_MLB_Stats_Dataset__1[[#This Row],[Slugging %]]-_xlfn.XLOOKUP(Cleaned_MLB_Stats_Dataset__1[[#This Row],[Year]],'League Averages'!$A$3:$A$23,'League Averages'!$D$3:$D$23)</f>
        <v>-7.7060518731988437E-2</v>
      </c>
      <c r="AE286" s="6">
        <f>Cleaned_MLB_Stats_Dataset__1[[#This Row],[OPS (On Base + Slugging)]]-_xlfn.XLOOKUP(Cleaned_MLB_Stats_Dataset__1[[#This Row],[Year]],'League Averages'!$A$3:$A$23,'League Averages'!$E$3:$E$23)</f>
        <v>-2.6138188634901138E-2</v>
      </c>
      <c r="AF286" s="6">
        <f>Cleaned_MLB_Stats_Dataset__1[[#This Row],[ISO (Isolated Power]]-_xlfn.XLOOKUP(Cleaned_MLB_Stats_Dataset__1[[#This Row],[Year]],'League Averages'!$A$3:$A$23,'League Averages'!$F$3:$F$23)</f>
        <v>-9.0599423631123915E-2</v>
      </c>
    </row>
    <row r="287" spans="1:32" x14ac:dyDescent="0.2">
      <c r="A287" t="s">
        <v>309</v>
      </c>
      <c r="B287">
        <v>1997</v>
      </c>
      <c r="C287" t="s">
        <v>123</v>
      </c>
      <c r="D287" t="s">
        <v>6</v>
      </c>
      <c r="E287" t="s">
        <v>91</v>
      </c>
      <c r="F287" t="str">
        <f>_xlfn.XLOOKUP(Cleaned_MLB_Stats_Dataset__1[[#This Row],[Position'#]],$B$373:$B$382,$A$373:$A$382)</f>
        <v>DH</v>
      </c>
      <c r="G287">
        <v>10</v>
      </c>
      <c r="H287">
        <v>542</v>
      </c>
      <c r="I287">
        <v>179</v>
      </c>
      <c r="J287">
        <v>35</v>
      </c>
      <c r="K287">
        <v>1</v>
      </c>
      <c r="L287">
        <v>28</v>
      </c>
      <c r="M287">
        <v>104</v>
      </c>
      <c r="N287">
        <v>108</v>
      </c>
      <c r="O287">
        <v>86</v>
      </c>
      <c r="P287">
        <v>119</v>
      </c>
      <c r="Q287">
        <v>11</v>
      </c>
      <c r="R287">
        <v>11</v>
      </c>
      <c r="S287">
        <v>6</v>
      </c>
      <c r="T287">
        <v>0</v>
      </c>
      <c r="U287" s="6">
        <f>Cleaned_MLB_Stats_Dataset__1[[#This Row],[Hits]]/Cleaned_MLB_Stats_Dataset__1[[#This Row],[At Bats]]</f>
        <v>0.33025830258302585</v>
      </c>
      <c r="V287" s="6">
        <f>Cleaned_MLB_Stats_Dataset__1[[#This Row],[Strikeouts]]/(Cleaned_MLB_Stats_Dataset__1[[#This Row],[At Bats]]+Cleaned_MLB_Stats_Dataset__1[[#This Row],[Walks]])</f>
        <v>0.13010590015128592</v>
      </c>
      <c r="W28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0.19345238095238096</v>
      </c>
      <c r="X28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0.45575221238938052</v>
      </c>
      <c r="Y28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0.55350553505535061</v>
      </c>
      <c r="Z287" s="6">
        <f>Cleaned_MLB_Stats_Dataset__1[[#This Row],[On Base Percentage]]+Cleaned_MLB_Stats_Dataset__1[[#This Row],[Slugging %]]</f>
        <v>1.0092577474447311</v>
      </c>
      <c r="AA287" s="6">
        <f>Cleaned_MLB_Stats_Dataset__1[[#This Row],[Slugging %]]-Cleaned_MLB_Stats_Dataset__1[[#This Row],[Batting Average]]</f>
        <v>0.22324723247232475</v>
      </c>
      <c r="AB287" s="6">
        <f>Cleaned_MLB_Stats_Dataset__1[[#This Row],[Batting Average]]-_xlfn.XLOOKUP(Cleaned_MLB_Stats_Dataset__1[[#This Row],[Year]],'League Averages'!$A$3:$A$23,'League Averages'!$B$3:$B$23)</f>
        <v>6.3258302583025838E-2</v>
      </c>
      <c r="AC287" s="6">
        <f>Cleaned_MLB_Stats_Dataset__1[[#This Row],[On Base Percentage]]-_xlfn.XLOOKUP(Cleaned_MLB_Stats_Dataset__1[[#This Row],[Year]],'League Averages'!$A$3:$A$23,'League Averages'!$C$3:$C$23)</f>
        <v>0.1187522123893805</v>
      </c>
      <c r="AD287" s="6">
        <f>Cleaned_MLB_Stats_Dataset__1[[#This Row],[Slugging %]]-_xlfn.XLOOKUP(Cleaned_MLB_Stats_Dataset__1[[#This Row],[Year]],'League Averages'!$A$3:$A$23,'League Averages'!$D$3:$D$23)</f>
        <v>0.13450553505535062</v>
      </c>
      <c r="AE287" s="6">
        <f>Cleaned_MLB_Stats_Dataset__1[[#This Row],[OPS (On Base + Slugging)]]-_xlfn.XLOOKUP(Cleaned_MLB_Stats_Dataset__1[[#This Row],[Year]],'League Averages'!$A$3:$A$23,'League Averages'!$E$3:$E$23)</f>
        <v>0.25325774744473106</v>
      </c>
      <c r="AF287" s="6">
        <f>Cleaned_MLB_Stats_Dataset__1[[#This Row],[ISO (Isolated Power]]-_xlfn.XLOOKUP(Cleaned_MLB_Stats_Dataset__1[[#This Row],[Year]],'League Averages'!$A$3:$A$23,'League Averages'!$F$3:$F$23)</f>
        <v>7.1247232472324756E-2</v>
      </c>
    </row>
    <row r="288" spans="1:32" x14ac:dyDescent="0.2">
      <c r="A288" t="s">
        <v>309</v>
      </c>
      <c r="B288">
        <v>1995</v>
      </c>
      <c r="C288" t="s">
        <v>136</v>
      </c>
      <c r="D288" t="s">
        <v>6</v>
      </c>
      <c r="E288" t="s">
        <v>66</v>
      </c>
      <c r="F288" t="str">
        <f>_xlfn.XLOOKUP(Cleaned_MLB_Stats_Dataset__1[[#This Row],[Position'#]],$B$373:$B$382,$A$373:$A$382)</f>
        <v>LF</v>
      </c>
      <c r="G288">
        <v>7</v>
      </c>
      <c r="H288">
        <v>546</v>
      </c>
      <c r="I288">
        <v>173</v>
      </c>
      <c r="J288">
        <v>52</v>
      </c>
      <c r="K288">
        <v>1</v>
      </c>
      <c r="L288">
        <v>50</v>
      </c>
      <c r="M288">
        <v>121</v>
      </c>
      <c r="N288">
        <v>126</v>
      </c>
      <c r="O288">
        <v>80</v>
      </c>
      <c r="P288">
        <v>73</v>
      </c>
      <c r="Q288">
        <v>5</v>
      </c>
      <c r="R288">
        <v>6</v>
      </c>
      <c r="S288">
        <v>4</v>
      </c>
      <c r="T288">
        <v>0</v>
      </c>
      <c r="U288" s="6">
        <f>Cleaned_MLB_Stats_Dataset__1[[#This Row],[Hits]]/Cleaned_MLB_Stats_Dataset__1[[#This Row],[At Bats]]</f>
        <v>0.31684981684981683</v>
      </c>
      <c r="V288" s="6">
        <f>Cleaned_MLB_Stats_Dataset__1[[#This Row],[Strikeouts]]/(Cleaned_MLB_Stats_Dataset__1[[#This Row],[At Bats]]+Cleaned_MLB_Stats_Dataset__1[[#This Row],[Walks]])</f>
        <v>0.12924071082390953</v>
      </c>
      <c r="W28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0.12640000000000001</v>
      </c>
      <c r="X28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0.40063593004769477</v>
      </c>
      <c r="Y28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0.69047619047619047</v>
      </c>
      <c r="Z288" s="6">
        <f>Cleaned_MLB_Stats_Dataset__1[[#This Row],[On Base Percentage]]+Cleaned_MLB_Stats_Dataset__1[[#This Row],[Slugging %]]</f>
        <v>1.0911121205238852</v>
      </c>
      <c r="AA288" s="6">
        <f>Cleaned_MLB_Stats_Dataset__1[[#This Row],[Slugging %]]-Cleaned_MLB_Stats_Dataset__1[[#This Row],[Batting Average]]</f>
        <v>0.37362637362637363</v>
      </c>
      <c r="AB288" s="6">
        <f>Cleaned_MLB_Stats_Dataset__1[[#This Row],[Batting Average]]-_xlfn.XLOOKUP(Cleaned_MLB_Stats_Dataset__1[[#This Row],[Year]],'League Averages'!$A$3:$A$23,'League Averages'!$B$3:$B$23)</f>
        <v>4.9849816849816819E-2</v>
      </c>
      <c r="AC288" s="6">
        <f>Cleaned_MLB_Stats_Dataset__1[[#This Row],[On Base Percentage]]-_xlfn.XLOOKUP(Cleaned_MLB_Stats_Dataset__1[[#This Row],[Year]],'League Averages'!$A$3:$A$23,'League Averages'!$C$3:$C$23)</f>
        <v>6.2635930047694743E-2</v>
      </c>
      <c r="AD288" s="6">
        <f>Cleaned_MLB_Stats_Dataset__1[[#This Row],[Slugging %]]-_xlfn.XLOOKUP(Cleaned_MLB_Stats_Dataset__1[[#This Row],[Year]],'League Averages'!$A$3:$A$23,'League Averages'!$D$3:$D$23)</f>
        <v>0.27347619047619048</v>
      </c>
      <c r="AE288" s="6">
        <f>Cleaned_MLB_Stats_Dataset__1[[#This Row],[OPS (On Base + Slugging)]]-_xlfn.XLOOKUP(Cleaned_MLB_Stats_Dataset__1[[#This Row],[Year]],'League Averages'!$A$3:$A$23,'League Averages'!$E$3:$E$23)</f>
        <v>0.33611212052388517</v>
      </c>
      <c r="AF288" s="6">
        <f>Cleaned_MLB_Stats_Dataset__1[[#This Row],[ISO (Isolated Power]]-_xlfn.XLOOKUP(Cleaned_MLB_Stats_Dataset__1[[#This Row],[Year]],'League Averages'!$A$3:$A$23,'League Averages'!$F$3:$F$23)</f>
        <v>0.22362637362637364</v>
      </c>
    </row>
    <row r="289" spans="1:32" x14ac:dyDescent="0.2">
      <c r="A289" t="s">
        <v>309</v>
      </c>
      <c r="B289">
        <v>1997</v>
      </c>
      <c r="C289" t="s">
        <v>110</v>
      </c>
      <c r="D289" t="s">
        <v>3</v>
      </c>
      <c r="E289" t="s">
        <v>79</v>
      </c>
      <c r="F289" t="str">
        <f>_xlfn.XLOOKUP(Cleaned_MLB_Stats_Dataset__1[[#This Row],[Position'#]],$B$373:$B$382,$A$373:$A$382)</f>
        <v>LF</v>
      </c>
      <c r="G289">
        <v>7</v>
      </c>
      <c r="H289">
        <v>532</v>
      </c>
      <c r="I289">
        <v>155</v>
      </c>
      <c r="J289">
        <v>26</v>
      </c>
      <c r="K289">
        <v>5</v>
      </c>
      <c r="L289">
        <v>40</v>
      </c>
      <c r="M289">
        <v>123</v>
      </c>
      <c r="N289">
        <v>101</v>
      </c>
      <c r="O289">
        <v>87</v>
      </c>
      <c r="P289">
        <v>145</v>
      </c>
      <c r="Q289">
        <v>34</v>
      </c>
      <c r="R289">
        <v>8</v>
      </c>
      <c r="S289">
        <v>5</v>
      </c>
      <c r="T289">
        <v>0</v>
      </c>
      <c r="U289" s="6">
        <f>Cleaned_MLB_Stats_Dataset__1[[#This Row],[Hits]]/Cleaned_MLB_Stats_Dataset__1[[#This Row],[At Bats]]</f>
        <v>0.29135338345864664</v>
      </c>
      <c r="V289" s="6">
        <f>Cleaned_MLB_Stats_Dataset__1[[#This Row],[Strikeouts]]/(Cleaned_MLB_Stats_Dataset__1[[#This Row],[At Bats]]+Cleaned_MLB_Stats_Dataset__1[[#This Row],[Walks]])</f>
        <v>0.12850812407680945</v>
      </c>
      <c r="W28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0.22335766423357664</v>
      </c>
      <c r="X28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0.44637681159420289</v>
      </c>
      <c r="Y28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0.58458646616541354</v>
      </c>
      <c r="Z289" s="6">
        <f>Cleaned_MLB_Stats_Dataset__1[[#This Row],[On Base Percentage]]+Cleaned_MLB_Stats_Dataset__1[[#This Row],[Slugging %]]</f>
        <v>1.0309632777596165</v>
      </c>
      <c r="AA289" s="6">
        <f>Cleaned_MLB_Stats_Dataset__1[[#This Row],[Slugging %]]-Cleaned_MLB_Stats_Dataset__1[[#This Row],[Batting Average]]</f>
        <v>0.2932330827067669</v>
      </c>
      <c r="AB289" s="6">
        <f>Cleaned_MLB_Stats_Dataset__1[[#This Row],[Batting Average]]-_xlfn.XLOOKUP(Cleaned_MLB_Stats_Dataset__1[[#This Row],[Year]],'League Averages'!$A$3:$A$23,'League Averages'!$B$3:$B$23)</f>
        <v>2.4353383458646627E-2</v>
      </c>
      <c r="AC289" s="6">
        <f>Cleaned_MLB_Stats_Dataset__1[[#This Row],[On Base Percentage]]-_xlfn.XLOOKUP(Cleaned_MLB_Stats_Dataset__1[[#This Row],[Year]],'League Averages'!$A$3:$A$23,'League Averages'!$C$3:$C$23)</f>
        <v>0.10937681159420287</v>
      </c>
      <c r="AD289" s="6">
        <f>Cleaned_MLB_Stats_Dataset__1[[#This Row],[Slugging %]]-_xlfn.XLOOKUP(Cleaned_MLB_Stats_Dataset__1[[#This Row],[Year]],'League Averages'!$A$3:$A$23,'League Averages'!$D$3:$D$23)</f>
        <v>0.16558646616541356</v>
      </c>
      <c r="AE289" s="6">
        <f>Cleaned_MLB_Stats_Dataset__1[[#This Row],[OPS (On Base + Slugging)]]-_xlfn.XLOOKUP(Cleaned_MLB_Stats_Dataset__1[[#This Row],[Year]],'League Averages'!$A$3:$A$23,'League Averages'!$E$3:$E$23)</f>
        <v>0.27496327775961649</v>
      </c>
      <c r="AF289" s="6">
        <f>Cleaned_MLB_Stats_Dataset__1[[#This Row],[ISO (Isolated Power]]-_xlfn.XLOOKUP(Cleaned_MLB_Stats_Dataset__1[[#This Row],[Year]],'League Averages'!$A$3:$A$23,'League Averages'!$F$3:$F$23)</f>
        <v>0.1412330827067669</v>
      </c>
    </row>
    <row r="290" spans="1:32" x14ac:dyDescent="0.2">
      <c r="A290" t="s">
        <v>309</v>
      </c>
      <c r="B290">
        <v>1996</v>
      </c>
      <c r="C290" t="s">
        <v>170</v>
      </c>
      <c r="D290" t="s">
        <v>3</v>
      </c>
      <c r="E290" t="s">
        <v>85</v>
      </c>
      <c r="F290" t="str">
        <f>_xlfn.XLOOKUP(Cleaned_MLB_Stats_Dataset__1[[#This Row],[Position'#]],$B$373:$B$382,$A$373:$A$382)</f>
        <v>3B</v>
      </c>
      <c r="G290">
        <v>5</v>
      </c>
      <c r="H290">
        <v>598</v>
      </c>
      <c r="I290">
        <v>185</v>
      </c>
      <c r="J290">
        <v>32</v>
      </c>
      <c r="K290">
        <v>5</v>
      </c>
      <c r="L290">
        <v>30</v>
      </c>
      <c r="M290">
        <v>114</v>
      </c>
      <c r="N290">
        <v>110</v>
      </c>
      <c r="O290">
        <v>88</v>
      </c>
      <c r="P290">
        <v>87</v>
      </c>
      <c r="Q290">
        <v>0</v>
      </c>
      <c r="R290">
        <v>0</v>
      </c>
      <c r="S290">
        <v>7</v>
      </c>
      <c r="T290">
        <v>1</v>
      </c>
      <c r="U290" s="6">
        <f>Cleaned_MLB_Stats_Dataset__1[[#This Row],[Hits]]/Cleaned_MLB_Stats_Dataset__1[[#This Row],[At Bats]]</f>
        <v>0.30936454849498329</v>
      </c>
      <c r="V290" s="6">
        <f>Cleaned_MLB_Stats_Dataset__1[[#This Row],[Strikeouts]]/(Cleaned_MLB_Stats_Dataset__1[[#This Row],[At Bats]]+Cleaned_MLB_Stats_Dataset__1[[#This Row],[Walks]])</f>
        <v>0.12846715328467154</v>
      </c>
      <c r="W29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0.12700729927007298</v>
      </c>
      <c r="X29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0.39306358381502893</v>
      </c>
      <c r="Y29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0.53010033444816052</v>
      </c>
      <c r="Z290" s="6">
        <f>Cleaned_MLB_Stats_Dataset__1[[#This Row],[On Base Percentage]]+Cleaned_MLB_Stats_Dataset__1[[#This Row],[Slugging %]]</f>
        <v>0.92316391826318944</v>
      </c>
      <c r="AA290" s="6">
        <f>Cleaned_MLB_Stats_Dataset__1[[#This Row],[Slugging %]]-Cleaned_MLB_Stats_Dataset__1[[#This Row],[Batting Average]]</f>
        <v>0.22073578595317722</v>
      </c>
      <c r="AB290" s="6">
        <f>Cleaned_MLB_Stats_Dataset__1[[#This Row],[Batting Average]]-_xlfn.XLOOKUP(Cleaned_MLB_Stats_Dataset__1[[#This Row],[Year]],'League Averages'!$A$3:$A$23,'League Averages'!$B$3:$B$23)</f>
        <v>3.9364548494983276E-2</v>
      </c>
      <c r="AC290" s="6">
        <f>Cleaned_MLB_Stats_Dataset__1[[#This Row],[On Base Percentage]]-_xlfn.XLOOKUP(Cleaned_MLB_Stats_Dataset__1[[#This Row],[Year]],'League Averages'!$A$3:$A$23,'League Averages'!$C$3:$C$23)</f>
        <v>5.3063583815028903E-2</v>
      </c>
      <c r="AD290" s="6">
        <f>Cleaned_MLB_Stats_Dataset__1[[#This Row],[Slugging %]]-_xlfn.XLOOKUP(Cleaned_MLB_Stats_Dataset__1[[#This Row],[Year]],'League Averages'!$A$3:$A$23,'League Averages'!$D$3:$D$23)</f>
        <v>0.10310033444816052</v>
      </c>
      <c r="AE290" s="6">
        <f>Cleaned_MLB_Stats_Dataset__1[[#This Row],[OPS (On Base + Slugging)]]-_xlfn.XLOOKUP(Cleaned_MLB_Stats_Dataset__1[[#This Row],[Year]],'League Averages'!$A$3:$A$23,'League Averages'!$E$3:$E$23)</f>
        <v>0.15616391826318943</v>
      </c>
      <c r="AF290" s="6">
        <f>Cleaned_MLB_Stats_Dataset__1[[#This Row],[ISO (Isolated Power]]-_xlfn.XLOOKUP(Cleaned_MLB_Stats_Dataset__1[[#This Row],[Year]],'League Averages'!$A$3:$A$23,'League Averages'!$F$3:$F$23)</f>
        <v>6.3735785953177221E-2</v>
      </c>
    </row>
    <row r="291" spans="1:32" x14ac:dyDescent="0.2">
      <c r="A291" t="s">
        <v>309</v>
      </c>
      <c r="B291">
        <v>1993</v>
      </c>
      <c r="C291" t="s">
        <v>134</v>
      </c>
      <c r="D291" t="s">
        <v>3</v>
      </c>
      <c r="E291" t="s">
        <v>165</v>
      </c>
      <c r="F291" t="str">
        <f>_xlfn.XLOOKUP(Cleaned_MLB_Stats_Dataset__1[[#This Row],[Position'#]],$B$373:$B$382,$A$373:$A$382)</f>
        <v>3B</v>
      </c>
      <c r="G291">
        <v>5</v>
      </c>
      <c r="H291">
        <v>236</v>
      </c>
      <c r="I291">
        <v>69</v>
      </c>
      <c r="J291">
        <v>8</v>
      </c>
      <c r="K291">
        <v>3</v>
      </c>
      <c r="L291">
        <v>10</v>
      </c>
      <c r="M291">
        <v>33</v>
      </c>
      <c r="N291">
        <v>37</v>
      </c>
      <c r="O291">
        <v>34</v>
      </c>
      <c r="P291">
        <v>29</v>
      </c>
      <c r="Q291">
        <v>6</v>
      </c>
      <c r="R291">
        <v>6</v>
      </c>
      <c r="S291">
        <v>4</v>
      </c>
      <c r="T291">
        <v>0</v>
      </c>
      <c r="U291" s="6">
        <f>Cleaned_MLB_Stats_Dataset__1[[#This Row],[Hits]]/Cleaned_MLB_Stats_Dataset__1[[#This Row],[At Bats]]</f>
        <v>0.2923728813559322</v>
      </c>
      <c r="V291" s="6">
        <f>Cleaned_MLB_Stats_Dataset__1[[#This Row],[Strikeouts]]/(Cleaned_MLB_Stats_Dataset__1[[#This Row],[At Bats]]+Cleaned_MLB_Stats_Dataset__1[[#This Row],[Walks]])</f>
        <v>0.12830188679245283</v>
      </c>
      <c r="W29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0.12915129151291513</v>
      </c>
      <c r="X29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0.37818181818181817</v>
      </c>
      <c r="Y29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0.4788135593220339</v>
      </c>
      <c r="Z291" s="6">
        <f>Cleaned_MLB_Stats_Dataset__1[[#This Row],[On Base Percentage]]+Cleaned_MLB_Stats_Dataset__1[[#This Row],[Slugging %]]</f>
        <v>0.85699537750385213</v>
      </c>
      <c r="AA291" s="6">
        <f>Cleaned_MLB_Stats_Dataset__1[[#This Row],[Slugging %]]-Cleaned_MLB_Stats_Dataset__1[[#This Row],[Batting Average]]</f>
        <v>0.1864406779661017</v>
      </c>
      <c r="AB291" s="6">
        <f>Cleaned_MLB_Stats_Dataset__1[[#This Row],[Batting Average]]-_xlfn.XLOOKUP(Cleaned_MLB_Stats_Dataset__1[[#This Row],[Year]],'League Averages'!$A$3:$A$23,'League Averages'!$B$3:$B$23)</f>
        <v>2.7372881355932188E-2</v>
      </c>
      <c r="AC291" s="6">
        <f>Cleaned_MLB_Stats_Dataset__1[[#This Row],[On Base Percentage]]-_xlfn.XLOOKUP(Cleaned_MLB_Stats_Dataset__1[[#This Row],[Year]],'League Averages'!$A$3:$A$23,'League Averages'!$C$3:$C$23)</f>
        <v>4.6181818181818157E-2</v>
      </c>
      <c r="AD291" s="6">
        <f>Cleaned_MLB_Stats_Dataset__1[[#This Row],[Slugging %]]-_xlfn.XLOOKUP(Cleaned_MLB_Stats_Dataset__1[[#This Row],[Year]],'League Averages'!$A$3:$A$23,'League Averages'!$D$3:$D$23)</f>
        <v>7.5813559322033874E-2</v>
      </c>
      <c r="AE291" s="6">
        <f>Cleaned_MLB_Stats_Dataset__1[[#This Row],[OPS (On Base + Slugging)]]-_xlfn.XLOOKUP(Cleaned_MLB_Stats_Dataset__1[[#This Row],[Year]],'League Averages'!$A$3:$A$23,'League Averages'!$E$3:$E$23)</f>
        <v>0.12099537750385214</v>
      </c>
      <c r="AF291" s="6">
        <f>Cleaned_MLB_Stats_Dataset__1[[#This Row],[ISO (Isolated Power]]-_xlfn.XLOOKUP(Cleaned_MLB_Stats_Dataset__1[[#This Row],[Year]],'League Averages'!$A$3:$A$23,'League Averages'!$F$3:$F$23)</f>
        <v>4.8440677966101686E-2</v>
      </c>
    </row>
    <row r="292" spans="1:32" x14ac:dyDescent="0.2">
      <c r="A292" t="s">
        <v>309</v>
      </c>
      <c r="B292">
        <v>1993</v>
      </c>
      <c r="C292" t="s">
        <v>96</v>
      </c>
      <c r="D292" t="s">
        <v>3</v>
      </c>
      <c r="E292" t="s">
        <v>27</v>
      </c>
      <c r="F292" t="str">
        <f>_xlfn.XLOOKUP(Cleaned_MLB_Stats_Dataset__1[[#This Row],[Position'#]],$B$373:$B$382,$A$373:$A$382)</f>
        <v>2B</v>
      </c>
      <c r="G292">
        <v>4</v>
      </c>
      <c r="H292">
        <v>456</v>
      </c>
      <c r="I292">
        <v>141</v>
      </c>
      <c r="J292">
        <v>20</v>
      </c>
      <c r="K292">
        <v>0</v>
      </c>
      <c r="L292">
        <v>9</v>
      </c>
      <c r="M292">
        <v>67</v>
      </c>
      <c r="N292">
        <v>45</v>
      </c>
      <c r="O292">
        <v>62</v>
      </c>
      <c r="P292">
        <v>37</v>
      </c>
      <c r="Q292">
        <v>1</v>
      </c>
      <c r="R292">
        <v>2</v>
      </c>
      <c r="S292">
        <v>6</v>
      </c>
      <c r="T292">
        <v>2</v>
      </c>
      <c r="U292" s="6">
        <f>Cleaned_MLB_Stats_Dataset__1[[#This Row],[Hits]]/Cleaned_MLB_Stats_Dataset__1[[#This Row],[At Bats]]</f>
        <v>0.30921052631578949</v>
      </c>
      <c r="V292" s="6">
        <f>Cleaned_MLB_Stats_Dataset__1[[#This Row],[Strikeouts]]/(Cleaned_MLB_Stats_Dataset__1[[#This Row],[At Bats]]+Cleaned_MLB_Stats_Dataset__1[[#This Row],[Walks]])</f>
        <v>0.12576064908722109</v>
      </c>
      <c r="W29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7.8787878787878782E-2</v>
      </c>
      <c r="X29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0.3592814371257485</v>
      </c>
      <c r="Y29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0.41228070175438597</v>
      </c>
      <c r="Z292" s="6">
        <f>Cleaned_MLB_Stats_Dataset__1[[#This Row],[On Base Percentage]]+Cleaned_MLB_Stats_Dataset__1[[#This Row],[Slugging %]]</f>
        <v>0.77156213888013447</v>
      </c>
      <c r="AA292" s="6">
        <f>Cleaned_MLB_Stats_Dataset__1[[#This Row],[Slugging %]]-Cleaned_MLB_Stats_Dataset__1[[#This Row],[Batting Average]]</f>
        <v>0.10307017543859648</v>
      </c>
      <c r="AB292" s="6">
        <f>Cleaned_MLB_Stats_Dataset__1[[#This Row],[Batting Average]]-_xlfn.XLOOKUP(Cleaned_MLB_Stats_Dataset__1[[#This Row],[Year]],'League Averages'!$A$3:$A$23,'League Averages'!$B$3:$B$23)</f>
        <v>4.4210526315789478E-2</v>
      </c>
      <c r="AC292" s="6">
        <f>Cleaned_MLB_Stats_Dataset__1[[#This Row],[On Base Percentage]]-_xlfn.XLOOKUP(Cleaned_MLB_Stats_Dataset__1[[#This Row],[Year]],'League Averages'!$A$3:$A$23,'League Averages'!$C$3:$C$23)</f>
        <v>2.7281437125748487E-2</v>
      </c>
      <c r="AD292" s="6">
        <f>Cleaned_MLB_Stats_Dataset__1[[#This Row],[Slugging %]]-_xlfn.XLOOKUP(Cleaned_MLB_Stats_Dataset__1[[#This Row],[Year]],'League Averages'!$A$3:$A$23,'League Averages'!$D$3:$D$23)</f>
        <v>9.2807017543859449E-3</v>
      </c>
      <c r="AE292" s="6">
        <f>Cleaned_MLB_Stats_Dataset__1[[#This Row],[OPS (On Base + Slugging)]]-_xlfn.XLOOKUP(Cleaned_MLB_Stats_Dataset__1[[#This Row],[Year]],'League Averages'!$A$3:$A$23,'League Averages'!$E$3:$E$23)</f>
        <v>3.5562138880134486E-2</v>
      </c>
      <c r="AF292" s="6">
        <f>Cleaned_MLB_Stats_Dataset__1[[#This Row],[ISO (Isolated Power]]-_xlfn.XLOOKUP(Cleaned_MLB_Stats_Dataset__1[[#This Row],[Year]],'League Averages'!$A$3:$A$23,'League Averages'!$F$3:$F$23)</f>
        <v>-3.4929824561403533E-2</v>
      </c>
    </row>
    <row r="293" spans="1:32" x14ac:dyDescent="0.2">
      <c r="A293" t="s">
        <v>309</v>
      </c>
      <c r="B293">
        <v>2000</v>
      </c>
      <c r="C293" t="s">
        <v>155</v>
      </c>
      <c r="D293" t="s">
        <v>6</v>
      </c>
      <c r="E293" t="s">
        <v>90</v>
      </c>
      <c r="F293" t="str">
        <f>_xlfn.XLOOKUP(Cleaned_MLB_Stats_Dataset__1[[#This Row],[Position'#]],$B$373:$B$382,$A$373:$A$382)</f>
        <v>C</v>
      </c>
      <c r="G293">
        <v>2</v>
      </c>
      <c r="H293">
        <v>363</v>
      </c>
      <c r="I293">
        <v>126</v>
      </c>
      <c r="J293">
        <v>27</v>
      </c>
      <c r="K293">
        <v>4</v>
      </c>
      <c r="L293">
        <v>27</v>
      </c>
      <c r="M293">
        <v>66</v>
      </c>
      <c r="N293">
        <v>83</v>
      </c>
      <c r="O293">
        <v>48</v>
      </c>
      <c r="P293">
        <v>19</v>
      </c>
      <c r="Q293">
        <v>5</v>
      </c>
      <c r="R293">
        <v>1</v>
      </c>
      <c r="S293">
        <v>6</v>
      </c>
      <c r="T293">
        <v>0</v>
      </c>
      <c r="U293" s="6">
        <f>Cleaned_MLB_Stats_Dataset__1[[#This Row],[Hits]]/Cleaned_MLB_Stats_Dataset__1[[#This Row],[At Bats]]</f>
        <v>0.34710743801652894</v>
      </c>
      <c r="V293" s="6">
        <f>Cleaned_MLB_Stats_Dataset__1[[#This Row],[Strikeouts]]/(Cleaned_MLB_Stats_Dataset__1[[#This Row],[At Bats]]+Cleaned_MLB_Stats_Dataset__1[[#This Row],[Walks]])</f>
        <v>0.1256544502617801</v>
      </c>
      <c r="W29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5.2219321148825062E-2</v>
      </c>
      <c r="X29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0.37532133676092544</v>
      </c>
      <c r="Y29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0.66666666666666663</v>
      </c>
      <c r="Z293" s="6">
        <f>Cleaned_MLB_Stats_Dataset__1[[#This Row],[On Base Percentage]]+Cleaned_MLB_Stats_Dataset__1[[#This Row],[Slugging %]]</f>
        <v>1.0419880034275921</v>
      </c>
      <c r="AA293" s="6">
        <f>Cleaned_MLB_Stats_Dataset__1[[#This Row],[Slugging %]]-Cleaned_MLB_Stats_Dataset__1[[#This Row],[Batting Average]]</f>
        <v>0.31955922865013769</v>
      </c>
      <c r="AB293" s="6">
        <f>Cleaned_MLB_Stats_Dataset__1[[#This Row],[Batting Average]]-_xlfn.XLOOKUP(Cleaned_MLB_Stats_Dataset__1[[#This Row],[Year]],'League Averages'!$A$3:$A$23,'League Averages'!$B$3:$B$23)</f>
        <v>7.7107438016528917E-2</v>
      </c>
      <c r="AC293" s="6">
        <f>Cleaned_MLB_Stats_Dataset__1[[#This Row],[On Base Percentage]]-_xlfn.XLOOKUP(Cleaned_MLB_Stats_Dataset__1[[#This Row],[Year]],'League Averages'!$A$3:$A$23,'League Averages'!$C$3:$C$23)</f>
        <v>3.0321336760925466E-2</v>
      </c>
      <c r="AD293" s="6">
        <f>Cleaned_MLB_Stats_Dataset__1[[#This Row],[Slugging %]]-_xlfn.XLOOKUP(Cleaned_MLB_Stats_Dataset__1[[#This Row],[Year]],'League Averages'!$A$3:$A$23,'League Averages'!$D$3:$D$23)</f>
        <v>0.22966666666666663</v>
      </c>
      <c r="AE293" s="6">
        <f>Cleaned_MLB_Stats_Dataset__1[[#This Row],[OPS (On Base + Slugging)]]-_xlfn.XLOOKUP(Cleaned_MLB_Stats_Dataset__1[[#This Row],[Year]],'League Averages'!$A$3:$A$23,'League Averages'!$E$3:$E$23)</f>
        <v>0.2599880034275921</v>
      </c>
      <c r="AF293" s="6">
        <f>Cleaned_MLB_Stats_Dataset__1[[#This Row],[ISO (Isolated Power]]-_xlfn.XLOOKUP(Cleaned_MLB_Stats_Dataset__1[[#This Row],[Year]],'League Averages'!$A$3:$A$23,'League Averages'!$F$3:$F$23)</f>
        <v>0.15255922865013768</v>
      </c>
    </row>
    <row r="294" spans="1:32" x14ac:dyDescent="0.2">
      <c r="A294" t="s">
        <v>309</v>
      </c>
      <c r="B294">
        <v>2001</v>
      </c>
      <c r="C294" t="s">
        <v>95</v>
      </c>
      <c r="D294" t="s">
        <v>6</v>
      </c>
      <c r="E294" t="s">
        <v>78</v>
      </c>
      <c r="F294" t="str">
        <f>_xlfn.XLOOKUP(Cleaned_MLB_Stats_Dataset__1[[#This Row],[Position'#]],$B$373:$B$382,$A$373:$A$382)</f>
        <v>SS</v>
      </c>
      <c r="G294">
        <v>6</v>
      </c>
      <c r="H294">
        <v>477</v>
      </c>
      <c r="I294">
        <v>114</v>
      </c>
      <c r="J294">
        <v>16</v>
      </c>
      <c r="K294">
        <v>0</v>
      </c>
      <c r="L294">
        <v>14</v>
      </c>
      <c r="M294">
        <v>43</v>
      </c>
      <c r="N294">
        <v>68</v>
      </c>
      <c r="O294">
        <v>63</v>
      </c>
      <c r="P294">
        <v>26</v>
      </c>
      <c r="Q294">
        <v>1</v>
      </c>
      <c r="R294">
        <v>2</v>
      </c>
      <c r="S294">
        <v>9</v>
      </c>
      <c r="T294">
        <v>2</v>
      </c>
      <c r="U294" s="6">
        <f>Cleaned_MLB_Stats_Dataset__1[[#This Row],[Hits]]/Cleaned_MLB_Stats_Dataset__1[[#This Row],[At Bats]]</f>
        <v>0.2389937106918239</v>
      </c>
      <c r="V294" s="6">
        <f>Cleaned_MLB_Stats_Dataset__1[[#This Row],[Strikeouts]]/(Cleaned_MLB_Stats_Dataset__1[[#This Row],[At Bats]]+Cleaned_MLB_Stats_Dataset__1[[#This Row],[Walks]])</f>
        <v>0.12524850894632206</v>
      </c>
      <c r="W29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5.5445544554455446E-2</v>
      </c>
      <c r="X29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0.27626459143968873</v>
      </c>
      <c r="Y29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0.36058700209643607</v>
      </c>
      <c r="Z294" s="6">
        <f>Cleaned_MLB_Stats_Dataset__1[[#This Row],[On Base Percentage]]+Cleaned_MLB_Stats_Dataset__1[[#This Row],[Slugging %]]</f>
        <v>0.63685159353612475</v>
      </c>
      <c r="AA294" s="6">
        <f>Cleaned_MLB_Stats_Dataset__1[[#This Row],[Slugging %]]-Cleaned_MLB_Stats_Dataset__1[[#This Row],[Batting Average]]</f>
        <v>0.12159329140461217</v>
      </c>
      <c r="AB294" s="6">
        <f>Cleaned_MLB_Stats_Dataset__1[[#This Row],[Batting Average]]-_xlfn.XLOOKUP(Cleaned_MLB_Stats_Dataset__1[[#This Row],[Year]],'League Averages'!$A$3:$A$23,'League Averages'!$B$3:$B$23)</f>
        <v>-2.5006289308176111E-2</v>
      </c>
      <c r="AC294" s="6">
        <f>Cleaned_MLB_Stats_Dataset__1[[#This Row],[On Base Percentage]]-_xlfn.XLOOKUP(Cleaned_MLB_Stats_Dataset__1[[#This Row],[Year]],'League Averages'!$A$3:$A$23,'League Averages'!$C$3:$C$23)</f>
        <v>-5.5735408560311284E-2</v>
      </c>
      <c r="AD294" s="6">
        <f>Cleaned_MLB_Stats_Dataset__1[[#This Row],[Slugging %]]-_xlfn.XLOOKUP(Cleaned_MLB_Stats_Dataset__1[[#This Row],[Year]],'League Averages'!$A$3:$A$23,'League Averages'!$D$3:$D$23)</f>
        <v>-6.641299790356392E-2</v>
      </c>
      <c r="AE294" s="6">
        <f>Cleaned_MLB_Stats_Dataset__1[[#This Row],[OPS (On Base + Slugging)]]-_xlfn.XLOOKUP(Cleaned_MLB_Stats_Dataset__1[[#This Row],[Year]],'League Averages'!$A$3:$A$23,'League Averages'!$E$3:$E$23)</f>
        <v>-0.12214840646387526</v>
      </c>
      <c r="AF294" s="6">
        <f>Cleaned_MLB_Stats_Dataset__1[[#This Row],[ISO (Isolated Power]]-_xlfn.XLOOKUP(Cleaned_MLB_Stats_Dataset__1[[#This Row],[Year]],'League Averages'!$A$3:$A$23,'League Averages'!$F$3:$F$23)</f>
        <v>-4.1406708595387837E-2</v>
      </c>
    </row>
    <row r="295" spans="1:32" x14ac:dyDescent="0.2">
      <c r="A295" t="s">
        <v>309</v>
      </c>
      <c r="B295">
        <v>1996</v>
      </c>
      <c r="C295" t="s">
        <v>136</v>
      </c>
      <c r="D295" t="s">
        <v>6</v>
      </c>
      <c r="E295" t="s">
        <v>66</v>
      </c>
      <c r="F295" t="str">
        <f>_xlfn.XLOOKUP(Cleaned_MLB_Stats_Dataset__1[[#This Row],[Position'#]],$B$373:$B$382,$A$373:$A$382)</f>
        <v>LF</v>
      </c>
      <c r="G295">
        <v>7</v>
      </c>
      <c r="H295">
        <v>602</v>
      </c>
      <c r="I295">
        <v>187</v>
      </c>
      <c r="J295">
        <v>38</v>
      </c>
      <c r="K295">
        <v>3</v>
      </c>
      <c r="L295">
        <v>48</v>
      </c>
      <c r="M295">
        <v>124</v>
      </c>
      <c r="N295">
        <v>148</v>
      </c>
      <c r="O295">
        <v>87</v>
      </c>
      <c r="P295">
        <v>99</v>
      </c>
      <c r="Q295">
        <v>15</v>
      </c>
      <c r="R295">
        <v>7</v>
      </c>
      <c r="S295">
        <v>7</v>
      </c>
      <c r="T295">
        <v>0</v>
      </c>
      <c r="U295" s="6">
        <f>Cleaned_MLB_Stats_Dataset__1[[#This Row],[Hits]]/Cleaned_MLB_Stats_Dataset__1[[#This Row],[At Bats]]</f>
        <v>0.31063122923588038</v>
      </c>
      <c r="V295" s="6">
        <f>Cleaned_MLB_Stats_Dataset__1[[#This Row],[Strikeouts]]/(Cleaned_MLB_Stats_Dataset__1[[#This Row],[At Bats]]+Cleaned_MLB_Stats_Dataset__1[[#This Row],[Walks]])</f>
        <v>0.12410841654778887</v>
      </c>
      <c r="W29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0.14971751412429379</v>
      </c>
      <c r="X29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0.4097902097902098</v>
      </c>
      <c r="Y29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0.62292358803986714</v>
      </c>
      <c r="Z295" s="6">
        <f>Cleaned_MLB_Stats_Dataset__1[[#This Row],[On Base Percentage]]+Cleaned_MLB_Stats_Dataset__1[[#This Row],[Slugging %]]</f>
        <v>1.0327137978300769</v>
      </c>
      <c r="AA295" s="6">
        <f>Cleaned_MLB_Stats_Dataset__1[[#This Row],[Slugging %]]-Cleaned_MLB_Stats_Dataset__1[[#This Row],[Batting Average]]</f>
        <v>0.31229235880398676</v>
      </c>
      <c r="AB295" s="6">
        <f>Cleaned_MLB_Stats_Dataset__1[[#This Row],[Batting Average]]-_xlfn.XLOOKUP(Cleaned_MLB_Stats_Dataset__1[[#This Row],[Year]],'League Averages'!$A$3:$A$23,'League Averages'!$B$3:$B$23)</f>
        <v>4.0631229235880362E-2</v>
      </c>
      <c r="AC295" s="6">
        <f>Cleaned_MLB_Stats_Dataset__1[[#This Row],[On Base Percentage]]-_xlfn.XLOOKUP(Cleaned_MLB_Stats_Dataset__1[[#This Row],[Year]],'League Averages'!$A$3:$A$23,'League Averages'!$C$3:$C$23)</f>
        <v>6.9790209790209778E-2</v>
      </c>
      <c r="AD295" s="6">
        <f>Cleaned_MLB_Stats_Dataset__1[[#This Row],[Slugging %]]-_xlfn.XLOOKUP(Cleaned_MLB_Stats_Dataset__1[[#This Row],[Year]],'League Averages'!$A$3:$A$23,'League Averages'!$D$3:$D$23)</f>
        <v>0.19592358803986715</v>
      </c>
      <c r="AE295" s="6">
        <f>Cleaned_MLB_Stats_Dataset__1[[#This Row],[OPS (On Base + Slugging)]]-_xlfn.XLOOKUP(Cleaned_MLB_Stats_Dataset__1[[#This Row],[Year]],'League Averages'!$A$3:$A$23,'League Averages'!$E$3:$E$23)</f>
        <v>0.26571379783007687</v>
      </c>
      <c r="AF295" s="6">
        <f>Cleaned_MLB_Stats_Dataset__1[[#This Row],[ISO (Isolated Power]]-_xlfn.XLOOKUP(Cleaned_MLB_Stats_Dataset__1[[#This Row],[Year]],'League Averages'!$A$3:$A$23,'League Averages'!$F$3:$F$23)</f>
        <v>0.15529235880398676</v>
      </c>
    </row>
    <row r="296" spans="1:32" x14ac:dyDescent="0.2">
      <c r="A296" t="s">
        <v>309</v>
      </c>
      <c r="B296">
        <v>1997</v>
      </c>
      <c r="C296" t="s">
        <v>163</v>
      </c>
      <c r="D296" t="s">
        <v>3</v>
      </c>
      <c r="E296" t="s">
        <v>80</v>
      </c>
      <c r="F296" t="str">
        <f>_xlfn.XLOOKUP(Cleaned_MLB_Stats_Dataset__1[[#This Row],[Position'#]],$B$373:$B$382,$A$373:$A$382)</f>
        <v>C</v>
      </c>
      <c r="G296">
        <v>2</v>
      </c>
      <c r="H296">
        <v>556</v>
      </c>
      <c r="I296">
        <v>201</v>
      </c>
      <c r="J296">
        <v>32</v>
      </c>
      <c r="K296">
        <v>1</v>
      </c>
      <c r="L296">
        <v>40</v>
      </c>
      <c r="M296">
        <v>104</v>
      </c>
      <c r="N296">
        <v>124</v>
      </c>
      <c r="O296">
        <v>77</v>
      </c>
      <c r="P296">
        <v>69</v>
      </c>
      <c r="Q296">
        <v>11</v>
      </c>
      <c r="R296">
        <v>3</v>
      </c>
      <c r="S296">
        <v>5</v>
      </c>
      <c r="T296">
        <v>0</v>
      </c>
      <c r="U296" s="6">
        <f>Cleaned_MLB_Stats_Dataset__1[[#This Row],[Hits]]/Cleaned_MLB_Stats_Dataset__1[[#This Row],[At Bats]]</f>
        <v>0.36151079136690645</v>
      </c>
      <c r="V296" s="6">
        <f>Cleaned_MLB_Stats_Dataset__1[[#This Row],[Strikeouts]]/(Cleaned_MLB_Stats_Dataset__1[[#This Row],[At Bats]]+Cleaned_MLB_Stats_Dataset__1[[#This Row],[Walks]])</f>
        <v>0.1232</v>
      </c>
      <c r="W29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0.11464968152866242</v>
      </c>
      <c r="X29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0.43127962085308058</v>
      </c>
      <c r="Y29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0.63848920863309355</v>
      </c>
      <c r="Z296" s="6">
        <f>Cleaned_MLB_Stats_Dataset__1[[#This Row],[On Base Percentage]]+Cleaned_MLB_Stats_Dataset__1[[#This Row],[Slugging %]]</f>
        <v>1.0697688294861742</v>
      </c>
      <c r="AA296" s="6">
        <f>Cleaned_MLB_Stats_Dataset__1[[#This Row],[Slugging %]]-Cleaned_MLB_Stats_Dataset__1[[#This Row],[Batting Average]]</f>
        <v>0.2769784172661871</v>
      </c>
      <c r="AB296" s="6">
        <f>Cleaned_MLB_Stats_Dataset__1[[#This Row],[Batting Average]]-_xlfn.XLOOKUP(Cleaned_MLB_Stats_Dataset__1[[#This Row],[Year]],'League Averages'!$A$3:$A$23,'League Averages'!$B$3:$B$23)</f>
        <v>9.4510791366906433E-2</v>
      </c>
      <c r="AC296" s="6">
        <f>Cleaned_MLB_Stats_Dataset__1[[#This Row],[On Base Percentage]]-_xlfn.XLOOKUP(Cleaned_MLB_Stats_Dataset__1[[#This Row],[Year]],'League Averages'!$A$3:$A$23,'League Averages'!$C$3:$C$23)</f>
        <v>9.4279620853080559E-2</v>
      </c>
      <c r="AD296" s="6">
        <f>Cleaned_MLB_Stats_Dataset__1[[#This Row],[Slugging %]]-_xlfn.XLOOKUP(Cleaned_MLB_Stats_Dataset__1[[#This Row],[Year]],'League Averages'!$A$3:$A$23,'League Averages'!$D$3:$D$23)</f>
        <v>0.21948920863309357</v>
      </c>
      <c r="AE296" s="6">
        <f>Cleaned_MLB_Stats_Dataset__1[[#This Row],[OPS (On Base + Slugging)]]-_xlfn.XLOOKUP(Cleaned_MLB_Stats_Dataset__1[[#This Row],[Year]],'League Averages'!$A$3:$A$23,'League Averages'!$E$3:$E$23)</f>
        <v>0.31376882948617424</v>
      </c>
      <c r="AF296" s="6">
        <f>Cleaned_MLB_Stats_Dataset__1[[#This Row],[ISO (Isolated Power]]-_xlfn.XLOOKUP(Cleaned_MLB_Stats_Dataset__1[[#This Row],[Year]],'League Averages'!$A$3:$A$23,'League Averages'!$F$3:$F$23)</f>
        <v>0.12497841726618711</v>
      </c>
    </row>
    <row r="297" spans="1:32" x14ac:dyDescent="0.2">
      <c r="A297" t="s">
        <v>309</v>
      </c>
      <c r="B297">
        <v>2001</v>
      </c>
      <c r="C297" t="s">
        <v>170</v>
      </c>
      <c r="D297" t="s">
        <v>3</v>
      </c>
      <c r="E297" t="s">
        <v>85</v>
      </c>
      <c r="F297" t="str">
        <f>_xlfn.XLOOKUP(Cleaned_MLB_Stats_Dataset__1[[#This Row],[Position'#]],$B$373:$B$382,$A$373:$A$382)</f>
        <v>3B</v>
      </c>
      <c r="G297">
        <v>5</v>
      </c>
      <c r="H297">
        <v>572</v>
      </c>
      <c r="I297">
        <v>189</v>
      </c>
      <c r="J297">
        <v>33</v>
      </c>
      <c r="K297">
        <v>5</v>
      </c>
      <c r="L297">
        <v>38</v>
      </c>
      <c r="M297">
        <v>113</v>
      </c>
      <c r="N297">
        <v>102</v>
      </c>
      <c r="O297">
        <v>82</v>
      </c>
      <c r="P297">
        <v>98</v>
      </c>
      <c r="Q297">
        <v>20</v>
      </c>
      <c r="R297">
        <v>2</v>
      </c>
      <c r="S297">
        <v>5</v>
      </c>
      <c r="T297">
        <v>0</v>
      </c>
      <c r="U297" s="6">
        <f>Cleaned_MLB_Stats_Dataset__1[[#This Row],[Hits]]/Cleaned_MLB_Stats_Dataset__1[[#This Row],[At Bats]]</f>
        <v>0.33041958041958042</v>
      </c>
      <c r="V297" s="6">
        <f>Cleaned_MLB_Stats_Dataset__1[[#This Row],[Strikeouts]]/(Cleaned_MLB_Stats_Dataset__1[[#This Row],[At Bats]]+Cleaned_MLB_Stats_Dataset__1[[#This Row],[Walks]])</f>
        <v>0.12238805970149254</v>
      </c>
      <c r="W29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0.14880952380952381</v>
      </c>
      <c r="X29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0.42688330871491875</v>
      </c>
      <c r="Y29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0.6048951048951049</v>
      </c>
      <c r="Z297" s="6">
        <f>Cleaned_MLB_Stats_Dataset__1[[#This Row],[On Base Percentage]]+Cleaned_MLB_Stats_Dataset__1[[#This Row],[Slugging %]]</f>
        <v>1.0317784136100236</v>
      </c>
      <c r="AA297" s="6">
        <f>Cleaned_MLB_Stats_Dataset__1[[#This Row],[Slugging %]]-Cleaned_MLB_Stats_Dataset__1[[#This Row],[Batting Average]]</f>
        <v>0.27447552447552448</v>
      </c>
      <c r="AB297" s="6">
        <f>Cleaned_MLB_Stats_Dataset__1[[#This Row],[Batting Average]]-_xlfn.XLOOKUP(Cleaned_MLB_Stats_Dataset__1[[#This Row],[Year]],'League Averages'!$A$3:$A$23,'League Averages'!$B$3:$B$23)</f>
        <v>6.6419580419580404E-2</v>
      </c>
      <c r="AC297" s="6">
        <f>Cleaned_MLB_Stats_Dataset__1[[#This Row],[On Base Percentage]]-_xlfn.XLOOKUP(Cleaned_MLB_Stats_Dataset__1[[#This Row],[Year]],'League Averages'!$A$3:$A$23,'League Averages'!$C$3:$C$23)</f>
        <v>9.4883308714918735E-2</v>
      </c>
      <c r="AD297" s="6">
        <f>Cleaned_MLB_Stats_Dataset__1[[#This Row],[Slugging %]]-_xlfn.XLOOKUP(Cleaned_MLB_Stats_Dataset__1[[#This Row],[Year]],'League Averages'!$A$3:$A$23,'League Averages'!$D$3:$D$23)</f>
        <v>0.17789510489510491</v>
      </c>
      <c r="AE297" s="6">
        <f>Cleaned_MLB_Stats_Dataset__1[[#This Row],[OPS (On Base + Slugging)]]-_xlfn.XLOOKUP(Cleaned_MLB_Stats_Dataset__1[[#This Row],[Year]],'League Averages'!$A$3:$A$23,'League Averages'!$E$3:$E$23)</f>
        <v>0.27277841361002364</v>
      </c>
      <c r="AF297" s="6">
        <f>Cleaned_MLB_Stats_Dataset__1[[#This Row],[ISO (Isolated Power]]-_xlfn.XLOOKUP(Cleaned_MLB_Stats_Dataset__1[[#This Row],[Year]],'League Averages'!$A$3:$A$23,'League Averages'!$F$3:$F$23)</f>
        <v>0.11147552447552447</v>
      </c>
    </row>
    <row r="298" spans="1:32" x14ac:dyDescent="0.2">
      <c r="A298" t="s">
        <v>309</v>
      </c>
      <c r="B298">
        <v>2000</v>
      </c>
      <c r="C298" t="s">
        <v>127</v>
      </c>
      <c r="D298" t="s">
        <v>6</v>
      </c>
      <c r="E298" t="s">
        <v>66</v>
      </c>
      <c r="F298" t="str">
        <f>_xlfn.XLOOKUP(Cleaned_MLB_Stats_Dataset__1[[#This Row],[Position'#]],$B$373:$B$382,$A$373:$A$382)</f>
        <v>2B</v>
      </c>
      <c r="G298">
        <v>4</v>
      </c>
      <c r="H298">
        <v>610</v>
      </c>
      <c r="I298">
        <v>189</v>
      </c>
      <c r="J298">
        <v>40</v>
      </c>
      <c r="K298">
        <v>2</v>
      </c>
      <c r="L298">
        <v>19</v>
      </c>
      <c r="M298">
        <v>111</v>
      </c>
      <c r="N298">
        <v>89</v>
      </c>
      <c r="O298">
        <v>82</v>
      </c>
      <c r="P298">
        <v>64</v>
      </c>
      <c r="Q298">
        <v>4</v>
      </c>
      <c r="R298">
        <v>6</v>
      </c>
      <c r="S298">
        <v>6</v>
      </c>
      <c r="T298">
        <v>11</v>
      </c>
      <c r="U298" s="6">
        <f>Cleaned_MLB_Stats_Dataset__1[[#This Row],[Hits]]/Cleaned_MLB_Stats_Dataset__1[[#This Row],[At Bats]]</f>
        <v>0.30983606557377047</v>
      </c>
      <c r="V298" s="6">
        <f>Cleaned_MLB_Stats_Dataset__1[[#This Row],[Strikeouts]]/(Cleaned_MLB_Stats_Dataset__1[[#This Row],[At Bats]]+Cleaned_MLB_Stats_Dataset__1[[#This Row],[Walks]])</f>
        <v>0.12166172106824925</v>
      </c>
      <c r="W29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0.10294117647058823</v>
      </c>
      <c r="X29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0.37755102040816324</v>
      </c>
      <c r="Y29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0.47540983606557374</v>
      </c>
      <c r="Z298" s="6">
        <f>Cleaned_MLB_Stats_Dataset__1[[#This Row],[On Base Percentage]]+Cleaned_MLB_Stats_Dataset__1[[#This Row],[Slugging %]]</f>
        <v>0.85296085647373698</v>
      </c>
      <c r="AA298" s="6">
        <f>Cleaned_MLB_Stats_Dataset__1[[#This Row],[Slugging %]]-Cleaned_MLB_Stats_Dataset__1[[#This Row],[Batting Average]]</f>
        <v>0.16557377049180327</v>
      </c>
      <c r="AB298" s="6">
        <f>Cleaned_MLB_Stats_Dataset__1[[#This Row],[Batting Average]]-_xlfn.XLOOKUP(Cleaned_MLB_Stats_Dataset__1[[#This Row],[Year]],'League Averages'!$A$3:$A$23,'League Averages'!$B$3:$B$23)</f>
        <v>3.9836065573770452E-2</v>
      </c>
      <c r="AC298" s="6">
        <f>Cleaned_MLB_Stats_Dataset__1[[#This Row],[On Base Percentage]]-_xlfn.XLOOKUP(Cleaned_MLB_Stats_Dataset__1[[#This Row],[Year]],'League Averages'!$A$3:$A$23,'League Averages'!$C$3:$C$23)</f>
        <v>3.2551020408163267E-2</v>
      </c>
      <c r="AD298" s="6">
        <f>Cleaned_MLB_Stats_Dataset__1[[#This Row],[Slugging %]]-_xlfn.XLOOKUP(Cleaned_MLB_Stats_Dataset__1[[#This Row],[Year]],'League Averages'!$A$3:$A$23,'League Averages'!$D$3:$D$23)</f>
        <v>3.8409836065573744E-2</v>
      </c>
      <c r="AE298" s="6">
        <f>Cleaned_MLB_Stats_Dataset__1[[#This Row],[OPS (On Base + Slugging)]]-_xlfn.XLOOKUP(Cleaned_MLB_Stats_Dataset__1[[#This Row],[Year]],'League Averages'!$A$3:$A$23,'League Averages'!$E$3:$E$23)</f>
        <v>7.0960856473736955E-2</v>
      </c>
      <c r="AF298" s="6">
        <f>Cleaned_MLB_Stats_Dataset__1[[#This Row],[ISO (Isolated Power]]-_xlfn.XLOOKUP(Cleaned_MLB_Stats_Dataset__1[[#This Row],[Year]],'League Averages'!$A$3:$A$23,'League Averages'!$F$3:$F$23)</f>
        <v>-1.4262295081967358E-3</v>
      </c>
    </row>
    <row r="299" spans="1:32" x14ac:dyDescent="0.2">
      <c r="A299" t="s">
        <v>309</v>
      </c>
      <c r="B299">
        <v>2001</v>
      </c>
      <c r="C299" t="s">
        <v>174</v>
      </c>
      <c r="D299" t="s">
        <v>3</v>
      </c>
      <c r="E299" t="s">
        <v>79</v>
      </c>
      <c r="F299" t="str">
        <f>_xlfn.XLOOKUP(Cleaned_MLB_Stats_Dataset__1[[#This Row],[Position'#]],$B$373:$B$382,$A$373:$A$382)</f>
        <v>SS</v>
      </c>
      <c r="G299">
        <v>6</v>
      </c>
      <c r="H299">
        <v>636</v>
      </c>
      <c r="I299">
        <v>206</v>
      </c>
      <c r="J299">
        <v>37</v>
      </c>
      <c r="K299">
        <v>5</v>
      </c>
      <c r="L299">
        <v>37</v>
      </c>
      <c r="M299">
        <v>114</v>
      </c>
      <c r="N299">
        <v>97</v>
      </c>
      <c r="O299">
        <v>83</v>
      </c>
      <c r="P299">
        <v>47</v>
      </c>
      <c r="Q299">
        <v>2</v>
      </c>
      <c r="R299">
        <v>0</v>
      </c>
      <c r="S299">
        <v>3</v>
      </c>
      <c r="T299">
        <v>3</v>
      </c>
      <c r="U299" s="6">
        <f>Cleaned_MLB_Stats_Dataset__1[[#This Row],[Hits]]/Cleaned_MLB_Stats_Dataset__1[[#This Row],[At Bats]]</f>
        <v>0.32389937106918237</v>
      </c>
      <c r="V299" s="6">
        <f>Cleaned_MLB_Stats_Dataset__1[[#This Row],[Strikeouts]]/(Cleaned_MLB_Stats_Dataset__1[[#This Row],[At Bats]]+Cleaned_MLB_Stats_Dataset__1[[#This Row],[Walks]])</f>
        <v>0.12152269399707175</v>
      </c>
      <c r="W29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6.8814055636896049E-2</v>
      </c>
      <c r="X29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0.36880466472303208</v>
      </c>
      <c r="Y29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0.57232704402515722</v>
      </c>
      <c r="Z299" s="6">
        <f>Cleaned_MLB_Stats_Dataset__1[[#This Row],[On Base Percentage]]+Cleaned_MLB_Stats_Dataset__1[[#This Row],[Slugging %]]</f>
        <v>0.9411317087481893</v>
      </c>
      <c r="AA299" s="6">
        <f>Cleaned_MLB_Stats_Dataset__1[[#This Row],[Slugging %]]-Cleaned_MLB_Stats_Dataset__1[[#This Row],[Batting Average]]</f>
        <v>0.24842767295597484</v>
      </c>
      <c r="AB299" s="6">
        <f>Cleaned_MLB_Stats_Dataset__1[[#This Row],[Batting Average]]-_xlfn.XLOOKUP(Cleaned_MLB_Stats_Dataset__1[[#This Row],[Year]],'League Averages'!$A$3:$A$23,'League Averages'!$B$3:$B$23)</f>
        <v>5.9899371069182361E-2</v>
      </c>
      <c r="AC299" s="6">
        <f>Cleaned_MLB_Stats_Dataset__1[[#This Row],[On Base Percentage]]-_xlfn.XLOOKUP(Cleaned_MLB_Stats_Dataset__1[[#This Row],[Year]],'League Averages'!$A$3:$A$23,'League Averages'!$C$3:$C$23)</f>
        <v>3.6804664723032066E-2</v>
      </c>
      <c r="AD299" s="6">
        <f>Cleaned_MLB_Stats_Dataset__1[[#This Row],[Slugging %]]-_xlfn.XLOOKUP(Cleaned_MLB_Stats_Dataset__1[[#This Row],[Year]],'League Averages'!$A$3:$A$23,'League Averages'!$D$3:$D$23)</f>
        <v>0.14532704402515723</v>
      </c>
      <c r="AE299" s="6">
        <f>Cleaned_MLB_Stats_Dataset__1[[#This Row],[OPS (On Base + Slugging)]]-_xlfn.XLOOKUP(Cleaned_MLB_Stats_Dataset__1[[#This Row],[Year]],'League Averages'!$A$3:$A$23,'League Averages'!$E$3:$E$23)</f>
        <v>0.18213170874818929</v>
      </c>
      <c r="AF299" s="6">
        <f>Cleaned_MLB_Stats_Dataset__1[[#This Row],[ISO (Isolated Power]]-_xlfn.XLOOKUP(Cleaned_MLB_Stats_Dataset__1[[#This Row],[Year]],'League Averages'!$A$3:$A$23,'League Averages'!$F$3:$F$23)</f>
        <v>8.5427672955974837E-2</v>
      </c>
    </row>
    <row r="300" spans="1:32" x14ac:dyDescent="0.2">
      <c r="A300" t="s">
        <v>309</v>
      </c>
      <c r="B300">
        <v>1998</v>
      </c>
      <c r="C300" t="s">
        <v>163</v>
      </c>
      <c r="D300" t="s">
        <v>3</v>
      </c>
      <c r="E300" t="s">
        <v>83</v>
      </c>
      <c r="F300" t="str">
        <f>_xlfn.XLOOKUP(Cleaned_MLB_Stats_Dataset__1[[#This Row],[Position'#]],$B$373:$B$382,$A$373:$A$382)</f>
        <v>C</v>
      </c>
      <c r="G300">
        <v>2</v>
      </c>
      <c r="H300">
        <v>394</v>
      </c>
      <c r="I300">
        <v>137</v>
      </c>
      <c r="J300">
        <v>33</v>
      </c>
      <c r="K300">
        <v>0</v>
      </c>
      <c r="L300">
        <v>23</v>
      </c>
      <c r="M300">
        <v>67</v>
      </c>
      <c r="N300">
        <v>76</v>
      </c>
      <c r="O300">
        <v>53</v>
      </c>
      <c r="P300">
        <v>47</v>
      </c>
      <c r="Q300">
        <v>10</v>
      </c>
      <c r="R300">
        <v>2</v>
      </c>
      <c r="S300">
        <v>3</v>
      </c>
      <c r="T300">
        <v>0</v>
      </c>
      <c r="U300" s="6">
        <f>Cleaned_MLB_Stats_Dataset__1[[#This Row],[Hits]]/Cleaned_MLB_Stats_Dataset__1[[#This Row],[At Bats]]</f>
        <v>0.34771573604060912</v>
      </c>
      <c r="V300" s="6">
        <f>Cleaned_MLB_Stats_Dataset__1[[#This Row],[Strikeouts]]/(Cleaned_MLB_Stats_Dataset__1[[#This Row],[At Bats]]+Cleaned_MLB_Stats_Dataset__1[[#This Row],[Walks]])</f>
        <v>0.12018140589569161</v>
      </c>
      <c r="W30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0.11060948081264109</v>
      </c>
      <c r="X30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0.4170403587443946</v>
      </c>
      <c r="Y30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0.60659898477157359</v>
      </c>
      <c r="Z300" s="6">
        <f>Cleaned_MLB_Stats_Dataset__1[[#This Row],[On Base Percentage]]+Cleaned_MLB_Stats_Dataset__1[[#This Row],[Slugging %]]</f>
        <v>1.0236393435159683</v>
      </c>
      <c r="AA300" s="6">
        <f>Cleaned_MLB_Stats_Dataset__1[[#This Row],[Slugging %]]-Cleaned_MLB_Stats_Dataset__1[[#This Row],[Batting Average]]</f>
        <v>0.25888324873096447</v>
      </c>
      <c r="AB300" s="6">
        <f>Cleaned_MLB_Stats_Dataset__1[[#This Row],[Batting Average]]-_xlfn.XLOOKUP(Cleaned_MLB_Stats_Dataset__1[[#This Row],[Year]],'League Averages'!$A$3:$A$23,'League Averages'!$B$3:$B$23)</f>
        <v>8.171573604060911E-2</v>
      </c>
      <c r="AC300" s="6">
        <f>Cleaned_MLB_Stats_Dataset__1[[#This Row],[On Base Percentage]]-_xlfn.XLOOKUP(Cleaned_MLB_Stats_Dataset__1[[#This Row],[Year]],'League Averages'!$A$3:$A$23,'League Averages'!$C$3:$C$23)</f>
        <v>8.2040358744394581E-2</v>
      </c>
      <c r="AD300" s="6">
        <f>Cleaned_MLB_Stats_Dataset__1[[#This Row],[Slugging %]]-_xlfn.XLOOKUP(Cleaned_MLB_Stats_Dataset__1[[#This Row],[Year]],'League Averages'!$A$3:$A$23,'League Averages'!$D$3:$D$23)</f>
        <v>0.18659898477157361</v>
      </c>
      <c r="AE300" s="6">
        <f>Cleaned_MLB_Stats_Dataset__1[[#This Row],[OPS (On Base + Slugging)]]-_xlfn.XLOOKUP(Cleaned_MLB_Stats_Dataset__1[[#This Row],[Year]],'League Averages'!$A$3:$A$23,'League Averages'!$E$3:$E$23)</f>
        <v>0.2686393435159683</v>
      </c>
      <c r="AF300" s="6">
        <f>Cleaned_MLB_Stats_Dataset__1[[#This Row],[ISO (Isolated Power]]-_xlfn.XLOOKUP(Cleaned_MLB_Stats_Dataset__1[[#This Row],[Year]],'League Averages'!$A$3:$A$23,'League Averages'!$F$3:$F$23)</f>
        <v>0.10488324873096447</v>
      </c>
    </row>
    <row r="301" spans="1:32" x14ac:dyDescent="0.2">
      <c r="A301" t="s">
        <v>309</v>
      </c>
      <c r="B301">
        <v>1994</v>
      </c>
      <c r="C301" t="s">
        <v>151</v>
      </c>
      <c r="D301" t="s">
        <v>6</v>
      </c>
      <c r="E301" t="s">
        <v>69</v>
      </c>
      <c r="F301" t="str">
        <f>_xlfn.XLOOKUP(Cleaned_MLB_Stats_Dataset__1[[#This Row],[Position'#]],$B$373:$B$382,$A$373:$A$382)</f>
        <v>1B</v>
      </c>
      <c r="G301">
        <v>3</v>
      </c>
      <c r="H301">
        <v>399</v>
      </c>
      <c r="I301">
        <v>141</v>
      </c>
      <c r="J301">
        <v>34</v>
      </c>
      <c r="K301">
        <v>1</v>
      </c>
      <c r="L301">
        <v>38</v>
      </c>
      <c r="M301">
        <v>106</v>
      </c>
      <c r="N301">
        <v>101</v>
      </c>
      <c r="O301">
        <v>61</v>
      </c>
      <c r="P301">
        <v>109</v>
      </c>
      <c r="Q301">
        <v>12</v>
      </c>
      <c r="R301">
        <v>2</v>
      </c>
      <c r="S301">
        <v>7</v>
      </c>
      <c r="T301">
        <v>0</v>
      </c>
      <c r="U301" s="6">
        <f>Cleaned_MLB_Stats_Dataset__1[[#This Row],[Hits]]/Cleaned_MLB_Stats_Dataset__1[[#This Row],[At Bats]]</f>
        <v>0.35338345864661652</v>
      </c>
      <c r="V301" s="6">
        <f>Cleaned_MLB_Stats_Dataset__1[[#This Row],[Strikeouts]]/(Cleaned_MLB_Stats_Dataset__1[[#This Row],[At Bats]]+Cleaned_MLB_Stats_Dataset__1[[#This Row],[Walks]])</f>
        <v>0.12007874015748031</v>
      </c>
      <c r="W30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0.21764705882352942</v>
      </c>
      <c r="X30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0.4874274661508704</v>
      </c>
      <c r="Y30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0.72932330827067671</v>
      </c>
      <c r="Z301" s="6">
        <f>Cleaned_MLB_Stats_Dataset__1[[#This Row],[On Base Percentage]]+Cleaned_MLB_Stats_Dataset__1[[#This Row],[Slugging %]]</f>
        <v>1.2167507744215471</v>
      </c>
      <c r="AA301" s="6">
        <f>Cleaned_MLB_Stats_Dataset__1[[#This Row],[Slugging %]]-Cleaned_MLB_Stats_Dataset__1[[#This Row],[Batting Average]]</f>
        <v>0.37593984962406019</v>
      </c>
      <c r="AB301" s="6">
        <f>Cleaned_MLB_Stats_Dataset__1[[#This Row],[Batting Average]]-_xlfn.XLOOKUP(Cleaned_MLB_Stats_Dataset__1[[#This Row],[Year]],'League Averages'!$A$3:$A$23,'League Averages'!$B$3:$B$23)</f>
        <v>8.3383458646616504E-2</v>
      </c>
      <c r="AC301" s="6">
        <f>Cleaned_MLB_Stats_Dataset__1[[#This Row],[On Base Percentage]]-_xlfn.XLOOKUP(Cleaned_MLB_Stats_Dataset__1[[#This Row],[Year]],'League Averages'!$A$3:$A$23,'League Averages'!$C$3:$C$23)</f>
        <v>0.14842746615087038</v>
      </c>
      <c r="AD301" s="6">
        <f>Cleaned_MLB_Stats_Dataset__1[[#This Row],[Slugging %]]-_xlfn.XLOOKUP(Cleaned_MLB_Stats_Dataset__1[[#This Row],[Year]],'League Averages'!$A$3:$A$23,'League Averages'!$D$3:$D$23)</f>
        <v>0.30532330827067672</v>
      </c>
      <c r="AE301" s="6">
        <f>Cleaned_MLB_Stats_Dataset__1[[#This Row],[OPS (On Base + Slugging)]]-_xlfn.XLOOKUP(Cleaned_MLB_Stats_Dataset__1[[#This Row],[Year]],'League Averages'!$A$3:$A$23,'League Averages'!$E$3:$E$23)</f>
        <v>0.4537507744215471</v>
      </c>
      <c r="AF301" s="6">
        <f>Cleaned_MLB_Stats_Dataset__1[[#This Row],[ISO (Isolated Power]]-_xlfn.XLOOKUP(Cleaned_MLB_Stats_Dataset__1[[#This Row],[Year]],'League Averages'!$A$3:$A$23,'League Averages'!$F$3:$F$23)</f>
        <v>0.22193984962406019</v>
      </c>
    </row>
    <row r="302" spans="1:32" x14ac:dyDescent="0.2">
      <c r="A302" t="s">
        <v>309</v>
      </c>
      <c r="B302">
        <v>2000</v>
      </c>
      <c r="C302" t="s">
        <v>188</v>
      </c>
      <c r="D302" t="s">
        <v>3</v>
      </c>
      <c r="E302" t="s">
        <v>46</v>
      </c>
      <c r="F302" t="str">
        <f>_xlfn.XLOOKUP(Cleaned_MLB_Stats_Dataset__1[[#This Row],[Position'#]],$B$373:$B$382,$A$373:$A$382)</f>
        <v>C</v>
      </c>
      <c r="G302">
        <v>2</v>
      </c>
      <c r="H302">
        <v>579</v>
      </c>
      <c r="I302">
        <v>185</v>
      </c>
      <c r="J302">
        <v>33</v>
      </c>
      <c r="K302">
        <v>6</v>
      </c>
      <c r="L302">
        <v>14</v>
      </c>
      <c r="M302">
        <v>112</v>
      </c>
      <c r="N302">
        <v>58</v>
      </c>
      <c r="O302">
        <v>79</v>
      </c>
      <c r="P302">
        <v>79</v>
      </c>
      <c r="Q302">
        <v>3</v>
      </c>
      <c r="R302">
        <v>15</v>
      </c>
      <c r="S302">
        <v>4</v>
      </c>
      <c r="T302">
        <v>1</v>
      </c>
      <c r="U302" s="6">
        <f>Cleaned_MLB_Stats_Dataset__1[[#This Row],[Hits]]/Cleaned_MLB_Stats_Dataset__1[[#This Row],[At Bats]]</f>
        <v>0.31951640759930916</v>
      </c>
      <c r="V302" s="6">
        <f>Cleaned_MLB_Stats_Dataset__1[[#This Row],[Strikeouts]]/(Cleaned_MLB_Stats_Dataset__1[[#This Row],[At Bats]]+Cleaned_MLB_Stats_Dataset__1[[#This Row],[Walks]])</f>
        <v>0.12006079027355623</v>
      </c>
      <c r="W30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0.13967310549777118</v>
      </c>
      <c r="X30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0.41211225997045792</v>
      </c>
      <c r="Y30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0.46977547495682209</v>
      </c>
      <c r="Z302" s="6">
        <f>Cleaned_MLB_Stats_Dataset__1[[#This Row],[On Base Percentage]]+Cleaned_MLB_Stats_Dataset__1[[#This Row],[Slugging %]]</f>
        <v>0.88188773492728001</v>
      </c>
      <c r="AA302" s="6">
        <f>Cleaned_MLB_Stats_Dataset__1[[#This Row],[Slugging %]]-Cleaned_MLB_Stats_Dataset__1[[#This Row],[Batting Average]]</f>
        <v>0.15025906735751293</v>
      </c>
      <c r="AB302" s="6">
        <f>Cleaned_MLB_Stats_Dataset__1[[#This Row],[Batting Average]]-_xlfn.XLOOKUP(Cleaned_MLB_Stats_Dataset__1[[#This Row],[Year]],'League Averages'!$A$3:$A$23,'League Averages'!$B$3:$B$23)</f>
        <v>4.9516407599309142E-2</v>
      </c>
      <c r="AC302" s="6">
        <f>Cleaned_MLB_Stats_Dataset__1[[#This Row],[On Base Percentage]]-_xlfn.XLOOKUP(Cleaned_MLB_Stats_Dataset__1[[#This Row],[Year]],'League Averages'!$A$3:$A$23,'League Averages'!$C$3:$C$23)</f>
        <v>6.7112259970457944E-2</v>
      </c>
      <c r="AD302" s="6">
        <f>Cleaned_MLB_Stats_Dataset__1[[#This Row],[Slugging %]]-_xlfn.XLOOKUP(Cleaned_MLB_Stats_Dataset__1[[#This Row],[Year]],'League Averages'!$A$3:$A$23,'League Averages'!$D$3:$D$23)</f>
        <v>3.2775474956822093E-2</v>
      </c>
      <c r="AE302" s="6">
        <f>Cleaned_MLB_Stats_Dataset__1[[#This Row],[OPS (On Base + Slugging)]]-_xlfn.XLOOKUP(Cleaned_MLB_Stats_Dataset__1[[#This Row],[Year]],'League Averages'!$A$3:$A$23,'League Averages'!$E$3:$E$23)</f>
        <v>9.9887734927279981E-2</v>
      </c>
      <c r="AF302" s="6">
        <f>Cleaned_MLB_Stats_Dataset__1[[#This Row],[ISO (Isolated Power]]-_xlfn.XLOOKUP(Cleaned_MLB_Stats_Dataset__1[[#This Row],[Year]],'League Averages'!$A$3:$A$23,'League Averages'!$F$3:$F$23)</f>
        <v>-1.6740932642487077E-2</v>
      </c>
    </row>
    <row r="303" spans="1:32" x14ac:dyDescent="0.2">
      <c r="A303" t="s">
        <v>309</v>
      </c>
      <c r="B303">
        <v>1999</v>
      </c>
      <c r="C303" t="s">
        <v>163</v>
      </c>
      <c r="D303" t="s">
        <v>3</v>
      </c>
      <c r="E303" t="s">
        <v>83</v>
      </c>
      <c r="F303" t="str">
        <f>_xlfn.XLOOKUP(Cleaned_MLB_Stats_Dataset__1[[#This Row],[Position'#]],$B$373:$B$382,$A$373:$A$382)</f>
        <v>C</v>
      </c>
      <c r="G303">
        <v>2</v>
      </c>
      <c r="H303">
        <v>534</v>
      </c>
      <c r="I303">
        <v>162</v>
      </c>
      <c r="J303">
        <v>25</v>
      </c>
      <c r="K303">
        <v>0</v>
      </c>
      <c r="L303">
        <v>40</v>
      </c>
      <c r="M303">
        <v>100</v>
      </c>
      <c r="N303">
        <v>124</v>
      </c>
      <c r="O303">
        <v>70</v>
      </c>
      <c r="P303">
        <v>51</v>
      </c>
      <c r="Q303">
        <v>11</v>
      </c>
      <c r="R303">
        <v>1</v>
      </c>
      <c r="S303">
        <v>7</v>
      </c>
      <c r="T303">
        <v>0</v>
      </c>
      <c r="U303" s="6">
        <f>Cleaned_MLB_Stats_Dataset__1[[#This Row],[Hits]]/Cleaned_MLB_Stats_Dataset__1[[#This Row],[At Bats]]</f>
        <v>0.30337078651685395</v>
      </c>
      <c r="V303" s="6">
        <f>Cleaned_MLB_Stats_Dataset__1[[#This Row],[Strikeouts]]/(Cleaned_MLB_Stats_Dataset__1[[#This Row],[At Bats]]+Cleaned_MLB_Stats_Dataset__1[[#This Row],[Walks]])</f>
        <v>0.11965811965811966</v>
      </c>
      <c r="W30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8.8737201365187715E-2</v>
      </c>
      <c r="X30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0.36087689713322091</v>
      </c>
      <c r="Y30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0.57490636704119846</v>
      </c>
      <c r="Z303" s="6">
        <f>Cleaned_MLB_Stats_Dataset__1[[#This Row],[On Base Percentage]]+Cleaned_MLB_Stats_Dataset__1[[#This Row],[Slugging %]]</f>
        <v>0.93578326417441937</v>
      </c>
      <c r="AA303" s="6">
        <f>Cleaned_MLB_Stats_Dataset__1[[#This Row],[Slugging %]]-Cleaned_MLB_Stats_Dataset__1[[#This Row],[Batting Average]]</f>
        <v>0.27153558052434451</v>
      </c>
      <c r="AB303" s="6">
        <f>Cleaned_MLB_Stats_Dataset__1[[#This Row],[Batting Average]]-_xlfn.XLOOKUP(Cleaned_MLB_Stats_Dataset__1[[#This Row],[Year]],'League Averages'!$A$3:$A$23,'League Averages'!$B$3:$B$23)</f>
        <v>3.2370786516853933E-2</v>
      </c>
      <c r="AC303" s="6">
        <f>Cleaned_MLB_Stats_Dataset__1[[#This Row],[On Base Percentage]]-_xlfn.XLOOKUP(Cleaned_MLB_Stats_Dataset__1[[#This Row],[Year]],'League Averages'!$A$3:$A$23,'League Averages'!$C$3:$C$23)</f>
        <v>1.5876897133220935E-2</v>
      </c>
      <c r="AD303" s="6">
        <f>Cleaned_MLB_Stats_Dataset__1[[#This Row],[Slugging %]]-_xlfn.XLOOKUP(Cleaned_MLB_Stats_Dataset__1[[#This Row],[Year]],'League Averages'!$A$3:$A$23,'League Averages'!$D$3:$D$23)</f>
        <v>0.14090636704119847</v>
      </c>
      <c r="AE303" s="6">
        <f>Cleaned_MLB_Stats_Dataset__1[[#This Row],[OPS (On Base + Slugging)]]-_xlfn.XLOOKUP(Cleaned_MLB_Stats_Dataset__1[[#This Row],[Year]],'League Averages'!$A$3:$A$23,'League Averages'!$E$3:$E$23)</f>
        <v>0.15778326417441935</v>
      </c>
      <c r="AF303" s="6">
        <f>Cleaned_MLB_Stats_Dataset__1[[#This Row],[ISO (Isolated Power]]-_xlfn.XLOOKUP(Cleaned_MLB_Stats_Dataset__1[[#This Row],[Year]],'League Averages'!$A$3:$A$23,'League Averages'!$F$3:$F$23)</f>
        <v>0.1085355805243445</v>
      </c>
    </row>
    <row r="304" spans="1:32" x14ac:dyDescent="0.2">
      <c r="A304" t="s">
        <v>309</v>
      </c>
      <c r="B304">
        <v>1993</v>
      </c>
      <c r="C304" t="s">
        <v>110</v>
      </c>
      <c r="D304" t="s">
        <v>3</v>
      </c>
      <c r="E304" t="s">
        <v>79</v>
      </c>
      <c r="F304" t="str">
        <f>_xlfn.XLOOKUP(Cleaned_MLB_Stats_Dataset__1[[#This Row],[Position'#]],$B$373:$B$382,$A$373:$A$382)</f>
        <v>LF</v>
      </c>
      <c r="G304">
        <v>7</v>
      </c>
      <c r="H304">
        <v>539</v>
      </c>
      <c r="I304">
        <v>181</v>
      </c>
      <c r="J304">
        <v>38</v>
      </c>
      <c r="K304">
        <v>4</v>
      </c>
      <c r="L304">
        <v>46</v>
      </c>
      <c r="M304">
        <v>129</v>
      </c>
      <c r="N304">
        <v>123</v>
      </c>
      <c r="O304">
        <v>79</v>
      </c>
      <c r="P304">
        <v>126</v>
      </c>
      <c r="Q304">
        <v>43</v>
      </c>
      <c r="R304">
        <v>2</v>
      </c>
      <c r="S304">
        <v>7</v>
      </c>
      <c r="T304">
        <v>0</v>
      </c>
      <c r="U304" s="6">
        <f>Cleaned_MLB_Stats_Dataset__1[[#This Row],[Hits]]/Cleaned_MLB_Stats_Dataset__1[[#This Row],[At Bats]]</f>
        <v>0.3358070500927644</v>
      </c>
      <c r="V304" s="6">
        <f>Cleaned_MLB_Stats_Dataset__1[[#This Row],[Strikeouts]]/(Cleaned_MLB_Stats_Dataset__1[[#This Row],[At Bats]]+Cleaned_MLB_Stats_Dataset__1[[#This Row],[Walks]])</f>
        <v>0.11879699248120301</v>
      </c>
      <c r="W30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0.19190404797601199</v>
      </c>
      <c r="X30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0.45845697329376855</v>
      </c>
      <c r="Y30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0.67717996289424864</v>
      </c>
      <c r="Z304" s="6">
        <f>Cleaned_MLB_Stats_Dataset__1[[#This Row],[On Base Percentage]]+Cleaned_MLB_Stats_Dataset__1[[#This Row],[Slugging %]]</f>
        <v>1.1356369361880172</v>
      </c>
      <c r="AA304" s="6">
        <f>Cleaned_MLB_Stats_Dataset__1[[#This Row],[Slugging %]]-Cleaned_MLB_Stats_Dataset__1[[#This Row],[Batting Average]]</f>
        <v>0.34137291280148424</v>
      </c>
      <c r="AB304" s="6">
        <f>Cleaned_MLB_Stats_Dataset__1[[#This Row],[Batting Average]]-_xlfn.XLOOKUP(Cleaned_MLB_Stats_Dataset__1[[#This Row],[Year]],'League Averages'!$A$3:$A$23,'League Averages'!$B$3:$B$23)</f>
        <v>7.080705009276439E-2</v>
      </c>
      <c r="AC304" s="6">
        <f>Cleaned_MLB_Stats_Dataset__1[[#This Row],[On Base Percentage]]-_xlfn.XLOOKUP(Cleaned_MLB_Stats_Dataset__1[[#This Row],[Year]],'League Averages'!$A$3:$A$23,'League Averages'!$C$3:$C$23)</f>
        <v>0.12645697329376854</v>
      </c>
      <c r="AD304" s="6">
        <f>Cleaned_MLB_Stats_Dataset__1[[#This Row],[Slugging %]]-_xlfn.XLOOKUP(Cleaned_MLB_Stats_Dataset__1[[#This Row],[Year]],'League Averages'!$A$3:$A$23,'League Averages'!$D$3:$D$23)</f>
        <v>0.27417996289424862</v>
      </c>
      <c r="AE304" s="6">
        <f>Cleaned_MLB_Stats_Dataset__1[[#This Row],[OPS (On Base + Slugging)]]-_xlfn.XLOOKUP(Cleaned_MLB_Stats_Dataset__1[[#This Row],[Year]],'League Averages'!$A$3:$A$23,'League Averages'!$E$3:$E$23)</f>
        <v>0.39963693618801721</v>
      </c>
      <c r="AF304" s="6">
        <f>Cleaned_MLB_Stats_Dataset__1[[#This Row],[ISO (Isolated Power]]-_xlfn.XLOOKUP(Cleaned_MLB_Stats_Dataset__1[[#This Row],[Year]],'League Averages'!$A$3:$A$23,'League Averages'!$F$3:$F$23)</f>
        <v>0.20337291280148423</v>
      </c>
    </row>
    <row r="305" spans="1:32" x14ac:dyDescent="0.2">
      <c r="A305" t="s">
        <v>309</v>
      </c>
      <c r="B305">
        <v>1998</v>
      </c>
      <c r="C305" t="s">
        <v>144</v>
      </c>
      <c r="D305" t="s">
        <v>3</v>
      </c>
      <c r="E305" t="s">
        <v>164</v>
      </c>
      <c r="F305" t="str">
        <f>_xlfn.XLOOKUP(Cleaned_MLB_Stats_Dataset__1[[#This Row],[Position'#]],$B$373:$B$382,$A$373:$A$382)</f>
        <v>CF</v>
      </c>
      <c r="G305">
        <v>8</v>
      </c>
      <c r="H305">
        <v>454</v>
      </c>
      <c r="I305">
        <v>165</v>
      </c>
      <c r="J305">
        <v>46</v>
      </c>
      <c r="K305">
        <v>3</v>
      </c>
      <c r="L305">
        <v>23</v>
      </c>
      <c r="M305">
        <v>113</v>
      </c>
      <c r="N305">
        <v>67</v>
      </c>
      <c r="O305">
        <v>61</v>
      </c>
      <c r="P305">
        <v>64</v>
      </c>
      <c r="Q305">
        <v>2</v>
      </c>
      <c r="R305">
        <v>4</v>
      </c>
      <c r="S305">
        <v>2</v>
      </c>
      <c r="T305">
        <v>0</v>
      </c>
      <c r="U305" s="6">
        <f>Cleaned_MLB_Stats_Dataset__1[[#This Row],[Hits]]/Cleaned_MLB_Stats_Dataset__1[[#This Row],[At Bats]]</f>
        <v>0.36343612334801761</v>
      </c>
      <c r="V305" s="6">
        <f>Cleaned_MLB_Stats_Dataset__1[[#This Row],[Strikeouts]]/(Cleaned_MLB_Stats_Dataset__1[[#This Row],[At Bats]]+Cleaned_MLB_Stats_Dataset__1[[#This Row],[Walks]])</f>
        <v>0.11776061776061776</v>
      </c>
      <c r="W30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0.13026819923371646</v>
      </c>
      <c r="X30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0.44465648854961831</v>
      </c>
      <c r="Y30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0.62995594713656389</v>
      </c>
      <c r="Z305" s="6">
        <f>Cleaned_MLB_Stats_Dataset__1[[#This Row],[On Base Percentage]]+Cleaned_MLB_Stats_Dataset__1[[#This Row],[Slugging %]]</f>
        <v>1.0746124356861821</v>
      </c>
      <c r="AA305" s="6">
        <f>Cleaned_MLB_Stats_Dataset__1[[#This Row],[Slugging %]]-Cleaned_MLB_Stats_Dataset__1[[#This Row],[Batting Average]]</f>
        <v>0.26651982378854627</v>
      </c>
      <c r="AB305" s="6">
        <f>Cleaned_MLB_Stats_Dataset__1[[#This Row],[Batting Average]]-_xlfn.XLOOKUP(Cleaned_MLB_Stats_Dataset__1[[#This Row],[Year]],'League Averages'!$A$3:$A$23,'League Averages'!$B$3:$B$23)</f>
        <v>9.74361233480176E-2</v>
      </c>
      <c r="AC305" s="6">
        <f>Cleaned_MLB_Stats_Dataset__1[[#This Row],[On Base Percentage]]-_xlfn.XLOOKUP(Cleaned_MLB_Stats_Dataset__1[[#This Row],[Year]],'League Averages'!$A$3:$A$23,'League Averages'!$C$3:$C$23)</f>
        <v>0.10965648854961829</v>
      </c>
      <c r="AD305" s="6">
        <f>Cleaned_MLB_Stats_Dataset__1[[#This Row],[Slugging %]]-_xlfn.XLOOKUP(Cleaned_MLB_Stats_Dataset__1[[#This Row],[Year]],'League Averages'!$A$3:$A$23,'League Averages'!$D$3:$D$23)</f>
        <v>0.2099559471365639</v>
      </c>
      <c r="AE305" s="6">
        <f>Cleaned_MLB_Stats_Dataset__1[[#This Row],[OPS (On Base + Slugging)]]-_xlfn.XLOOKUP(Cleaned_MLB_Stats_Dataset__1[[#This Row],[Year]],'League Averages'!$A$3:$A$23,'League Averages'!$E$3:$E$23)</f>
        <v>0.31961243568618214</v>
      </c>
      <c r="AF305" s="6">
        <f>Cleaned_MLB_Stats_Dataset__1[[#This Row],[ISO (Isolated Power]]-_xlfn.XLOOKUP(Cleaned_MLB_Stats_Dataset__1[[#This Row],[Year]],'League Averages'!$A$3:$A$23,'League Averages'!$F$3:$F$23)</f>
        <v>0.11251982378854627</v>
      </c>
    </row>
    <row r="306" spans="1:32" x14ac:dyDescent="0.2">
      <c r="A306" t="s">
        <v>309</v>
      </c>
      <c r="B306">
        <v>2000</v>
      </c>
      <c r="C306" t="s">
        <v>186</v>
      </c>
      <c r="D306" t="s">
        <v>3</v>
      </c>
      <c r="E306" t="s">
        <v>89</v>
      </c>
      <c r="F306" t="str">
        <f>_xlfn.XLOOKUP(Cleaned_MLB_Stats_Dataset__1[[#This Row],[Position'#]],$B$373:$B$382,$A$373:$A$382)</f>
        <v>LF</v>
      </c>
      <c r="G306">
        <v>7</v>
      </c>
      <c r="H306">
        <v>571</v>
      </c>
      <c r="I306">
        <v>197</v>
      </c>
      <c r="J306">
        <v>28</v>
      </c>
      <c r="K306">
        <v>11</v>
      </c>
      <c r="L306">
        <v>44</v>
      </c>
      <c r="M306">
        <v>101</v>
      </c>
      <c r="N306">
        <v>123</v>
      </c>
      <c r="O306">
        <v>74</v>
      </c>
      <c r="P306">
        <v>58</v>
      </c>
      <c r="Q306">
        <v>23</v>
      </c>
      <c r="R306">
        <v>8</v>
      </c>
      <c r="S306">
        <v>4</v>
      </c>
      <c r="T306">
        <v>0</v>
      </c>
      <c r="U306" s="6">
        <f>Cleaned_MLB_Stats_Dataset__1[[#This Row],[Hits]]/Cleaned_MLB_Stats_Dataset__1[[#This Row],[At Bats]]</f>
        <v>0.34500875656742558</v>
      </c>
      <c r="V306" s="6">
        <f>Cleaned_MLB_Stats_Dataset__1[[#This Row],[Strikeouts]]/(Cleaned_MLB_Stats_Dataset__1[[#This Row],[At Bats]]+Cleaned_MLB_Stats_Dataset__1[[#This Row],[Walks]])</f>
        <v>0.11764705882352941</v>
      </c>
      <c r="W30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0.10361067503924647</v>
      </c>
      <c r="X30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0.41029641185647425</v>
      </c>
      <c r="Y30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0.66374781085814361</v>
      </c>
      <c r="Z306" s="6">
        <f>Cleaned_MLB_Stats_Dataset__1[[#This Row],[On Base Percentage]]+Cleaned_MLB_Stats_Dataset__1[[#This Row],[Slugging %]]</f>
        <v>1.0740442227146179</v>
      </c>
      <c r="AA306" s="6">
        <f>Cleaned_MLB_Stats_Dataset__1[[#This Row],[Slugging %]]-Cleaned_MLB_Stats_Dataset__1[[#This Row],[Batting Average]]</f>
        <v>0.31873905429071803</v>
      </c>
      <c r="AB306" s="6">
        <f>Cleaned_MLB_Stats_Dataset__1[[#This Row],[Batting Average]]-_xlfn.XLOOKUP(Cleaned_MLB_Stats_Dataset__1[[#This Row],[Year]],'League Averages'!$A$3:$A$23,'League Averages'!$B$3:$B$23)</f>
        <v>7.5008756567425561E-2</v>
      </c>
      <c r="AC306" s="6">
        <f>Cleaned_MLB_Stats_Dataset__1[[#This Row],[On Base Percentage]]-_xlfn.XLOOKUP(Cleaned_MLB_Stats_Dataset__1[[#This Row],[Year]],'League Averages'!$A$3:$A$23,'League Averages'!$C$3:$C$23)</f>
        <v>6.5296411856474279E-2</v>
      </c>
      <c r="AD306" s="6">
        <f>Cleaned_MLB_Stats_Dataset__1[[#This Row],[Slugging %]]-_xlfn.XLOOKUP(Cleaned_MLB_Stats_Dataset__1[[#This Row],[Year]],'League Averages'!$A$3:$A$23,'League Averages'!$D$3:$D$23)</f>
        <v>0.22674781085814361</v>
      </c>
      <c r="AE306" s="6">
        <f>Cleaned_MLB_Stats_Dataset__1[[#This Row],[OPS (On Base + Slugging)]]-_xlfn.XLOOKUP(Cleaned_MLB_Stats_Dataset__1[[#This Row],[Year]],'League Averages'!$A$3:$A$23,'League Averages'!$E$3:$E$23)</f>
        <v>0.29204422271461783</v>
      </c>
      <c r="AF306" s="6">
        <f>Cleaned_MLB_Stats_Dataset__1[[#This Row],[ISO (Isolated Power]]-_xlfn.XLOOKUP(Cleaned_MLB_Stats_Dataset__1[[#This Row],[Year]],'League Averages'!$A$3:$A$23,'League Averages'!$F$3:$F$23)</f>
        <v>0.15173905429071802</v>
      </c>
    </row>
    <row r="307" spans="1:32" x14ac:dyDescent="0.2">
      <c r="A307" t="s">
        <v>309</v>
      </c>
      <c r="B307">
        <v>1995</v>
      </c>
      <c r="C307" t="s">
        <v>151</v>
      </c>
      <c r="D307" t="s">
        <v>6</v>
      </c>
      <c r="E307" t="s">
        <v>69</v>
      </c>
      <c r="F307" t="str">
        <f>_xlfn.XLOOKUP(Cleaned_MLB_Stats_Dataset__1[[#This Row],[Position'#]],$B$373:$B$382,$A$373:$A$382)</f>
        <v>1B</v>
      </c>
      <c r="G307">
        <v>3</v>
      </c>
      <c r="H307">
        <v>493</v>
      </c>
      <c r="I307">
        <v>152</v>
      </c>
      <c r="J307">
        <v>27</v>
      </c>
      <c r="K307">
        <v>0</v>
      </c>
      <c r="L307">
        <v>40</v>
      </c>
      <c r="M307">
        <v>102</v>
      </c>
      <c r="N307">
        <v>111</v>
      </c>
      <c r="O307">
        <v>74</v>
      </c>
      <c r="P307">
        <v>136</v>
      </c>
      <c r="Q307">
        <v>29</v>
      </c>
      <c r="R307">
        <v>6</v>
      </c>
      <c r="S307">
        <v>12</v>
      </c>
      <c r="T307">
        <v>0</v>
      </c>
      <c r="U307" s="6">
        <f>Cleaned_MLB_Stats_Dataset__1[[#This Row],[Hits]]/Cleaned_MLB_Stats_Dataset__1[[#This Row],[At Bats]]</f>
        <v>0.30831643002028397</v>
      </c>
      <c r="V307" s="6">
        <f>Cleaned_MLB_Stats_Dataset__1[[#This Row],[Strikeouts]]/(Cleaned_MLB_Stats_Dataset__1[[#This Row],[At Bats]]+Cleaned_MLB_Stats_Dataset__1[[#This Row],[Walks]])</f>
        <v>0.11764705882352941</v>
      </c>
      <c r="W30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0.22362204724409449</v>
      </c>
      <c r="X30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0.45440494590417313</v>
      </c>
      <c r="Y30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0.60649087221095332</v>
      </c>
      <c r="Z307" s="6">
        <f>Cleaned_MLB_Stats_Dataset__1[[#This Row],[On Base Percentage]]+Cleaned_MLB_Stats_Dataset__1[[#This Row],[Slugging %]]</f>
        <v>1.0608958181151265</v>
      </c>
      <c r="AA307" s="6">
        <f>Cleaned_MLB_Stats_Dataset__1[[#This Row],[Slugging %]]-Cleaned_MLB_Stats_Dataset__1[[#This Row],[Batting Average]]</f>
        <v>0.29817444219066935</v>
      </c>
      <c r="AB307" s="6">
        <f>Cleaned_MLB_Stats_Dataset__1[[#This Row],[Batting Average]]-_xlfn.XLOOKUP(Cleaned_MLB_Stats_Dataset__1[[#This Row],[Year]],'League Averages'!$A$3:$A$23,'League Averages'!$B$3:$B$23)</f>
        <v>4.1316430020283956E-2</v>
      </c>
      <c r="AC307" s="6">
        <f>Cleaned_MLB_Stats_Dataset__1[[#This Row],[On Base Percentage]]-_xlfn.XLOOKUP(Cleaned_MLB_Stats_Dataset__1[[#This Row],[Year]],'League Averages'!$A$3:$A$23,'League Averages'!$C$3:$C$23)</f>
        <v>0.11640494590417311</v>
      </c>
      <c r="AD307" s="6">
        <f>Cleaned_MLB_Stats_Dataset__1[[#This Row],[Slugging %]]-_xlfn.XLOOKUP(Cleaned_MLB_Stats_Dataset__1[[#This Row],[Year]],'League Averages'!$A$3:$A$23,'League Averages'!$D$3:$D$23)</f>
        <v>0.18949087221095334</v>
      </c>
      <c r="AE307" s="6">
        <f>Cleaned_MLB_Stats_Dataset__1[[#This Row],[OPS (On Base + Slugging)]]-_xlfn.XLOOKUP(Cleaned_MLB_Stats_Dataset__1[[#This Row],[Year]],'League Averages'!$A$3:$A$23,'League Averages'!$E$3:$E$23)</f>
        <v>0.30589581811512645</v>
      </c>
      <c r="AF307" s="6">
        <f>Cleaned_MLB_Stats_Dataset__1[[#This Row],[ISO (Isolated Power]]-_xlfn.XLOOKUP(Cleaned_MLB_Stats_Dataset__1[[#This Row],[Year]],'League Averages'!$A$3:$A$23,'League Averages'!$F$3:$F$23)</f>
        <v>0.14817444219066936</v>
      </c>
    </row>
    <row r="308" spans="1:32" x14ac:dyDescent="0.2">
      <c r="A308" t="s">
        <v>309</v>
      </c>
      <c r="B308">
        <v>2001</v>
      </c>
      <c r="C308" t="s">
        <v>147</v>
      </c>
      <c r="D308" t="s">
        <v>3</v>
      </c>
      <c r="E308" t="s">
        <v>202</v>
      </c>
      <c r="F308" t="str">
        <f>_xlfn.XLOOKUP(Cleaned_MLB_Stats_Dataset__1[[#This Row],[Position'#]],$B$373:$B$382,$A$373:$A$382)</f>
        <v>CF</v>
      </c>
      <c r="G308">
        <v>8</v>
      </c>
      <c r="H308">
        <v>609</v>
      </c>
      <c r="I308">
        <v>198</v>
      </c>
      <c r="J308">
        <v>36</v>
      </c>
      <c r="K308">
        <v>7</v>
      </c>
      <c r="L308">
        <v>57</v>
      </c>
      <c r="M308">
        <v>128</v>
      </c>
      <c r="N308">
        <v>142</v>
      </c>
      <c r="O308">
        <v>83</v>
      </c>
      <c r="P308">
        <v>100</v>
      </c>
      <c r="Q308">
        <v>24</v>
      </c>
      <c r="R308">
        <v>14</v>
      </c>
      <c r="S308">
        <v>5</v>
      </c>
      <c r="T308">
        <v>0</v>
      </c>
      <c r="U308" s="6">
        <f>Cleaned_MLB_Stats_Dataset__1[[#This Row],[Hits]]/Cleaned_MLB_Stats_Dataset__1[[#This Row],[At Bats]]</f>
        <v>0.3251231527093596</v>
      </c>
      <c r="V308" s="6">
        <f>Cleaned_MLB_Stats_Dataset__1[[#This Row],[Strikeouts]]/(Cleaned_MLB_Stats_Dataset__1[[#This Row],[At Bats]]+Cleaned_MLB_Stats_Dataset__1[[#This Row],[Walks]])</f>
        <v>0.11706629055007052</v>
      </c>
      <c r="W30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0.15767634854771784</v>
      </c>
      <c r="X30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0.42857142857142855</v>
      </c>
      <c r="Y30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0.68801313628899841</v>
      </c>
      <c r="Z308" s="6">
        <f>Cleaned_MLB_Stats_Dataset__1[[#This Row],[On Base Percentage]]+Cleaned_MLB_Stats_Dataset__1[[#This Row],[Slugging %]]</f>
        <v>1.1165845648604269</v>
      </c>
      <c r="AA308" s="6">
        <f>Cleaned_MLB_Stats_Dataset__1[[#This Row],[Slugging %]]-Cleaned_MLB_Stats_Dataset__1[[#This Row],[Batting Average]]</f>
        <v>0.36288998357963881</v>
      </c>
      <c r="AB308" s="6">
        <f>Cleaned_MLB_Stats_Dataset__1[[#This Row],[Batting Average]]-_xlfn.XLOOKUP(Cleaned_MLB_Stats_Dataset__1[[#This Row],[Year]],'League Averages'!$A$3:$A$23,'League Averages'!$B$3:$B$23)</f>
        <v>6.1123152709359585E-2</v>
      </c>
      <c r="AC308" s="6">
        <f>Cleaned_MLB_Stats_Dataset__1[[#This Row],[On Base Percentage]]-_xlfn.XLOOKUP(Cleaned_MLB_Stats_Dataset__1[[#This Row],[Year]],'League Averages'!$A$3:$A$23,'League Averages'!$C$3:$C$23)</f>
        <v>9.657142857142853E-2</v>
      </c>
      <c r="AD308" s="6">
        <f>Cleaned_MLB_Stats_Dataset__1[[#This Row],[Slugging %]]-_xlfn.XLOOKUP(Cleaned_MLB_Stats_Dataset__1[[#This Row],[Year]],'League Averages'!$A$3:$A$23,'League Averages'!$D$3:$D$23)</f>
        <v>0.26101313628899842</v>
      </c>
      <c r="AE308" s="6">
        <f>Cleaned_MLB_Stats_Dataset__1[[#This Row],[OPS (On Base + Slugging)]]-_xlfn.XLOOKUP(Cleaned_MLB_Stats_Dataset__1[[#This Row],[Year]],'League Averages'!$A$3:$A$23,'League Averages'!$E$3:$E$23)</f>
        <v>0.35758456486042689</v>
      </c>
      <c r="AF308" s="6">
        <f>Cleaned_MLB_Stats_Dataset__1[[#This Row],[ISO (Isolated Power]]-_xlfn.XLOOKUP(Cleaned_MLB_Stats_Dataset__1[[#This Row],[Year]],'League Averages'!$A$3:$A$23,'League Averages'!$F$3:$F$23)</f>
        <v>0.1998899835796388</v>
      </c>
    </row>
    <row r="309" spans="1:32" x14ac:dyDescent="0.2">
      <c r="A309" t="s">
        <v>309</v>
      </c>
      <c r="B309">
        <v>1998</v>
      </c>
      <c r="C309" t="s">
        <v>154</v>
      </c>
      <c r="D309" t="s">
        <v>6</v>
      </c>
      <c r="E309" t="s">
        <v>66</v>
      </c>
      <c r="F309" t="str">
        <f>_xlfn.XLOOKUP(Cleaned_MLB_Stats_Dataset__1[[#This Row],[Position'#]],$B$373:$B$382,$A$373:$A$382)</f>
        <v>LF</v>
      </c>
      <c r="G309">
        <v>7</v>
      </c>
      <c r="H309">
        <v>600</v>
      </c>
      <c r="I309">
        <v>169</v>
      </c>
      <c r="J309">
        <v>31</v>
      </c>
      <c r="K309">
        <v>6</v>
      </c>
      <c r="L309">
        <v>12</v>
      </c>
      <c r="M309">
        <v>101</v>
      </c>
      <c r="N309">
        <v>64</v>
      </c>
      <c r="O309">
        <v>80</v>
      </c>
      <c r="P309">
        <v>87</v>
      </c>
      <c r="Q309">
        <v>1</v>
      </c>
      <c r="R309">
        <v>2</v>
      </c>
      <c r="S309">
        <v>6</v>
      </c>
      <c r="T309">
        <v>3</v>
      </c>
      <c r="U309" s="6">
        <f>Cleaned_MLB_Stats_Dataset__1[[#This Row],[Hits]]/Cleaned_MLB_Stats_Dataset__1[[#This Row],[At Bats]]</f>
        <v>0.28166666666666668</v>
      </c>
      <c r="V309" s="6">
        <f>Cleaned_MLB_Stats_Dataset__1[[#This Row],[Strikeouts]]/(Cleaned_MLB_Stats_Dataset__1[[#This Row],[At Bats]]+Cleaned_MLB_Stats_Dataset__1[[#This Row],[Walks]])</f>
        <v>0.11644832605531295</v>
      </c>
      <c r="W30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0.12917271407837447</v>
      </c>
      <c r="X30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0.37122302158273379</v>
      </c>
      <c r="Y30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0.41333333333333333</v>
      </c>
      <c r="Z309" s="6">
        <f>Cleaned_MLB_Stats_Dataset__1[[#This Row],[On Base Percentage]]+Cleaned_MLB_Stats_Dataset__1[[#This Row],[Slugging %]]</f>
        <v>0.78455635491606712</v>
      </c>
      <c r="AA309" s="6">
        <f>Cleaned_MLB_Stats_Dataset__1[[#This Row],[Slugging %]]-Cleaned_MLB_Stats_Dataset__1[[#This Row],[Batting Average]]</f>
        <v>0.13166666666666665</v>
      </c>
      <c r="AB309" s="6">
        <f>Cleaned_MLB_Stats_Dataset__1[[#This Row],[Batting Average]]-_xlfn.XLOOKUP(Cleaned_MLB_Stats_Dataset__1[[#This Row],[Year]],'League Averages'!$A$3:$A$23,'League Averages'!$B$3:$B$23)</f>
        <v>1.5666666666666662E-2</v>
      </c>
      <c r="AC309" s="6">
        <f>Cleaned_MLB_Stats_Dataset__1[[#This Row],[On Base Percentage]]-_xlfn.XLOOKUP(Cleaned_MLB_Stats_Dataset__1[[#This Row],[Year]],'League Averages'!$A$3:$A$23,'League Averages'!$C$3:$C$23)</f>
        <v>3.6223021582733772E-2</v>
      </c>
      <c r="AD309" s="6">
        <f>Cleaned_MLB_Stats_Dataset__1[[#This Row],[Slugging %]]-_xlfn.XLOOKUP(Cleaned_MLB_Stats_Dataset__1[[#This Row],[Year]],'League Averages'!$A$3:$A$23,'League Averages'!$D$3:$D$23)</f>
        <v>-6.6666666666666541E-3</v>
      </c>
      <c r="AE309" s="6">
        <f>Cleaned_MLB_Stats_Dataset__1[[#This Row],[OPS (On Base + Slugging)]]-_xlfn.XLOOKUP(Cleaned_MLB_Stats_Dataset__1[[#This Row],[Year]],'League Averages'!$A$3:$A$23,'League Averages'!$E$3:$E$23)</f>
        <v>2.9556354916067118E-2</v>
      </c>
      <c r="AF309" s="6">
        <f>Cleaned_MLB_Stats_Dataset__1[[#This Row],[ISO (Isolated Power]]-_xlfn.XLOOKUP(Cleaned_MLB_Stats_Dataset__1[[#This Row],[Year]],'League Averages'!$A$3:$A$23,'League Averages'!$F$3:$F$23)</f>
        <v>-2.2333333333333344E-2</v>
      </c>
    </row>
    <row r="310" spans="1:32" x14ac:dyDescent="0.2">
      <c r="A310" t="s">
        <v>309</v>
      </c>
      <c r="B310">
        <v>1996</v>
      </c>
      <c r="C310" t="s">
        <v>110</v>
      </c>
      <c r="D310" t="s">
        <v>3</v>
      </c>
      <c r="E310" t="s">
        <v>79</v>
      </c>
      <c r="F310" t="str">
        <f>_xlfn.XLOOKUP(Cleaned_MLB_Stats_Dataset__1[[#This Row],[Position'#]],$B$373:$B$382,$A$373:$A$382)</f>
        <v>LF</v>
      </c>
      <c r="G310">
        <v>7</v>
      </c>
      <c r="H310">
        <v>517</v>
      </c>
      <c r="I310">
        <v>159</v>
      </c>
      <c r="J310">
        <v>27</v>
      </c>
      <c r="K310">
        <v>3</v>
      </c>
      <c r="L310">
        <v>42</v>
      </c>
      <c r="M310">
        <v>122</v>
      </c>
      <c r="N310">
        <v>129</v>
      </c>
      <c r="O310">
        <v>76</v>
      </c>
      <c r="P310">
        <v>151</v>
      </c>
      <c r="Q310">
        <v>30</v>
      </c>
      <c r="R310">
        <v>1</v>
      </c>
      <c r="S310">
        <v>6</v>
      </c>
      <c r="T310">
        <v>0</v>
      </c>
      <c r="U310" s="6">
        <f>Cleaned_MLB_Stats_Dataset__1[[#This Row],[Hits]]/Cleaned_MLB_Stats_Dataset__1[[#This Row],[At Bats]]</f>
        <v>0.30754352030947774</v>
      </c>
      <c r="V310" s="6">
        <f>Cleaned_MLB_Stats_Dataset__1[[#This Row],[Strikeouts]]/(Cleaned_MLB_Stats_Dataset__1[[#This Row],[At Bats]]+Cleaned_MLB_Stats_Dataset__1[[#This Row],[Walks]])</f>
        <v>0.11377245508982035</v>
      </c>
      <c r="W31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0.22720478325859492</v>
      </c>
      <c r="X31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0.46074074074074073</v>
      </c>
      <c r="Y31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0.61508704061895547</v>
      </c>
      <c r="Z310" s="6">
        <f>Cleaned_MLB_Stats_Dataset__1[[#This Row],[On Base Percentage]]+Cleaned_MLB_Stats_Dataset__1[[#This Row],[Slugging %]]</f>
        <v>1.0758277813596961</v>
      </c>
      <c r="AA310" s="6">
        <f>Cleaned_MLB_Stats_Dataset__1[[#This Row],[Slugging %]]-Cleaned_MLB_Stats_Dataset__1[[#This Row],[Batting Average]]</f>
        <v>0.30754352030947774</v>
      </c>
      <c r="AB310" s="6">
        <f>Cleaned_MLB_Stats_Dataset__1[[#This Row],[Batting Average]]-_xlfn.XLOOKUP(Cleaned_MLB_Stats_Dataset__1[[#This Row],[Year]],'League Averages'!$A$3:$A$23,'League Averages'!$B$3:$B$23)</f>
        <v>3.7543520309477718E-2</v>
      </c>
      <c r="AC310" s="6">
        <f>Cleaned_MLB_Stats_Dataset__1[[#This Row],[On Base Percentage]]-_xlfn.XLOOKUP(Cleaned_MLB_Stats_Dataset__1[[#This Row],[Year]],'League Averages'!$A$3:$A$23,'League Averages'!$C$3:$C$23)</f>
        <v>0.1207407407407407</v>
      </c>
      <c r="AD310" s="6">
        <f>Cleaned_MLB_Stats_Dataset__1[[#This Row],[Slugging %]]-_xlfn.XLOOKUP(Cleaned_MLB_Stats_Dataset__1[[#This Row],[Year]],'League Averages'!$A$3:$A$23,'League Averages'!$D$3:$D$23)</f>
        <v>0.18808704061895548</v>
      </c>
      <c r="AE310" s="6">
        <f>Cleaned_MLB_Stats_Dataset__1[[#This Row],[OPS (On Base + Slugging)]]-_xlfn.XLOOKUP(Cleaned_MLB_Stats_Dataset__1[[#This Row],[Year]],'League Averages'!$A$3:$A$23,'League Averages'!$E$3:$E$23)</f>
        <v>0.30882778135969613</v>
      </c>
      <c r="AF310" s="6">
        <f>Cleaned_MLB_Stats_Dataset__1[[#This Row],[ISO (Isolated Power]]-_xlfn.XLOOKUP(Cleaned_MLB_Stats_Dataset__1[[#This Row],[Year]],'League Averages'!$A$3:$A$23,'League Averages'!$F$3:$F$23)</f>
        <v>0.15054352030947774</v>
      </c>
    </row>
    <row r="311" spans="1:32" x14ac:dyDescent="0.2">
      <c r="A311" t="s">
        <v>309</v>
      </c>
      <c r="B311">
        <v>1996</v>
      </c>
      <c r="C311" t="s">
        <v>154</v>
      </c>
      <c r="D311" t="s">
        <v>6</v>
      </c>
      <c r="E311" t="s">
        <v>66</v>
      </c>
      <c r="F311" t="str">
        <f>_xlfn.XLOOKUP(Cleaned_MLB_Stats_Dataset__1[[#This Row],[Position'#]],$B$373:$B$382,$A$373:$A$382)</f>
        <v>CF</v>
      </c>
      <c r="G311">
        <v>8</v>
      </c>
      <c r="H311">
        <v>662</v>
      </c>
      <c r="I311">
        <v>210</v>
      </c>
      <c r="J311">
        <v>35</v>
      </c>
      <c r="K311">
        <v>4</v>
      </c>
      <c r="L311">
        <v>14</v>
      </c>
      <c r="M311">
        <v>132</v>
      </c>
      <c r="N311">
        <v>67</v>
      </c>
      <c r="O311">
        <v>82</v>
      </c>
      <c r="P311">
        <v>61</v>
      </c>
      <c r="Q311">
        <v>3</v>
      </c>
      <c r="R311">
        <v>0</v>
      </c>
      <c r="S311">
        <v>6</v>
      </c>
      <c r="T311">
        <v>7</v>
      </c>
      <c r="U311" s="6">
        <f>Cleaned_MLB_Stats_Dataset__1[[#This Row],[Hits]]/Cleaned_MLB_Stats_Dataset__1[[#This Row],[At Bats]]</f>
        <v>0.31722054380664655</v>
      </c>
      <c r="V311" s="6">
        <f>Cleaned_MLB_Stats_Dataset__1[[#This Row],[Strikeouts]]/(Cleaned_MLB_Stats_Dataset__1[[#This Row],[At Bats]]+Cleaned_MLB_Stats_Dataset__1[[#This Row],[Walks]])</f>
        <v>0.11341632088520055</v>
      </c>
      <c r="W31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8.4370677731673588E-2</v>
      </c>
      <c r="X31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0.37174211248285322</v>
      </c>
      <c r="Y31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0.44561933534743203</v>
      </c>
      <c r="Z311" s="6">
        <f>Cleaned_MLB_Stats_Dataset__1[[#This Row],[On Base Percentage]]+Cleaned_MLB_Stats_Dataset__1[[#This Row],[Slugging %]]</f>
        <v>0.8173614478302853</v>
      </c>
      <c r="AA311" s="6">
        <f>Cleaned_MLB_Stats_Dataset__1[[#This Row],[Slugging %]]-Cleaned_MLB_Stats_Dataset__1[[#This Row],[Batting Average]]</f>
        <v>0.12839879154078548</v>
      </c>
      <c r="AB311" s="6">
        <f>Cleaned_MLB_Stats_Dataset__1[[#This Row],[Batting Average]]-_xlfn.XLOOKUP(Cleaned_MLB_Stats_Dataset__1[[#This Row],[Year]],'League Averages'!$A$3:$A$23,'League Averages'!$B$3:$B$23)</f>
        <v>4.7220543806646531E-2</v>
      </c>
      <c r="AC311" s="6">
        <f>Cleaned_MLB_Stats_Dataset__1[[#This Row],[On Base Percentage]]-_xlfn.XLOOKUP(Cleaned_MLB_Stats_Dataset__1[[#This Row],[Year]],'League Averages'!$A$3:$A$23,'League Averages'!$C$3:$C$23)</f>
        <v>3.1742112482853191E-2</v>
      </c>
      <c r="AD311" s="6">
        <f>Cleaned_MLB_Stats_Dataset__1[[#This Row],[Slugging %]]-_xlfn.XLOOKUP(Cleaned_MLB_Stats_Dataset__1[[#This Row],[Year]],'League Averages'!$A$3:$A$23,'League Averages'!$D$3:$D$23)</f>
        <v>1.8619335347432042E-2</v>
      </c>
      <c r="AE311" s="6">
        <f>Cleaned_MLB_Stats_Dataset__1[[#This Row],[OPS (On Base + Slugging)]]-_xlfn.XLOOKUP(Cleaned_MLB_Stats_Dataset__1[[#This Row],[Year]],'League Averages'!$A$3:$A$23,'League Averages'!$E$3:$E$23)</f>
        <v>5.0361447830285289E-2</v>
      </c>
      <c r="AF311" s="6">
        <f>Cleaned_MLB_Stats_Dataset__1[[#This Row],[ISO (Isolated Power]]-_xlfn.XLOOKUP(Cleaned_MLB_Stats_Dataset__1[[#This Row],[Year]],'League Averages'!$A$3:$A$23,'League Averages'!$F$3:$F$23)</f>
        <v>-2.8601208459214517E-2</v>
      </c>
    </row>
    <row r="312" spans="1:32" x14ac:dyDescent="0.2">
      <c r="A312" t="s">
        <v>309</v>
      </c>
      <c r="B312">
        <v>1997</v>
      </c>
      <c r="C312" t="s">
        <v>149</v>
      </c>
      <c r="D312" t="s">
        <v>6</v>
      </c>
      <c r="E312" t="s">
        <v>71</v>
      </c>
      <c r="F312" t="str">
        <f>_xlfn.XLOOKUP(Cleaned_MLB_Stats_Dataset__1[[#This Row],[Position'#]],$B$373:$B$382,$A$373:$A$382)</f>
        <v>1B</v>
      </c>
      <c r="G312">
        <v>3</v>
      </c>
      <c r="H312">
        <v>594</v>
      </c>
      <c r="I312">
        <v>176</v>
      </c>
      <c r="J312">
        <v>31</v>
      </c>
      <c r="K312">
        <v>2</v>
      </c>
      <c r="L312">
        <v>44</v>
      </c>
      <c r="M312">
        <v>96</v>
      </c>
      <c r="N312">
        <v>141</v>
      </c>
      <c r="O312">
        <v>75</v>
      </c>
      <c r="P312">
        <v>75</v>
      </c>
      <c r="Q312">
        <v>14</v>
      </c>
      <c r="R312">
        <v>3</v>
      </c>
      <c r="S312">
        <v>13</v>
      </c>
      <c r="T312">
        <v>0</v>
      </c>
      <c r="U312" s="6">
        <f>Cleaned_MLB_Stats_Dataset__1[[#This Row],[Hits]]/Cleaned_MLB_Stats_Dataset__1[[#This Row],[At Bats]]</f>
        <v>0.29629629629629628</v>
      </c>
      <c r="V312" s="6">
        <f>Cleaned_MLB_Stats_Dataset__1[[#This Row],[Strikeouts]]/(Cleaned_MLB_Stats_Dataset__1[[#This Row],[At Bats]]+Cleaned_MLB_Stats_Dataset__1[[#This Row],[Walks]])</f>
        <v>0.11210762331838565</v>
      </c>
      <c r="W31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0.11607142857142858</v>
      </c>
      <c r="X31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0.3708029197080292</v>
      </c>
      <c r="Y31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0.57744107744107742</v>
      </c>
      <c r="Z312" s="6">
        <f>Cleaned_MLB_Stats_Dataset__1[[#This Row],[On Base Percentage]]+Cleaned_MLB_Stats_Dataset__1[[#This Row],[Slugging %]]</f>
        <v>0.94824399714910657</v>
      </c>
      <c r="AA312" s="6">
        <f>Cleaned_MLB_Stats_Dataset__1[[#This Row],[Slugging %]]-Cleaned_MLB_Stats_Dataset__1[[#This Row],[Batting Average]]</f>
        <v>0.28114478114478114</v>
      </c>
      <c r="AB312" s="6">
        <f>Cleaned_MLB_Stats_Dataset__1[[#This Row],[Batting Average]]-_xlfn.XLOOKUP(Cleaned_MLB_Stats_Dataset__1[[#This Row],[Year]],'League Averages'!$A$3:$A$23,'League Averages'!$B$3:$B$23)</f>
        <v>2.9296296296296265E-2</v>
      </c>
      <c r="AC312" s="6">
        <f>Cleaned_MLB_Stats_Dataset__1[[#This Row],[On Base Percentage]]-_xlfn.XLOOKUP(Cleaned_MLB_Stats_Dataset__1[[#This Row],[Year]],'League Averages'!$A$3:$A$23,'League Averages'!$C$3:$C$23)</f>
        <v>3.3802919708029178E-2</v>
      </c>
      <c r="AD312" s="6">
        <f>Cleaned_MLB_Stats_Dataset__1[[#This Row],[Slugging %]]-_xlfn.XLOOKUP(Cleaned_MLB_Stats_Dataset__1[[#This Row],[Year]],'League Averages'!$A$3:$A$23,'League Averages'!$D$3:$D$23)</f>
        <v>0.15844107744107744</v>
      </c>
      <c r="AE312" s="6">
        <f>Cleaned_MLB_Stats_Dataset__1[[#This Row],[OPS (On Base + Slugging)]]-_xlfn.XLOOKUP(Cleaned_MLB_Stats_Dataset__1[[#This Row],[Year]],'League Averages'!$A$3:$A$23,'League Averages'!$E$3:$E$23)</f>
        <v>0.19224399714910656</v>
      </c>
      <c r="AF312" s="6">
        <f>Cleaned_MLB_Stats_Dataset__1[[#This Row],[ISO (Isolated Power]]-_xlfn.XLOOKUP(Cleaned_MLB_Stats_Dataset__1[[#This Row],[Year]],'League Averages'!$A$3:$A$23,'League Averages'!$F$3:$F$23)</f>
        <v>0.12914478114478115</v>
      </c>
    </row>
    <row r="313" spans="1:32" x14ac:dyDescent="0.2">
      <c r="A313" t="s">
        <v>309</v>
      </c>
      <c r="B313">
        <v>1996</v>
      </c>
      <c r="C313" t="s">
        <v>95</v>
      </c>
      <c r="D313" t="s">
        <v>6</v>
      </c>
      <c r="E313" t="s">
        <v>78</v>
      </c>
      <c r="F313" t="str">
        <f>_xlfn.XLOOKUP(Cleaned_MLB_Stats_Dataset__1[[#This Row],[Position'#]],$B$373:$B$382,$A$373:$A$382)</f>
        <v>SS</v>
      </c>
      <c r="G313">
        <v>6</v>
      </c>
      <c r="H313">
        <v>640</v>
      </c>
      <c r="I313">
        <v>178</v>
      </c>
      <c r="J313">
        <v>40</v>
      </c>
      <c r="K313">
        <v>1</v>
      </c>
      <c r="L313">
        <v>26</v>
      </c>
      <c r="M313">
        <v>94</v>
      </c>
      <c r="N313">
        <v>102</v>
      </c>
      <c r="O313">
        <v>78</v>
      </c>
      <c r="P313">
        <v>59</v>
      </c>
      <c r="Q313">
        <v>3</v>
      </c>
      <c r="R313">
        <v>4</v>
      </c>
      <c r="S313">
        <v>4</v>
      </c>
      <c r="T313">
        <v>0</v>
      </c>
      <c r="U313" s="6">
        <f>Cleaned_MLB_Stats_Dataset__1[[#This Row],[Hits]]/Cleaned_MLB_Stats_Dataset__1[[#This Row],[At Bats]]</f>
        <v>0.27812500000000001</v>
      </c>
      <c r="V313" s="6">
        <f>Cleaned_MLB_Stats_Dataset__1[[#This Row],[Strikeouts]]/(Cleaned_MLB_Stats_Dataset__1[[#This Row],[At Bats]]+Cleaned_MLB_Stats_Dataset__1[[#This Row],[Walks]])</f>
        <v>0.11158798283261803</v>
      </c>
      <c r="W31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8.9615931721194877E-2</v>
      </c>
      <c r="X31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0.34087694483734088</v>
      </c>
      <c r="Y31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0.46562500000000001</v>
      </c>
      <c r="Z313" s="6">
        <f>Cleaned_MLB_Stats_Dataset__1[[#This Row],[On Base Percentage]]+Cleaned_MLB_Stats_Dataset__1[[#This Row],[Slugging %]]</f>
        <v>0.80650194483734094</v>
      </c>
      <c r="AA313" s="6">
        <f>Cleaned_MLB_Stats_Dataset__1[[#This Row],[Slugging %]]-Cleaned_MLB_Stats_Dataset__1[[#This Row],[Batting Average]]</f>
        <v>0.1875</v>
      </c>
      <c r="AB313" s="6">
        <f>Cleaned_MLB_Stats_Dataset__1[[#This Row],[Batting Average]]-_xlfn.XLOOKUP(Cleaned_MLB_Stats_Dataset__1[[#This Row],[Year]],'League Averages'!$A$3:$A$23,'League Averages'!$B$3:$B$23)</f>
        <v>8.1249999999999933E-3</v>
      </c>
      <c r="AC313" s="6">
        <f>Cleaned_MLB_Stats_Dataset__1[[#This Row],[On Base Percentage]]-_xlfn.XLOOKUP(Cleaned_MLB_Stats_Dataset__1[[#This Row],[Year]],'League Averages'!$A$3:$A$23,'League Averages'!$C$3:$C$23)</f>
        <v>8.7694483734085393E-4</v>
      </c>
      <c r="AD313" s="6">
        <f>Cleaned_MLB_Stats_Dataset__1[[#This Row],[Slugging %]]-_xlfn.XLOOKUP(Cleaned_MLB_Stats_Dataset__1[[#This Row],[Year]],'League Averages'!$A$3:$A$23,'League Averages'!$D$3:$D$23)</f>
        <v>3.862500000000002E-2</v>
      </c>
      <c r="AE313" s="6">
        <f>Cleaned_MLB_Stats_Dataset__1[[#This Row],[OPS (On Base + Slugging)]]-_xlfn.XLOOKUP(Cleaned_MLB_Stats_Dataset__1[[#This Row],[Year]],'League Averages'!$A$3:$A$23,'League Averages'!$E$3:$E$23)</f>
        <v>3.950194483734093E-2</v>
      </c>
      <c r="AF313" s="6">
        <f>Cleaned_MLB_Stats_Dataset__1[[#This Row],[ISO (Isolated Power]]-_xlfn.XLOOKUP(Cleaned_MLB_Stats_Dataset__1[[#This Row],[Year]],'League Averages'!$A$3:$A$23,'League Averages'!$F$3:$F$23)</f>
        <v>3.0499999999999999E-2</v>
      </c>
    </row>
    <row r="314" spans="1:32" x14ac:dyDescent="0.2">
      <c r="A314" t="s">
        <v>309</v>
      </c>
      <c r="B314">
        <v>1993</v>
      </c>
      <c r="C314" t="s">
        <v>139</v>
      </c>
      <c r="D314" t="s">
        <v>3</v>
      </c>
      <c r="E314" t="s">
        <v>89</v>
      </c>
      <c r="F314" t="str">
        <f>_xlfn.XLOOKUP(Cleaned_MLB_Stats_Dataset__1[[#This Row],[Position'#]],$B$373:$B$382,$A$373:$A$382)</f>
        <v>CF</v>
      </c>
      <c r="G314">
        <v>8</v>
      </c>
      <c r="H314">
        <v>630</v>
      </c>
      <c r="I314">
        <v>188</v>
      </c>
      <c r="J314">
        <v>27</v>
      </c>
      <c r="K314">
        <v>2</v>
      </c>
      <c r="L314">
        <v>19</v>
      </c>
      <c r="M314">
        <v>104</v>
      </c>
      <c r="N314">
        <v>95</v>
      </c>
      <c r="O314">
        <v>76</v>
      </c>
      <c r="P314">
        <v>52</v>
      </c>
      <c r="Q314">
        <v>6</v>
      </c>
      <c r="R314">
        <v>3</v>
      </c>
      <c r="S314">
        <v>8</v>
      </c>
      <c r="T314">
        <v>0</v>
      </c>
      <c r="U314" s="6">
        <f>Cleaned_MLB_Stats_Dataset__1[[#This Row],[Hits]]/Cleaned_MLB_Stats_Dataset__1[[#This Row],[At Bats]]</f>
        <v>0.29841269841269841</v>
      </c>
      <c r="V314" s="6">
        <f>Cleaned_MLB_Stats_Dataset__1[[#This Row],[Strikeouts]]/(Cleaned_MLB_Stats_Dataset__1[[#This Row],[At Bats]]+Cleaned_MLB_Stats_Dataset__1[[#This Row],[Walks]])</f>
        <v>0.11143695014662756</v>
      </c>
      <c r="W31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8.0291970802919707E-2</v>
      </c>
      <c r="X31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0.35064935064935066</v>
      </c>
      <c r="Y31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0.43809523809523809</v>
      </c>
      <c r="Z314" s="6">
        <f>Cleaned_MLB_Stats_Dataset__1[[#This Row],[On Base Percentage]]+Cleaned_MLB_Stats_Dataset__1[[#This Row],[Slugging %]]</f>
        <v>0.78874458874458875</v>
      </c>
      <c r="AA314" s="6">
        <f>Cleaned_MLB_Stats_Dataset__1[[#This Row],[Slugging %]]-Cleaned_MLB_Stats_Dataset__1[[#This Row],[Batting Average]]</f>
        <v>0.13968253968253969</v>
      </c>
      <c r="AB314" s="6">
        <f>Cleaned_MLB_Stats_Dataset__1[[#This Row],[Batting Average]]-_xlfn.XLOOKUP(Cleaned_MLB_Stats_Dataset__1[[#This Row],[Year]],'League Averages'!$A$3:$A$23,'League Averages'!$B$3:$B$23)</f>
        <v>3.3412698412698394E-2</v>
      </c>
      <c r="AC314" s="6">
        <f>Cleaned_MLB_Stats_Dataset__1[[#This Row],[On Base Percentage]]-_xlfn.XLOOKUP(Cleaned_MLB_Stats_Dataset__1[[#This Row],[Year]],'League Averages'!$A$3:$A$23,'League Averages'!$C$3:$C$23)</f>
        <v>1.8649350649350638E-2</v>
      </c>
      <c r="AD314" s="6">
        <f>Cleaned_MLB_Stats_Dataset__1[[#This Row],[Slugging %]]-_xlfn.XLOOKUP(Cleaned_MLB_Stats_Dataset__1[[#This Row],[Year]],'League Averages'!$A$3:$A$23,'League Averages'!$D$3:$D$23)</f>
        <v>3.5095238095238068E-2</v>
      </c>
      <c r="AE314" s="6">
        <f>Cleaned_MLB_Stats_Dataset__1[[#This Row],[OPS (On Base + Slugging)]]-_xlfn.XLOOKUP(Cleaned_MLB_Stats_Dataset__1[[#This Row],[Year]],'League Averages'!$A$3:$A$23,'League Averages'!$E$3:$E$23)</f>
        <v>5.2744588744588761E-2</v>
      </c>
      <c r="AF314" s="6">
        <f>Cleaned_MLB_Stats_Dataset__1[[#This Row],[ISO (Isolated Power]]-_xlfn.XLOOKUP(Cleaned_MLB_Stats_Dataset__1[[#This Row],[Year]],'League Averages'!$A$3:$A$23,'League Averages'!$F$3:$F$23)</f>
        <v>1.6825396825396743E-3</v>
      </c>
    </row>
    <row r="315" spans="1:32" x14ac:dyDescent="0.2">
      <c r="A315" t="s">
        <v>309</v>
      </c>
      <c r="B315">
        <v>1997</v>
      </c>
      <c r="C315" t="s">
        <v>95</v>
      </c>
      <c r="D315" t="s">
        <v>6</v>
      </c>
      <c r="E315" t="s">
        <v>78</v>
      </c>
      <c r="F315" t="str">
        <f>_xlfn.XLOOKUP(Cleaned_MLB_Stats_Dataset__1[[#This Row],[Position'#]],$B$373:$B$382,$A$373:$A$382)</f>
        <v>3B</v>
      </c>
      <c r="G315">
        <v>5</v>
      </c>
      <c r="H315">
        <v>615</v>
      </c>
      <c r="I315">
        <v>166</v>
      </c>
      <c r="J315">
        <v>30</v>
      </c>
      <c r="K315">
        <v>0</v>
      </c>
      <c r="L315">
        <v>17</v>
      </c>
      <c r="M315">
        <v>79</v>
      </c>
      <c r="N315">
        <v>84</v>
      </c>
      <c r="O315">
        <v>73</v>
      </c>
      <c r="P315">
        <v>56</v>
      </c>
      <c r="Q315">
        <v>3</v>
      </c>
      <c r="R315">
        <v>5</v>
      </c>
      <c r="S315">
        <v>10</v>
      </c>
      <c r="T315">
        <v>0</v>
      </c>
      <c r="U315" s="6">
        <f>Cleaned_MLB_Stats_Dataset__1[[#This Row],[Hits]]/Cleaned_MLB_Stats_Dataset__1[[#This Row],[At Bats]]</f>
        <v>0.26991869918699185</v>
      </c>
      <c r="V315" s="6">
        <f>Cleaned_MLB_Stats_Dataset__1[[#This Row],[Strikeouts]]/(Cleaned_MLB_Stats_Dataset__1[[#This Row],[At Bats]]+Cleaned_MLB_Stats_Dataset__1[[#This Row],[Walks]])</f>
        <v>0.10879284649776454</v>
      </c>
      <c r="W31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9.0236686390532547E-2</v>
      </c>
      <c r="X31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0.33090379008746357</v>
      </c>
      <c r="Y31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0.40162601626016259</v>
      </c>
      <c r="Z315" s="6">
        <f>Cleaned_MLB_Stats_Dataset__1[[#This Row],[On Base Percentage]]+Cleaned_MLB_Stats_Dataset__1[[#This Row],[Slugging %]]</f>
        <v>0.73252980634762621</v>
      </c>
      <c r="AA315" s="6">
        <f>Cleaned_MLB_Stats_Dataset__1[[#This Row],[Slugging %]]-Cleaned_MLB_Stats_Dataset__1[[#This Row],[Batting Average]]</f>
        <v>0.13170731707317074</v>
      </c>
      <c r="AB315" s="6">
        <f>Cleaned_MLB_Stats_Dataset__1[[#This Row],[Batting Average]]-_xlfn.XLOOKUP(Cleaned_MLB_Stats_Dataset__1[[#This Row],[Year]],'League Averages'!$A$3:$A$23,'League Averages'!$B$3:$B$23)</f>
        <v>2.9186991869918355E-3</v>
      </c>
      <c r="AC315" s="6">
        <f>Cleaned_MLB_Stats_Dataset__1[[#This Row],[On Base Percentage]]-_xlfn.XLOOKUP(Cleaned_MLB_Stats_Dataset__1[[#This Row],[Year]],'League Averages'!$A$3:$A$23,'League Averages'!$C$3:$C$23)</f>
        <v>-6.0962099125364544E-3</v>
      </c>
      <c r="AD315" s="6">
        <f>Cleaned_MLB_Stats_Dataset__1[[#This Row],[Slugging %]]-_xlfn.XLOOKUP(Cleaned_MLB_Stats_Dataset__1[[#This Row],[Year]],'League Averages'!$A$3:$A$23,'League Averages'!$D$3:$D$23)</f>
        <v>-1.7373983739837395E-2</v>
      </c>
      <c r="AE315" s="6">
        <f>Cleaned_MLB_Stats_Dataset__1[[#This Row],[OPS (On Base + Slugging)]]-_xlfn.XLOOKUP(Cleaned_MLB_Stats_Dataset__1[[#This Row],[Year]],'League Averages'!$A$3:$A$23,'League Averages'!$E$3:$E$23)</f>
        <v>-2.3470193652373794E-2</v>
      </c>
      <c r="AF315" s="6">
        <f>Cleaned_MLB_Stats_Dataset__1[[#This Row],[ISO (Isolated Power]]-_xlfn.XLOOKUP(Cleaned_MLB_Stats_Dataset__1[[#This Row],[Year]],'League Averages'!$A$3:$A$23,'League Averages'!$F$3:$F$23)</f>
        <v>-2.0292682926829259E-2</v>
      </c>
    </row>
    <row r="316" spans="1:32" x14ac:dyDescent="0.2">
      <c r="A316" t="s">
        <v>309</v>
      </c>
      <c r="B316">
        <v>1993</v>
      </c>
      <c r="C316" t="s">
        <v>134</v>
      </c>
      <c r="D316" t="s">
        <v>3</v>
      </c>
      <c r="E316" t="s">
        <v>88</v>
      </c>
      <c r="F316" t="str">
        <f>_xlfn.XLOOKUP(Cleaned_MLB_Stats_Dataset__1[[#This Row],[Position'#]],$B$373:$B$382,$A$373:$A$382)</f>
        <v>3B</v>
      </c>
      <c r="G316">
        <v>5</v>
      </c>
      <c r="H316">
        <v>258</v>
      </c>
      <c r="I316">
        <v>76</v>
      </c>
      <c r="J316">
        <v>12</v>
      </c>
      <c r="K316">
        <v>2</v>
      </c>
      <c r="L316">
        <v>10</v>
      </c>
      <c r="M316">
        <v>34</v>
      </c>
      <c r="N316">
        <v>36</v>
      </c>
      <c r="O316">
        <v>30</v>
      </c>
      <c r="P316">
        <v>18</v>
      </c>
      <c r="Q316">
        <v>0</v>
      </c>
      <c r="R316">
        <v>3</v>
      </c>
      <c r="S316">
        <v>3</v>
      </c>
      <c r="T316">
        <v>0</v>
      </c>
      <c r="U316" s="6">
        <f>Cleaned_MLB_Stats_Dataset__1[[#This Row],[Hits]]/Cleaned_MLB_Stats_Dataset__1[[#This Row],[At Bats]]</f>
        <v>0.29457364341085274</v>
      </c>
      <c r="V316" s="6">
        <f>Cleaned_MLB_Stats_Dataset__1[[#This Row],[Strikeouts]]/(Cleaned_MLB_Stats_Dataset__1[[#This Row],[At Bats]]+Cleaned_MLB_Stats_Dataset__1[[#This Row],[Walks]])</f>
        <v>0.10869565217391304</v>
      </c>
      <c r="W31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7.5268817204301078E-2</v>
      </c>
      <c r="X31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0.34397163120567376</v>
      </c>
      <c r="Y31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0.47286821705426357</v>
      </c>
      <c r="Z316" s="6">
        <f>Cleaned_MLB_Stats_Dataset__1[[#This Row],[On Base Percentage]]+Cleaned_MLB_Stats_Dataset__1[[#This Row],[Slugging %]]</f>
        <v>0.81683984825993727</v>
      </c>
      <c r="AA316" s="6">
        <f>Cleaned_MLB_Stats_Dataset__1[[#This Row],[Slugging %]]-Cleaned_MLB_Stats_Dataset__1[[#This Row],[Batting Average]]</f>
        <v>0.17829457364341084</v>
      </c>
      <c r="AB316" s="6">
        <f>Cleaned_MLB_Stats_Dataset__1[[#This Row],[Batting Average]]-_xlfn.XLOOKUP(Cleaned_MLB_Stats_Dataset__1[[#This Row],[Year]],'League Averages'!$A$3:$A$23,'League Averages'!$B$3:$B$23)</f>
        <v>2.9573643410852724E-2</v>
      </c>
      <c r="AC316" s="6">
        <f>Cleaned_MLB_Stats_Dataset__1[[#This Row],[On Base Percentage]]-_xlfn.XLOOKUP(Cleaned_MLB_Stats_Dataset__1[[#This Row],[Year]],'League Averages'!$A$3:$A$23,'League Averages'!$C$3:$C$23)</f>
        <v>1.1971631205673738E-2</v>
      </c>
      <c r="AD316" s="6">
        <f>Cleaned_MLB_Stats_Dataset__1[[#This Row],[Slugging %]]-_xlfn.XLOOKUP(Cleaned_MLB_Stats_Dataset__1[[#This Row],[Year]],'League Averages'!$A$3:$A$23,'League Averages'!$D$3:$D$23)</f>
        <v>6.9868217054263548E-2</v>
      </c>
      <c r="AE316" s="6">
        <f>Cleaned_MLB_Stats_Dataset__1[[#This Row],[OPS (On Base + Slugging)]]-_xlfn.XLOOKUP(Cleaned_MLB_Stats_Dataset__1[[#This Row],[Year]],'League Averages'!$A$3:$A$23,'League Averages'!$E$3:$E$23)</f>
        <v>8.0839848259937286E-2</v>
      </c>
      <c r="AF316" s="6">
        <f>Cleaned_MLB_Stats_Dataset__1[[#This Row],[ISO (Isolated Power]]-_xlfn.XLOOKUP(Cleaned_MLB_Stats_Dataset__1[[#This Row],[Year]],'League Averages'!$A$3:$A$23,'League Averages'!$F$3:$F$23)</f>
        <v>4.0294573643410825E-2</v>
      </c>
    </row>
    <row r="317" spans="1:32" x14ac:dyDescent="0.2">
      <c r="A317" t="s">
        <v>309</v>
      </c>
      <c r="B317">
        <v>1998</v>
      </c>
      <c r="C317" t="s">
        <v>127</v>
      </c>
      <c r="D317" t="s">
        <v>6</v>
      </c>
      <c r="E317" t="s">
        <v>78</v>
      </c>
      <c r="F317" t="str">
        <f>_xlfn.XLOOKUP(Cleaned_MLB_Stats_Dataset__1[[#This Row],[Position'#]],$B$373:$B$382,$A$373:$A$382)</f>
        <v>2B</v>
      </c>
      <c r="G317">
        <v>4</v>
      </c>
      <c r="H317">
        <v>588</v>
      </c>
      <c r="I317">
        <v>166</v>
      </c>
      <c r="J317">
        <v>36</v>
      </c>
      <c r="K317">
        <v>1</v>
      </c>
      <c r="L317">
        <v>14</v>
      </c>
      <c r="M317">
        <v>86</v>
      </c>
      <c r="N317">
        <v>56</v>
      </c>
      <c r="O317">
        <v>70</v>
      </c>
      <c r="P317">
        <v>59</v>
      </c>
      <c r="Q317">
        <v>3</v>
      </c>
      <c r="R317">
        <v>2</v>
      </c>
      <c r="S317">
        <v>5</v>
      </c>
      <c r="T317">
        <v>3</v>
      </c>
      <c r="U317" s="6">
        <f>Cleaned_MLB_Stats_Dataset__1[[#This Row],[Hits]]/Cleaned_MLB_Stats_Dataset__1[[#This Row],[At Bats]]</f>
        <v>0.28231292517006801</v>
      </c>
      <c r="V317" s="6">
        <f>Cleaned_MLB_Stats_Dataset__1[[#This Row],[Strikeouts]]/(Cleaned_MLB_Stats_Dataset__1[[#This Row],[At Bats]]+Cleaned_MLB_Stats_Dataset__1[[#This Row],[Walks]])</f>
        <v>0.10819165378670788</v>
      </c>
      <c r="W31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9.3990755007704166E-2</v>
      </c>
      <c r="X31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0.3470948012232416</v>
      </c>
      <c r="Y31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0.41836734693877553</v>
      </c>
      <c r="Z317" s="6">
        <f>Cleaned_MLB_Stats_Dataset__1[[#This Row],[On Base Percentage]]+Cleaned_MLB_Stats_Dataset__1[[#This Row],[Slugging %]]</f>
        <v>0.76546214816201719</v>
      </c>
      <c r="AA317" s="6">
        <f>Cleaned_MLB_Stats_Dataset__1[[#This Row],[Slugging %]]-Cleaned_MLB_Stats_Dataset__1[[#This Row],[Batting Average]]</f>
        <v>0.13605442176870752</v>
      </c>
      <c r="AB317" s="6">
        <f>Cleaned_MLB_Stats_Dataset__1[[#This Row],[Batting Average]]-_xlfn.XLOOKUP(Cleaned_MLB_Stats_Dataset__1[[#This Row],[Year]],'League Averages'!$A$3:$A$23,'League Averages'!$B$3:$B$23)</f>
        <v>1.6312925170067993E-2</v>
      </c>
      <c r="AC317" s="6">
        <f>Cleaned_MLB_Stats_Dataset__1[[#This Row],[On Base Percentage]]-_xlfn.XLOOKUP(Cleaned_MLB_Stats_Dataset__1[[#This Row],[Year]],'League Averages'!$A$3:$A$23,'League Averages'!$C$3:$C$23)</f>
        <v>1.209480122324158E-2</v>
      </c>
      <c r="AD317" s="6">
        <f>Cleaned_MLB_Stats_Dataset__1[[#This Row],[Slugging %]]-_xlfn.XLOOKUP(Cleaned_MLB_Stats_Dataset__1[[#This Row],[Year]],'League Averages'!$A$3:$A$23,'League Averages'!$D$3:$D$23)</f>
        <v>-1.6326530612244539E-3</v>
      </c>
      <c r="AE317" s="6">
        <f>Cleaned_MLB_Stats_Dataset__1[[#This Row],[OPS (On Base + Slugging)]]-_xlfn.XLOOKUP(Cleaned_MLB_Stats_Dataset__1[[#This Row],[Year]],'League Averages'!$A$3:$A$23,'League Averages'!$E$3:$E$23)</f>
        <v>1.0462148162017182E-2</v>
      </c>
      <c r="AF317" s="6">
        <f>Cleaned_MLB_Stats_Dataset__1[[#This Row],[ISO (Isolated Power]]-_xlfn.XLOOKUP(Cleaned_MLB_Stats_Dataset__1[[#This Row],[Year]],'League Averages'!$A$3:$A$23,'League Averages'!$F$3:$F$23)</f>
        <v>-1.7945578231292475E-2</v>
      </c>
    </row>
    <row r="318" spans="1:32" x14ac:dyDescent="0.2">
      <c r="A318" t="s">
        <v>309</v>
      </c>
      <c r="B318">
        <v>1994</v>
      </c>
      <c r="C318" t="s">
        <v>140</v>
      </c>
      <c r="D318" t="s">
        <v>3</v>
      </c>
      <c r="E318" t="s">
        <v>85</v>
      </c>
      <c r="F318" t="str">
        <f>_xlfn.XLOOKUP(Cleaned_MLB_Stats_Dataset__1[[#This Row],[Position'#]],$B$373:$B$382,$A$373:$A$382)</f>
        <v>RF</v>
      </c>
      <c r="G318">
        <v>9</v>
      </c>
      <c r="H318">
        <v>352</v>
      </c>
      <c r="I318">
        <v>110</v>
      </c>
      <c r="J318">
        <v>16</v>
      </c>
      <c r="K318">
        <v>2</v>
      </c>
      <c r="L318">
        <v>19</v>
      </c>
      <c r="M318">
        <v>61</v>
      </c>
      <c r="N318">
        <v>59</v>
      </c>
      <c r="O318">
        <v>45</v>
      </c>
      <c r="P318">
        <v>69</v>
      </c>
      <c r="Q318">
        <v>5</v>
      </c>
      <c r="R318">
        <v>2</v>
      </c>
      <c r="S318">
        <v>1</v>
      </c>
      <c r="T318">
        <v>0</v>
      </c>
      <c r="U318" s="6">
        <f>Cleaned_MLB_Stats_Dataset__1[[#This Row],[Hits]]/Cleaned_MLB_Stats_Dataset__1[[#This Row],[At Bats]]</f>
        <v>0.3125</v>
      </c>
      <c r="V318" s="6">
        <f>Cleaned_MLB_Stats_Dataset__1[[#This Row],[Strikeouts]]/(Cleaned_MLB_Stats_Dataset__1[[#This Row],[At Bats]]+Cleaned_MLB_Stats_Dataset__1[[#This Row],[Walks]])</f>
        <v>0.10688836104513064</v>
      </c>
      <c r="W31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0.16784869976359337</v>
      </c>
      <c r="X31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0.42688679245283018</v>
      </c>
      <c r="Y31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0.53125</v>
      </c>
      <c r="Z318" s="6">
        <f>Cleaned_MLB_Stats_Dataset__1[[#This Row],[On Base Percentage]]+Cleaned_MLB_Stats_Dataset__1[[#This Row],[Slugging %]]</f>
        <v>0.95813679245283012</v>
      </c>
      <c r="AA318" s="6">
        <f>Cleaned_MLB_Stats_Dataset__1[[#This Row],[Slugging %]]-Cleaned_MLB_Stats_Dataset__1[[#This Row],[Batting Average]]</f>
        <v>0.21875</v>
      </c>
      <c r="AB318" s="6">
        <f>Cleaned_MLB_Stats_Dataset__1[[#This Row],[Batting Average]]-_xlfn.XLOOKUP(Cleaned_MLB_Stats_Dataset__1[[#This Row],[Year]],'League Averages'!$A$3:$A$23,'League Averages'!$B$3:$B$23)</f>
        <v>4.2499999999999982E-2</v>
      </c>
      <c r="AC318" s="6">
        <f>Cleaned_MLB_Stats_Dataset__1[[#This Row],[On Base Percentage]]-_xlfn.XLOOKUP(Cleaned_MLB_Stats_Dataset__1[[#This Row],[Year]],'League Averages'!$A$3:$A$23,'League Averages'!$C$3:$C$23)</f>
        <v>8.7886792452830154E-2</v>
      </c>
      <c r="AD318" s="6">
        <f>Cleaned_MLB_Stats_Dataset__1[[#This Row],[Slugging %]]-_xlfn.XLOOKUP(Cleaned_MLB_Stats_Dataset__1[[#This Row],[Year]],'League Averages'!$A$3:$A$23,'League Averages'!$D$3:$D$23)</f>
        <v>0.10725000000000001</v>
      </c>
      <c r="AE318" s="6">
        <f>Cleaned_MLB_Stats_Dataset__1[[#This Row],[OPS (On Base + Slugging)]]-_xlfn.XLOOKUP(Cleaned_MLB_Stats_Dataset__1[[#This Row],[Year]],'League Averages'!$A$3:$A$23,'League Averages'!$E$3:$E$23)</f>
        <v>0.19513679245283011</v>
      </c>
      <c r="AF318" s="6">
        <f>Cleaned_MLB_Stats_Dataset__1[[#This Row],[ISO (Isolated Power]]-_xlfn.XLOOKUP(Cleaned_MLB_Stats_Dataset__1[[#This Row],[Year]],'League Averages'!$A$3:$A$23,'League Averages'!$F$3:$F$23)</f>
        <v>6.4750000000000002E-2</v>
      </c>
    </row>
    <row r="319" spans="1:32" x14ac:dyDescent="0.2">
      <c r="A319" t="s">
        <v>309</v>
      </c>
      <c r="B319">
        <v>1994</v>
      </c>
      <c r="C319" t="s">
        <v>155</v>
      </c>
      <c r="D319" t="s">
        <v>6</v>
      </c>
      <c r="E319" t="s">
        <v>90</v>
      </c>
      <c r="F319" t="str">
        <f>_xlfn.XLOOKUP(Cleaned_MLB_Stats_Dataset__1[[#This Row],[Position'#]],$B$373:$B$382,$A$373:$A$382)</f>
        <v>C</v>
      </c>
      <c r="G319">
        <v>2</v>
      </c>
      <c r="H319">
        <v>363</v>
      </c>
      <c r="I319">
        <v>108</v>
      </c>
      <c r="J319">
        <v>19</v>
      </c>
      <c r="K319">
        <v>1</v>
      </c>
      <c r="L319">
        <v>16</v>
      </c>
      <c r="M319">
        <v>56</v>
      </c>
      <c r="N319">
        <v>57</v>
      </c>
      <c r="O319">
        <v>42</v>
      </c>
      <c r="P319">
        <v>31</v>
      </c>
      <c r="Q319">
        <v>5</v>
      </c>
      <c r="R319">
        <v>7</v>
      </c>
      <c r="S319">
        <v>4</v>
      </c>
      <c r="T319">
        <v>0</v>
      </c>
      <c r="U319" s="6">
        <f>Cleaned_MLB_Stats_Dataset__1[[#This Row],[Hits]]/Cleaned_MLB_Stats_Dataset__1[[#This Row],[At Bats]]</f>
        <v>0.2975206611570248</v>
      </c>
      <c r="V319" s="6">
        <f>Cleaned_MLB_Stats_Dataset__1[[#This Row],[Strikeouts]]/(Cleaned_MLB_Stats_Dataset__1[[#This Row],[At Bats]]+Cleaned_MLB_Stats_Dataset__1[[#This Row],[Walks]])</f>
        <v>0.1065989847715736</v>
      </c>
      <c r="W31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9.4763092269326679E-2</v>
      </c>
      <c r="X31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0.36049382716049383</v>
      </c>
      <c r="Y31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0.48760330578512395</v>
      </c>
      <c r="Z319" s="6">
        <f>Cleaned_MLB_Stats_Dataset__1[[#This Row],[On Base Percentage]]+Cleaned_MLB_Stats_Dataset__1[[#This Row],[Slugging %]]</f>
        <v>0.84809713294561773</v>
      </c>
      <c r="AA319" s="6">
        <f>Cleaned_MLB_Stats_Dataset__1[[#This Row],[Slugging %]]-Cleaned_MLB_Stats_Dataset__1[[#This Row],[Batting Average]]</f>
        <v>0.19008264462809915</v>
      </c>
      <c r="AB319" s="6">
        <f>Cleaned_MLB_Stats_Dataset__1[[#This Row],[Batting Average]]-_xlfn.XLOOKUP(Cleaned_MLB_Stats_Dataset__1[[#This Row],[Year]],'League Averages'!$A$3:$A$23,'League Averages'!$B$3:$B$23)</f>
        <v>2.7520661157024784E-2</v>
      </c>
      <c r="AC319" s="6">
        <f>Cleaned_MLB_Stats_Dataset__1[[#This Row],[On Base Percentage]]-_xlfn.XLOOKUP(Cleaned_MLB_Stats_Dataset__1[[#This Row],[Year]],'League Averages'!$A$3:$A$23,'League Averages'!$C$3:$C$23)</f>
        <v>2.1493827160493806E-2</v>
      </c>
      <c r="AD319" s="6">
        <f>Cleaned_MLB_Stats_Dataset__1[[#This Row],[Slugging %]]-_xlfn.XLOOKUP(Cleaned_MLB_Stats_Dataset__1[[#This Row],[Year]],'League Averages'!$A$3:$A$23,'League Averages'!$D$3:$D$23)</f>
        <v>6.3603305785123965E-2</v>
      </c>
      <c r="AE319" s="6">
        <f>Cleaned_MLB_Stats_Dataset__1[[#This Row],[OPS (On Base + Slugging)]]-_xlfn.XLOOKUP(Cleaned_MLB_Stats_Dataset__1[[#This Row],[Year]],'League Averages'!$A$3:$A$23,'League Averages'!$E$3:$E$23)</f>
        <v>8.5097132945617715E-2</v>
      </c>
      <c r="AF319" s="6">
        <f>Cleaned_MLB_Stats_Dataset__1[[#This Row],[ISO (Isolated Power]]-_xlfn.XLOOKUP(Cleaned_MLB_Stats_Dataset__1[[#This Row],[Year]],'League Averages'!$A$3:$A$23,'League Averages'!$F$3:$F$23)</f>
        <v>3.6082644628099153E-2</v>
      </c>
    </row>
    <row r="320" spans="1:32" x14ac:dyDescent="0.2">
      <c r="A320" t="s">
        <v>309</v>
      </c>
      <c r="B320">
        <v>1996</v>
      </c>
      <c r="C320" t="s">
        <v>130</v>
      </c>
      <c r="D320" t="s">
        <v>3</v>
      </c>
      <c r="E320" t="s">
        <v>82</v>
      </c>
      <c r="F320" t="str">
        <f>_xlfn.XLOOKUP(Cleaned_MLB_Stats_Dataset__1[[#This Row],[Position'#]],$B$373:$B$382,$A$373:$A$382)</f>
        <v>2B</v>
      </c>
      <c r="G320">
        <v>4</v>
      </c>
      <c r="H320">
        <v>605</v>
      </c>
      <c r="I320">
        <v>174</v>
      </c>
      <c r="J320">
        <v>24</v>
      </c>
      <c r="K320">
        <v>4</v>
      </c>
      <c r="L320">
        <v>15</v>
      </c>
      <c r="M320">
        <v>113</v>
      </c>
      <c r="N320">
        <v>75</v>
      </c>
      <c r="O320">
        <v>72</v>
      </c>
      <c r="P320">
        <v>75</v>
      </c>
      <c r="Q320">
        <v>0</v>
      </c>
      <c r="R320">
        <v>27</v>
      </c>
      <c r="S320">
        <v>8</v>
      </c>
      <c r="T320">
        <v>8</v>
      </c>
      <c r="U320" s="6">
        <f>Cleaned_MLB_Stats_Dataset__1[[#This Row],[Hits]]/Cleaned_MLB_Stats_Dataset__1[[#This Row],[At Bats]]</f>
        <v>0.28760330578512394</v>
      </c>
      <c r="V320" s="6">
        <f>Cleaned_MLB_Stats_Dataset__1[[#This Row],[Strikeouts]]/(Cleaned_MLB_Stats_Dataset__1[[#This Row],[At Bats]]+Cleaned_MLB_Stats_Dataset__1[[#This Row],[Walks]])</f>
        <v>0.10588235294117647</v>
      </c>
      <c r="W32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0.14427157001414428</v>
      </c>
      <c r="X32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0.38601398601398601</v>
      </c>
      <c r="Y32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0.41487603305785126</v>
      </c>
      <c r="Z320" s="6">
        <f>Cleaned_MLB_Stats_Dataset__1[[#This Row],[On Base Percentage]]+Cleaned_MLB_Stats_Dataset__1[[#This Row],[Slugging %]]</f>
        <v>0.80089001907183732</v>
      </c>
      <c r="AA320" s="6">
        <f>Cleaned_MLB_Stats_Dataset__1[[#This Row],[Slugging %]]-Cleaned_MLB_Stats_Dataset__1[[#This Row],[Batting Average]]</f>
        <v>0.12727272727272732</v>
      </c>
      <c r="AB320" s="6">
        <f>Cleaned_MLB_Stats_Dataset__1[[#This Row],[Batting Average]]-_xlfn.XLOOKUP(Cleaned_MLB_Stats_Dataset__1[[#This Row],[Year]],'League Averages'!$A$3:$A$23,'League Averages'!$B$3:$B$23)</f>
        <v>1.7603305785123924E-2</v>
      </c>
      <c r="AC320" s="6">
        <f>Cleaned_MLB_Stats_Dataset__1[[#This Row],[On Base Percentage]]-_xlfn.XLOOKUP(Cleaned_MLB_Stats_Dataset__1[[#This Row],[Year]],'League Averages'!$A$3:$A$23,'League Averages'!$C$3:$C$23)</f>
        <v>4.6013986013985986E-2</v>
      </c>
      <c r="AD320" s="6">
        <f>Cleaned_MLB_Stats_Dataset__1[[#This Row],[Slugging %]]-_xlfn.XLOOKUP(Cleaned_MLB_Stats_Dataset__1[[#This Row],[Year]],'League Averages'!$A$3:$A$23,'League Averages'!$D$3:$D$23)</f>
        <v>-1.2123966942148734E-2</v>
      </c>
      <c r="AE320" s="6">
        <f>Cleaned_MLB_Stats_Dataset__1[[#This Row],[OPS (On Base + Slugging)]]-_xlfn.XLOOKUP(Cleaned_MLB_Stats_Dataset__1[[#This Row],[Year]],'League Averages'!$A$3:$A$23,'League Averages'!$E$3:$E$23)</f>
        <v>3.3890019071837307E-2</v>
      </c>
      <c r="AF320" s="6">
        <f>Cleaned_MLB_Stats_Dataset__1[[#This Row],[ISO (Isolated Power]]-_xlfn.XLOOKUP(Cleaned_MLB_Stats_Dataset__1[[#This Row],[Year]],'League Averages'!$A$3:$A$23,'League Averages'!$F$3:$F$23)</f>
        <v>-2.9727272727272686E-2</v>
      </c>
    </row>
    <row r="321" spans="1:32" x14ac:dyDescent="0.2">
      <c r="A321" t="s">
        <v>309</v>
      </c>
      <c r="B321">
        <v>2002</v>
      </c>
      <c r="C321" t="s">
        <v>201</v>
      </c>
      <c r="D321" t="s">
        <v>3</v>
      </c>
      <c r="E321" t="s">
        <v>89</v>
      </c>
      <c r="F321" t="str">
        <f>_xlfn.XLOOKUP(Cleaned_MLB_Stats_Dataset__1[[#This Row],[Position'#]],$B$373:$B$382,$A$373:$A$382)</f>
        <v>2B</v>
      </c>
      <c r="G321">
        <v>4</v>
      </c>
      <c r="H321">
        <v>604</v>
      </c>
      <c r="I321">
        <v>190</v>
      </c>
      <c r="J321">
        <v>43</v>
      </c>
      <c r="K321">
        <v>3</v>
      </c>
      <c r="L321">
        <v>19</v>
      </c>
      <c r="M321">
        <v>103</v>
      </c>
      <c r="N321">
        <v>96</v>
      </c>
      <c r="O321">
        <v>70</v>
      </c>
      <c r="P321">
        <v>60</v>
      </c>
      <c r="Q321">
        <v>1</v>
      </c>
      <c r="R321">
        <v>3</v>
      </c>
      <c r="S321">
        <v>3</v>
      </c>
      <c r="T321">
        <v>11</v>
      </c>
      <c r="U321" s="6">
        <f>Cleaned_MLB_Stats_Dataset__1[[#This Row],[Hits]]/Cleaned_MLB_Stats_Dataset__1[[#This Row],[At Bats]]</f>
        <v>0.31456953642384106</v>
      </c>
      <c r="V321" s="6">
        <f>Cleaned_MLB_Stats_Dataset__1[[#This Row],[Strikeouts]]/(Cleaned_MLB_Stats_Dataset__1[[#This Row],[At Bats]]+Cleaned_MLB_Stats_Dataset__1[[#This Row],[Walks]])</f>
        <v>0.10542168674698796</v>
      </c>
      <c r="W32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9.4452773613193403E-2</v>
      </c>
      <c r="X32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0.37761194029850748</v>
      </c>
      <c r="Y32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0.49006622516556292</v>
      </c>
      <c r="Z321" s="6">
        <f>Cleaned_MLB_Stats_Dataset__1[[#This Row],[On Base Percentage]]+Cleaned_MLB_Stats_Dataset__1[[#This Row],[Slugging %]]</f>
        <v>0.86767816546407039</v>
      </c>
      <c r="AA321" s="6">
        <f>Cleaned_MLB_Stats_Dataset__1[[#This Row],[Slugging %]]-Cleaned_MLB_Stats_Dataset__1[[#This Row],[Batting Average]]</f>
        <v>0.17549668874172186</v>
      </c>
      <c r="AB321" s="6">
        <f>Cleaned_MLB_Stats_Dataset__1[[#This Row],[Batting Average]]-_xlfn.XLOOKUP(Cleaned_MLB_Stats_Dataset__1[[#This Row],[Year]],'League Averages'!$A$3:$A$23,'League Averages'!$B$3:$B$23)</f>
        <v>5.3569536423841047E-2</v>
      </c>
      <c r="AC321" s="6">
        <f>Cleaned_MLB_Stats_Dataset__1[[#This Row],[On Base Percentage]]-_xlfn.XLOOKUP(Cleaned_MLB_Stats_Dataset__1[[#This Row],[Year]],'League Averages'!$A$3:$A$23,'League Averages'!$C$3:$C$23)</f>
        <v>4.6611940298507459E-2</v>
      </c>
      <c r="AD321" s="6">
        <f>Cleaned_MLB_Stats_Dataset__1[[#This Row],[Slugging %]]-_xlfn.XLOOKUP(Cleaned_MLB_Stats_Dataset__1[[#This Row],[Year]],'League Averages'!$A$3:$A$23,'League Averages'!$D$3:$D$23)</f>
        <v>7.3066225165562937E-2</v>
      </c>
      <c r="AE321" s="6">
        <f>Cleaned_MLB_Stats_Dataset__1[[#This Row],[OPS (On Base + Slugging)]]-_xlfn.XLOOKUP(Cleaned_MLB_Stats_Dataset__1[[#This Row],[Year]],'League Averages'!$A$3:$A$23,'League Averages'!$E$3:$E$23)</f>
        <v>0.1196781654640704</v>
      </c>
      <c r="AF321" s="6">
        <f>Cleaned_MLB_Stats_Dataset__1[[#This Row],[ISO (Isolated Power]]-_xlfn.XLOOKUP(Cleaned_MLB_Stats_Dataset__1[[#This Row],[Year]],'League Averages'!$A$3:$A$23,'League Averages'!$F$3:$F$23)</f>
        <v>1.9496688741721863E-2</v>
      </c>
    </row>
    <row r="322" spans="1:32" x14ac:dyDescent="0.2">
      <c r="A322" t="s">
        <v>309</v>
      </c>
      <c r="B322">
        <v>2001</v>
      </c>
      <c r="C322" t="s">
        <v>141</v>
      </c>
      <c r="D322" t="s">
        <v>6</v>
      </c>
      <c r="E322" t="s">
        <v>91</v>
      </c>
      <c r="F322" t="str">
        <f>_xlfn.XLOOKUP(Cleaned_MLB_Stats_Dataset__1[[#This Row],[Position'#]],$B$373:$B$382,$A$373:$A$382)</f>
        <v>1B</v>
      </c>
      <c r="G322">
        <v>3</v>
      </c>
      <c r="H322">
        <v>572</v>
      </c>
      <c r="I322">
        <v>173</v>
      </c>
      <c r="J322">
        <v>32</v>
      </c>
      <c r="K322">
        <v>1</v>
      </c>
      <c r="L322">
        <v>21</v>
      </c>
      <c r="M322">
        <v>91</v>
      </c>
      <c r="N322">
        <v>95</v>
      </c>
      <c r="O322">
        <v>70</v>
      </c>
      <c r="P322">
        <v>94</v>
      </c>
      <c r="Q322">
        <v>19</v>
      </c>
      <c r="R322">
        <v>5</v>
      </c>
      <c r="S322">
        <v>7</v>
      </c>
      <c r="T322">
        <v>1</v>
      </c>
      <c r="U322" s="6">
        <f>Cleaned_MLB_Stats_Dataset__1[[#This Row],[Hits]]/Cleaned_MLB_Stats_Dataset__1[[#This Row],[At Bats]]</f>
        <v>0.30244755244755245</v>
      </c>
      <c r="V322" s="6">
        <f>Cleaned_MLB_Stats_Dataset__1[[#This Row],[Strikeouts]]/(Cleaned_MLB_Stats_Dataset__1[[#This Row],[At Bats]]+Cleaned_MLB_Stats_Dataset__1[[#This Row],[Walks]])</f>
        <v>0.10510510510510511</v>
      </c>
      <c r="W32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0.14754098360655737</v>
      </c>
      <c r="X32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0.40117994100294985</v>
      </c>
      <c r="Y32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0.47202797202797203</v>
      </c>
      <c r="Z322" s="6">
        <f>Cleaned_MLB_Stats_Dataset__1[[#This Row],[On Base Percentage]]+Cleaned_MLB_Stats_Dataset__1[[#This Row],[Slugging %]]</f>
        <v>0.87320791303092182</v>
      </c>
      <c r="AA322" s="6">
        <f>Cleaned_MLB_Stats_Dataset__1[[#This Row],[Slugging %]]-Cleaned_MLB_Stats_Dataset__1[[#This Row],[Batting Average]]</f>
        <v>0.16958041958041958</v>
      </c>
      <c r="AB322" s="6">
        <f>Cleaned_MLB_Stats_Dataset__1[[#This Row],[Batting Average]]-_xlfn.XLOOKUP(Cleaned_MLB_Stats_Dataset__1[[#This Row],[Year]],'League Averages'!$A$3:$A$23,'League Averages'!$B$3:$B$23)</f>
        <v>3.8447552447552436E-2</v>
      </c>
      <c r="AC322" s="6">
        <f>Cleaned_MLB_Stats_Dataset__1[[#This Row],[On Base Percentage]]-_xlfn.XLOOKUP(Cleaned_MLB_Stats_Dataset__1[[#This Row],[Year]],'League Averages'!$A$3:$A$23,'League Averages'!$C$3:$C$23)</f>
        <v>6.917994100294983E-2</v>
      </c>
      <c r="AD322" s="6">
        <f>Cleaned_MLB_Stats_Dataset__1[[#This Row],[Slugging %]]-_xlfn.XLOOKUP(Cleaned_MLB_Stats_Dataset__1[[#This Row],[Year]],'League Averages'!$A$3:$A$23,'League Averages'!$D$3:$D$23)</f>
        <v>4.5027972027972041E-2</v>
      </c>
      <c r="AE322" s="6">
        <f>Cleaned_MLB_Stats_Dataset__1[[#This Row],[OPS (On Base + Slugging)]]-_xlfn.XLOOKUP(Cleaned_MLB_Stats_Dataset__1[[#This Row],[Year]],'League Averages'!$A$3:$A$23,'League Averages'!$E$3:$E$23)</f>
        <v>0.11420791303092181</v>
      </c>
      <c r="AF322" s="6">
        <f>Cleaned_MLB_Stats_Dataset__1[[#This Row],[ISO (Isolated Power]]-_xlfn.XLOOKUP(Cleaned_MLB_Stats_Dataset__1[[#This Row],[Year]],'League Averages'!$A$3:$A$23,'League Averages'!$F$3:$F$23)</f>
        <v>6.5804195804195775E-3</v>
      </c>
    </row>
    <row r="323" spans="1:32" x14ac:dyDescent="0.2">
      <c r="A323" t="s">
        <v>309</v>
      </c>
      <c r="B323">
        <v>1999</v>
      </c>
      <c r="C323" t="s">
        <v>144</v>
      </c>
      <c r="D323" t="s">
        <v>3</v>
      </c>
      <c r="E323" t="s">
        <v>164</v>
      </c>
      <c r="F323" t="str">
        <f>_xlfn.XLOOKUP(Cleaned_MLB_Stats_Dataset__1[[#This Row],[Position'#]],$B$373:$B$382,$A$373:$A$382)</f>
        <v>RF</v>
      </c>
      <c r="G323">
        <v>9</v>
      </c>
      <c r="H323">
        <v>438</v>
      </c>
      <c r="I323">
        <v>166</v>
      </c>
      <c r="J323">
        <v>26</v>
      </c>
      <c r="K323">
        <v>4</v>
      </c>
      <c r="L323">
        <v>37</v>
      </c>
      <c r="M323">
        <v>108</v>
      </c>
      <c r="N323">
        <v>115</v>
      </c>
      <c r="O323">
        <v>52</v>
      </c>
      <c r="P323">
        <v>57</v>
      </c>
      <c r="Q323">
        <v>8</v>
      </c>
      <c r="R323">
        <v>12</v>
      </c>
      <c r="S323">
        <v>6</v>
      </c>
      <c r="T323">
        <v>0</v>
      </c>
      <c r="U323" s="6">
        <f>Cleaned_MLB_Stats_Dataset__1[[#This Row],[Hits]]/Cleaned_MLB_Stats_Dataset__1[[#This Row],[At Bats]]</f>
        <v>0.37899543378995432</v>
      </c>
      <c r="V323" s="6">
        <f>Cleaned_MLB_Stats_Dataset__1[[#This Row],[Strikeouts]]/(Cleaned_MLB_Stats_Dataset__1[[#This Row],[At Bats]]+Cleaned_MLB_Stats_Dataset__1[[#This Row],[Walks]])</f>
        <v>0.10505050505050505</v>
      </c>
      <c r="W32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0.13609467455621302</v>
      </c>
      <c r="X32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0.45808966861598438</v>
      </c>
      <c r="Y32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0.71004566210045661</v>
      </c>
      <c r="Z323" s="6">
        <f>Cleaned_MLB_Stats_Dataset__1[[#This Row],[On Base Percentage]]+Cleaned_MLB_Stats_Dataset__1[[#This Row],[Slugging %]]</f>
        <v>1.168135330716441</v>
      </c>
      <c r="AA323" s="6">
        <f>Cleaned_MLB_Stats_Dataset__1[[#This Row],[Slugging %]]-Cleaned_MLB_Stats_Dataset__1[[#This Row],[Batting Average]]</f>
        <v>0.33105022831050229</v>
      </c>
      <c r="AB323" s="6">
        <f>Cleaned_MLB_Stats_Dataset__1[[#This Row],[Batting Average]]-_xlfn.XLOOKUP(Cleaned_MLB_Stats_Dataset__1[[#This Row],[Year]],'League Averages'!$A$3:$A$23,'League Averages'!$B$3:$B$23)</f>
        <v>0.1079954337899543</v>
      </c>
      <c r="AC323" s="6">
        <f>Cleaned_MLB_Stats_Dataset__1[[#This Row],[On Base Percentage]]-_xlfn.XLOOKUP(Cleaned_MLB_Stats_Dataset__1[[#This Row],[Year]],'League Averages'!$A$3:$A$23,'League Averages'!$C$3:$C$23)</f>
        <v>0.11308966861598441</v>
      </c>
      <c r="AD323" s="6">
        <f>Cleaned_MLB_Stats_Dataset__1[[#This Row],[Slugging %]]-_xlfn.XLOOKUP(Cleaned_MLB_Stats_Dataset__1[[#This Row],[Year]],'League Averages'!$A$3:$A$23,'League Averages'!$D$3:$D$23)</f>
        <v>0.27604566210045661</v>
      </c>
      <c r="AE323" s="6">
        <f>Cleaned_MLB_Stats_Dataset__1[[#This Row],[OPS (On Base + Slugging)]]-_xlfn.XLOOKUP(Cleaned_MLB_Stats_Dataset__1[[#This Row],[Year]],'League Averages'!$A$3:$A$23,'League Averages'!$E$3:$E$23)</f>
        <v>0.39013533071644102</v>
      </c>
      <c r="AF323" s="6">
        <f>Cleaned_MLB_Stats_Dataset__1[[#This Row],[ISO (Isolated Power]]-_xlfn.XLOOKUP(Cleaned_MLB_Stats_Dataset__1[[#This Row],[Year]],'League Averages'!$A$3:$A$23,'League Averages'!$F$3:$F$23)</f>
        <v>0.16805022831050229</v>
      </c>
    </row>
    <row r="324" spans="1:32" x14ac:dyDescent="0.2">
      <c r="A324" t="s">
        <v>309</v>
      </c>
      <c r="B324">
        <v>1998</v>
      </c>
      <c r="C324" t="s">
        <v>95</v>
      </c>
      <c r="D324" t="s">
        <v>6</v>
      </c>
      <c r="E324" t="s">
        <v>78</v>
      </c>
      <c r="F324" t="str">
        <f>_xlfn.XLOOKUP(Cleaned_MLB_Stats_Dataset__1[[#This Row],[Position'#]],$B$373:$B$382,$A$373:$A$382)</f>
        <v>3B</v>
      </c>
      <c r="G324">
        <v>5</v>
      </c>
      <c r="H324">
        <v>601</v>
      </c>
      <c r="I324">
        <v>163</v>
      </c>
      <c r="J324">
        <v>27</v>
      </c>
      <c r="K324">
        <v>1</v>
      </c>
      <c r="L324">
        <v>14</v>
      </c>
      <c r="M324">
        <v>65</v>
      </c>
      <c r="N324">
        <v>61</v>
      </c>
      <c r="O324">
        <v>68</v>
      </c>
      <c r="P324">
        <v>51</v>
      </c>
      <c r="Q324">
        <v>0</v>
      </c>
      <c r="R324">
        <v>4</v>
      </c>
      <c r="S324">
        <v>2</v>
      </c>
      <c r="T324">
        <v>1</v>
      </c>
      <c r="U324" s="6">
        <f>Cleaned_MLB_Stats_Dataset__1[[#This Row],[Hits]]/Cleaned_MLB_Stats_Dataset__1[[#This Row],[At Bats]]</f>
        <v>0.27121464226289516</v>
      </c>
      <c r="V324" s="6">
        <f>Cleaned_MLB_Stats_Dataset__1[[#This Row],[Strikeouts]]/(Cleaned_MLB_Stats_Dataset__1[[#This Row],[At Bats]]+Cleaned_MLB_Stats_Dataset__1[[#This Row],[Walks]])</f>
        <v>0.10429447852760736</v>
      </c>
      <c r="W32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8.3841463414634151E-2</v>
      </c>
      <c r="X32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0.33130699088145898</v>
      </c>
      <c r="Y32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0.38935108153078202</v>
      </c>
      <c r="Z324" s="6">
        <f>Cleaned_MLB_Stats_Dataset__1[[#This Row],[On Base Percentage]]+Cleaned_MLB_Stats_Dataset__1[[#This Row],[Slugging %]]</f>
        <v>0.720658072412241</v>
      </c>
      <c r="AA324" s="6">
        <f>Cleaned_MLB_Stats_Dataset__1[[#This Row],[Slugging %]]-Cleaned_MLB_Stats_Dataset__1[[#This Row],[Batting Average]]</f>
        <v>0.11813643926788686</v>
      </c>
      <c r="AB324" s="6">
        <f>Cleaned_MLB_Stats_Dataset__1[[#This Row],[Batting Average]]-_xlfn.XLOOKUP(Cleaned_MLB_Stats_Dataset__1[[#This Row],[Year]],'League Averages'!$A$3:$A$23,'League Averages'!$B$3:$B$23)</f>
        <v>5.2146422628951417E-3</v>
      </c>
      <c r="AC324" s="6">
        <f>Cleaned_MLB_Stats_Dataset__1[[#This Row],[On Base Percentage]]-_xlfn.XLOOKUP(Cleaned_MLB_Stats_Dataset__1[[#This Row],[Year]],'League Averages'!$A$3:$A$23,'League Averages'!$C$3:$C$23)</f>
        <v>-3.6930091185410352E-3</v>
      </c>
      <c r="AD324" s="6">
        <f>Cleaned_MLB_Stats_Dataset__1[[#This Row],[Slugging %]]-_xlfn.XLOOKUP(Cleaned_MLB_Stats_Dataset__1[[#This Row],[Year]],'League Averages'!$A$3:$A$23,'League Averages'!$D$3:$D$23)</f>
        <v>-3.0648918469217967E-2</v>
      </c>
      <c r="AE324" s="6">
        <f>Cleaned_MLB_Stats_Dataset__1[[#This Row],[OPS (On Base + Slugging)]]-_xlfn.XLOOKUP(Cleaned_MLB_Stats_Dataset__1[[#This Row],[Year]],'League Averages'!$A$3:$A$23,'League Averages'!$E$3:$E$23)</f>
        <v>-3.4341927587759002E-2</v>
      </c>
      <c r="AF324" s="6">
        <f>Cleaned_MLB_Stats_Dataset__1[[#This Row],[ISO (Isolated Power]]-_xlfn.XLOOKUP(Cleaned_MLB_Stats_Dataset__1[[#This Row],[Year]],'League Averages'!$A$3:$A$23,'League Averages'!$F$3:$F$23)</f>
        <v>-3.5863560732113137E-2</v>
      </c>
    </row>
    <row r="325" spans="1:32" x14ac:dyDescent="0.2">
      <c r="A325" t="s">
        <v>309</v>
      </c>
      <c r="B325">
        <v>1999</v>
      </c>
      <c r="C325" t="s">
        <v>117</v>
      </c>
      <c r="D325" t="s">
        <v>6</v>
      </c>
      <c r="E325" t="s">
        <v>90</v>
      </c>
      <c r="F325" t="str">
        <f>_xlfn.XLOOKUP(Cleaned_MLB_Stats_Dataset__1[[#This Row],[Position'#]],$B$373:$B$382,$A$373:$A$382)</f>
        <v>DH</v>
      </c>
      <c r="G325">
        <v>10</v>
      </c>
      <c r="H325">
        <v>565</v>
      </c>
      <c r="I325">
        <v>183</v>
      </c>
      <c r="J325">
        <v>30</v>
      </c>
      <c r="K325">
        <v>1</v>
      </c>
      <c r="L325">
        <v>47</v>
      </c>
      <c r="M325">
        <v>96</v>
      </c>
      <c r="N325">
        <v>148</v>
      </c>
      <c r="O325">
        <v>69</v>
      </c>
      <c r="P325">
        <v>97</v>
      </c>
      <c r="Q325">
        <v>14</v>
      </c>
      <c r="R325">
        <v>3</v>
      </c>
      <c r="S325">
        <v>9</v>
      </c>
      <c r="T325">
        <v>0</v>
      </c>
      <c r="U325" s="6">
        <f>Cleaned_MLB_Stats_Dataset__1[[#This Row],[Hits]]/Cleaned_MLB_Stats_Dataset__1[[#This Row],[At Bats]]</f>
        <v>0.32389380530973449</v>
      </c>
      <c r="V325" s="6">
        <f>Cleaned_MLB_Stats_Dataset__1[[#This Row],[Strikeouts]]/(Cleaned_MLB_Stats_Dataset__1[[#This Row],[At Bats]]+Cleaned_MLB_Stats_Dataset__1[[#This Row],[Walks]])</f>
        <v>0.10422960725075529</v>
      </c>
      <c r="W32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0.15037593984962405</v>
      </c>
      <c r="X32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0.41988130563798221</v>
      </c>
      <c r="Y32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0.63008849557522129</v>
      </c>
      <c r="Z325" s="6">
        <f>Cleaned_MLB_Stats_Dataset__1[[#This Row],[On Base Percentage]]+Cleaned_MLB_Stats_Dataset__1[[#This Row],[Slugging %]]</f>
        <v>1.0499698012132035</v>
      </c>
      <c r="AA325" s="6">
        <f>Cleaned_MLB_Stats_Dataset__1[[#This Row],[Slugging %]]-Cleaned_MLB_Stats_Dataset__1[[#This Row],[Batting Average]]</f>
        <v>0.30619469026548679</v>
      </c>
      <c r="AB325" s="6">
        <f>Cleaned_MLB_Stats_Dataset__1[[#This Row],[Batting Average]]-_xlfn.XLOOKUP(Cleaned_MLB_Stats_Dataset__1[[#This Row],[Year]],'League Averages'!$A$3:$A$23,'League Averages'!$B$3:$B$23)</f>
        <v>5.2893805309734476E-2</v>
      </c>
      <c r="AC325" s="6">
        <f>Cleaned_MLB_Stats_Dataset__1[[#This Row],[On Base Percentage]]-_xlfn.XLOOKUP(Cleaned_MLB_Stats_Dataset__1[[#This Row],[Year]],'League Averages'!$A$3:$A$23,'League Averages'!$C$3:$C$23)</f>
        <v>7.4881305637982232E-2</v>
      </c>
      <c r="AD325" s="6">
        <f>Cleaned_MLB_Stats_Dataset__1[[#This Row],[Slugging %]]-_xlfn.XLOOKUP(Cleaned_MLB_Stats_Dataset__1[[#This Row],[Year]],'League Averages'!$A$3:$A$23,'League Averages'!$D$3:$D$23)</f>
        <v>0.19608849557522129</v>
      </c>
      <c r="AE325" s="6">
        <f>Cleaned_MLB_Stats_Dataset__1[[#This Row],[OPS (On Base + Slugging)]]-_xlfn.XLOOKUP(Cleaned_MLB_Stats_Dataset__1[[#This Row],[Year]],'League Averages'!$A$3:$A$23,'League Averages'!$E$3:$E$23)</f>
        <v>0.27196980121320347</v>
      </c>
      <c r="AF325" s="6">
        <f>Cleaned_MLB_Stats_Dataset__1[[#This Row],[ISO (Isolated Power]]-_xlfn.XLOOKUP(Cleaned_MLB_Stats_Dataset__1[[#This Row],[Year]],'League Averages'!$A$3:$A$23,'League Averages'!$F$3:$F$23)</f>
        <v>0.14319469026548678</v>
      </c>
    </row>
    <row r="326" spans="1:32" x14ac:dyDescent="0.2">
      <c r="A326" t="s">
        <v>309</v>
      </c>
      <c r="B326">
        <v>1999</v>
      </c>
      <c r="C326" t="s">
        <v>155</v>
      </c>
      <c r="D326" t="s">
        <v>6</v>
      </c>
      <c r="E326" t="s">
        <v>90</v>
      </c>
      <c r="F326" t="str">
        <f>_xlfn.XLOOKUP(Cleaned_MLB_Stats_Dataset__1[[#This Row],[Position'#]],$B$373:$B$382,$A$373:$A$382)</f>
        <v>C</v>
      </c>
      <c r="G326">
        <v>2</v>
      </c>
      <c r="H326">
        <v>600</v>
      </c>
      <c r="I326">
        <v>199</v>
      </c>
      <c r="J326">
        <v>29</v>
      </c>
      <c r="K326">
        <v>1</v>
      </c>
      <c r="L326">
        <v>35</v>
      </c>
      <c r="M326">
        <v>116</v>
      </c>
      <c r="N326">
        <v>113</v>
      </c>
      <c r="O326">
        <v>64</v>
      </c>
      <c r="P326">
        <v>24</v>
      </c>
      <c r="Q326">
        <v>2</v>
      </c>
      <c r="R326">
        <v>1</v>
      </c>
      <c r="S326">
        <v>5</v>
      </c>
      <c r="T326">
        <v>0</v>
      </c>
      <c r="U326" s="6">
        <f>Cleaned_MLB_Stats_Dataset__1[[#This Row],[Hits]]/Cleaned_MLB_Stats_Dataset__1[[#This Row],[At Bats]]</f>
        <v>0.33166666666666667</v>
      </c>
      <c r="V326" s="6">
        <f>Cleaned_MLB_Stats_Dataset__1[[#This Row],[Strikeouts]]/(Cleaned_MLB_Stats_Dataset__1[[#This Row],[At Bats]]+Cleaned_MLB_Stats_Dataset__1[[#This Row],[Walks]])</f>
        <v>0.10256410256410256</v>
      </c>
      <c r="W32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0.04</v>
      </c>
      <c r="X32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0.35555555555555557</v>
      </c>
      <c r="Y32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0.55833333333333335</v>
      </c>
      <c r="Z326" s="6">
        <f>Cleaned_MLB_Stats_Dataset__1[[#This Row],[On Base Percentage]]+Cleaned_MLB_Stats_Dataset__1[[#This Row],[Slugging %]]</f>
        <v>0.91388888888888897</v>
      </c>
      <c r="AA326" s="6">
        <f>Cleaned_MLB_Stats_Dataset__1[[#This Row],[Slugging %]]-Cleaned_MLB_Stats_Dataset__1[[#This Row],[Batting Average]]</f>
        <v>0.22666666666666668</v>
      </c>
      <c r="AB326" s="6">
        <f>Cleaned_MLB_Stats_Dataset__1[[#This Row],[Batting Average]]-_xlfn.XLOOKUP(Cleaned_MLB_Stats_Dataset__1[[#This Row],[Year]],'League Averages'!$A$3:$A$23,'League Averages'!$B$3:$B$23)</f>
        <v>6.0666666666666647E-2</v>
      </c>
      <c r="AC326" s="6">
        <f>Cleaned_MLB_Stats_Dataset__1[[#This Row],[On Base Percentage]]-_xlfn.XLOOKUP(Cleaned_MLB_Stats_Dataset__1[[#This Row],[Year]],'League Averages'!$A$3:$A$23,'League Averages'!$C$3:$C$23)</f>
        <v>1.0555555555555596E-2</v>
      </c>
      <c r="AD326" s="6">
        <f>Cleaned_MLB_Stats_Dataset__1[[#This Row],[Slugging %]]-_xlfn.XLOOKUP(Cleaned_MLB_Stats_Dataset__1[[#This Row],[Year]],'League Averages'!$A$3:$A$23,'League Averages'!$D$3:$D$23)</f>
        <v>0.12433333333333335</v>
      </c>
      <c r="AE326" s="6">
        <f>Cleaned_MLB_Stats_Dataset__1[[#This Row],[OPS (On Base + Slugging)]]-_xlfn.XLOOKUP(Cleaned_MLB_Stats_Dataset__1[[#This Row],[Year]],'League Averages'!$A$3:$A$23,'League Averages'!$E$3:$E$23)</f>
        <v>0.13588888888888895</v>
      </c>
      <c r="AF326" s="6">
        <f>Cleaned_MLB_Stats_Dataset__1[[#This Row],[ISO (Isolated Power]]-_xlfn.XLOOKUP(Cleaned_MLB_Stats_Dataset__1[[#This Row],[Year]],'League Averages'!$A$3:$A$23,'League Averages'!$F$3:$F$23)</f>
        <v>6.3666666666666677E-2</v>
      </c>
    </row>
    <row r="327" spans="1:32" x14ac:dyDescent="0.2">
      <c r="A327" t="s">
        <v>309</v>
      </c>
      <c r="B327">
        <v>1994</v>
      </c>
      <c r="C327" t="s">
        <v>104</v>
      </c>
      <c r="D327" t="s">
        <v>6</v>
      </c>
      <c r="E327" t="s">
        <v>81</v>
      </c>
      <c r="F327" t="str">
        <f>_xlfn.XLOOKUP(Cleaned_MLB_Stats_Dataset__1[[#This Row],[Position'#]],$B$373:$B$382,$A$373:$A$382)</f>
        <v>RF</v>
      </c>
      <c r="G327">
        <v>9</v>
      </c>
      <c r="H327">
        <v>439</v>
      </c>
      <c r="I327">
        <v>139</v>
      </c>
      <c r="J327">
        <v>32</v>
      </c>
      <c r="K327">
        <v>3</v>
      </c>
      <c r="L327">
        <v>20</v>
      </c>
      <c r="M327">
        <v>79</v>
      </c>
      <c r="N327">
        <v>112</v>
      </c>
      <c r="O327">
        <v>47</v>
      </c>
      <c r="P327">
        <v>28</v>
      </c>
      <c r="Q327">
        <v>7</v>
      </c>
      <c r="R327">
        <v>7</v>
      </c>
      <c r="S327">
        <v>7</v>
      </c>
      <c r="T327">
        <v>1</v>
      </c>
      <c r="U327" s="6">
        <f>Cleaned_MLB_Stats_Dataset__1[[#This Row],[Hits]]/Cleaned_MLB_Stats_Dataset__1[[#This Row],[At Bats]]</f>
        <v>0.31662870159453305</v>
      </c>
      <c r="V327" s="6">
        <f>Cleaned_MLB_Stats_Dataset__1[[#This Row],[Strikeouts]]/(Cleaned_MLB_Stats_Dataset__1[[#This Row],[At Bats]]+Cleaned_MLB_Stats_Dataset__1[[#This Row],[Walks]])</f>
        <v>0.1006423982869379</v>
      </c>
      <c r="W32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7.3839662447257384E-2</v>
      </c>
      <c r="X32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0.36174636174636177</v>
      </c>
      <c r="Y32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0.53986332574031892</v>
      </c>
      <c r="Z327" s="6">
        <f>Cleaned_MLB_Stats_Dataset__1[[#This Row],[On Base Percentage]]+Cleaned_MLB_Stats_Dataset__1[[#This Row],[Slugging %]]</f>
        <v>0.90160968748668069</v>
      </c>
      <c r="AA327" s="6">
        <f>Cleaned_MLB_Stats_Dataset__1[[#This Row],[Slugging %]]-Cleaned_MLB_Stats_Dataset__1[[#This Row],[Batting Average]]</f>
        <v>0.22323462414578588</v>
      </c>
      <c r="AB327" s="6">
        <f>Cleaned_MLB_Stats_Dataset__1[[#This Row],[Batting Average]]-_xlfn.XLOOKUP(Cleaned_MLB_Stats_Dataset__1[[#This Row],[Year]],'League Averages'!$A$3:$A$23,'League Averages'!$B$3:$B$23)</f>
        <v>4.6628701594533029E-2</v>
      </c>
      <c r="AC327" s="6">
        <f>Cleaned_MLB_Stats_Dataset__1[[#This Row],[On Base Percentage]]-_xlfn.XLOOKUP(Cleaned_MLB_Stats_Dataset__1[[#This Row],[Year]],'League Averages'!$A$3:$A$23,'League Averages'!$C$3:$C$23)</f>
        <v>2.2746361746361743E-2</v>
      </c>
      <c r="AD327" s="6">
        <f>Cleaned_MLB_Stats_Dataset__1[[#This Row],[Slugging %]]-_xlfn.XLOOKUP(Cleaned_MLB_Stats_Dataset__1[[#This Row],[Year]],'League Averages'!$A$3:$A$23,'League Averages'!$D$3:$D$23)</f>
        <v>0.11586332574031893</v>
      </c>
      <c r="AE327" s="6">
        <f>Cleaned_MLB_Stats_Dataset__1[[#This Row],[OPS (On Base + Slugging)]]-_xlfn.XLOOKUP(Cleaned_MLB_Stats_Dataset__1[[#This Row],[Year]],'League Averages'!$A$3:$A$23,'League Averages'!$E$3:$E$23)</f>
        <v>0.13860968748668068</v>
      </c>
      <c r="AF327" s="6">
        <f>Cleaned_MLB_Stats_Dataset__1[[#This Row],[ISO (Isolated Power]]-_xlfn.XLOOKUP(Cleaned_MLB_Stats_Dataset__1[[#This Row],[Year]],'League Averages'!$A$3:$A$23,'League Averages'!$F$3:$F$23)</f>
        <v>6.9234624145785878E-2</v>
      </c>
    </row>
    <row r="328" spans="1:32" x14ac:dyDescent="0.2">
      <c r="A328" t="s">
        <v>309</v>
      </c>
      <c r="B328">
        <v>2002</v>
      </c>
      <c r="C328" t="s">
        <v>186</v>
      </c>
      <c r="D328" t="s">
        <v>3</v>
      </c>
      <c r="E328" t="s">
        <v>89</v>
      </c>
      <c r="F328" t="str">
        <f>_xlfn.XLOOKUP(Cleaned_MLB_Stats_Dataset__1[[#This Row],[Position'#]],$B$373:$B$382,$A$373:$A$382)</f>
        <v>CF</v>
      </c>
      <c r="G328">
        <v>8</v>
      </c>
      <c r="H328">
        <v>614</v>
      </c>
      <c r="I328">
        <v>206</v>
      </c>
      <c r="J328">
        <v>37</v>
      </c>
      <c r="K328">
        <v>2</v>
      </c>
      <c r="L328">
        <v>39</v>
      </c>
      <c r="M328">
        <v>106</v>
      </c>
      <c r="N328">
        <v>111</v>
      </c>
      <c r="O328">
        <v>70</v>
      </c>
      <c r="P328">
        <v>84</v>
      </c>
      <c r="Q328">
        <v>32</v>
      </c>
      <c r="R328">
        <v>6</v>
      </c>
      <c r="S328">
        <v>5</v>
      </c>
      <c r="T328">
        <v>0</v>
      </c>
      <c r="U328" s="6">
        <f>Cleaned_MLB_Stats_Dataset__1[[#This Row],[Hits]]/Cleaned_MLB_Stats_Dataset__1[[#This Row],[At Bats]]</f>
        <v>0.33550488599348532</v>
      </c>
      <c r="V328" s="6">
        <f>Cleaned_MLB_Stats_Dataset__1[[#This Row],[Strikeouts]]/(Cleaned_MLB_Stats_Dataset__1[[#This Row],[At Bats]]+Cleaned_MLB_Stats_Dataset__1[[#This Row],[Walks]])</f>
        <v>0.10028653295128939</v>
      </c>
      <c r="W32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0.12784090909090909</v>
      </c>
      <c r="X32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0.41748942172073344</v>
      </c>
      <c r="Y32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0.59283387622149841</v>
      </c>
      <c r="Z328" s="6">
        <f>Cleaned_MLB_Stats_Dataset__1[[#This Row],[On Base Percentage]]+Cleaned_MLB_Stats_Dataset__1[[#This Row],[Slugging %]]</f>
        <v>1.0103232979422319</v>
      </c>
      <c r="AA328" s="6">
        <f>Cleaned_MLB_Stats_Dataset__1[[#This Row],[Slugging %]]-Cleaned_MLB_Stats_Dataset__1[[#This Row],[Batting Average]]</f>
        <v>0.25732899022801309</v>
      </c>
      <c r="AB328" s="6">
        <f>Cleaned_MLB_Stats_Dataset__1[[#This Row],[Batting Average]]-_xlfn.XLOOKUP(Cleaned_MLB_Stats_Dataset__1[[#This Row],[Year]],'League Averages'!$A$3:$A$23,'League Averages'!$B$3:$B$23)</f>
        <v>7.4504885993485315E-2</v>
      </c>
      <c r="AC328" s="6">
        <f>Cleaned_MLB_Stats_Dataset__1[[#This Row],[On Base Percentage]]-_xlfn.XLOOKUP(Cleaned_MLB_Stats_Dataset__1[[#This Row],[Year]],'League Averages'!$A$3:$A$23,'League Averages'!$C$3:$C$23)</f>
        <v>8.6489421720733428E-2</v>
      </c>
      <c r="AD328" s="6">
        <f>Cleaned_MLB_Stats_Dataset__1[[#This Row],[Slugging %]]-_xlfn.XLOOKUP(Cleaned_MLB_Stats_Dataset__1[[#This Row],[Year]],'League Averages'!$A$3:$A$23,'League Averages'!$D$3:$D$23)</f>
        <v>0.17583387622149843</v>
      </c>
      <c r="AE328" s="6">
        <f>Cleaned_MLB_Stats_Dataset__1[[#This Row],[OPS (On Base + Slugging)]]-_xlfn.XLOOKUP(Cleaned_MLB_Stats_Dataset__1[[#This Row],[Year]],'League Averages'!$A$3:$A$23,'League Averages'!$E$3:$E$23)</f>
        <v>0.26232329794223186</v>
      </c>
      <c r="AF328" s="6">
        <f>Cleaned_MLB_Stats_Dataset__1[[#This Row],[ISO (Isolated Power]]-_xlfn.XLOOKUP(Cleaned_MLB_Stats_Dataset__1[[#This Row],[Year]],'League Averages'!$A$3:$A$23,'League Averages'!$F$3:$F$23)</f>
        <v>0.10132899022801309</v>
      </c>
    </row>
    <row r="329" spans="1:32" x14ac:dyDescent="0.2">
      <c r="A329" t="s">
        <v>309</v>
      </c>
      <c r="B329">
        <v>1993</v>
      </c>
      <c r="C329" t="s">
        <v>127</v>
      </c>
      <c r="D329" t="s">
        <v>6</v>
      </c>
      <c r="E329" t="s">
        <v>92</v>
      </c>
      <c r="F329" t="str">
        <f>_xlfn.XLOOKUP(Cleaned_MLB_Stats_Dataset__1[[#This Row],[Position'#]],$B$373:$B$382,$A$373:$A$382)</f>
        <v>2B</v>
      </c>
      <c r="G329">
        <v>4</v>
      </c>
      <c r="H329">
        <v>589</v>
      </c>
      <c r="I329">
        <v>192</v>
      </c>
      <c r="J329">
        <v>35</v>
      </c>
      <c r="K329">
        <v>6</v>
      </c>
      <c r="L329">
        <v>17</v>
      </c>
      <c r="M329">
        <v>109</v>
      </c>
      <c r="N329">
        <v>93</v>
      </c>
      <c r="O329">
        <v>67</v>
      </c>
      <c r="P329">
        <v>80</v>
      </c>
      <c r="Q329">
        <v>5</v>
      </c>
      <c r="R329">
        <v>5</v>
      </c>
      <c r="S329">
        <v>5</v>
      </c>
      <c r="T329">
        <v>4</v>
      </c>
      <c r="U329" s="6">
        <f>Cleaned_MLB_Stats_Dataset__1[[#This Row],[Hits]]/Cleaned_MLB_Stats_Dataset__1[[#This Row],[At Bats]]</f>
        <v>0.32597623089983024</v>
      </c>
      <c r="V329" s="6">
        <f>Cleaned_MLB_Stats_Dataset__1[[#This Row],[Strikeouts]]/(Cleaned_MLB_Stats_Dataset__1[[#This Row],[At Bats]]+Cleaned_MLB_Stats_Dataset__1[[#This Row],[Walks]])</f>
        <v>0.10014947683109118</v>
      </c>
      <c r="W32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0.12611275964391691</v>
      </c>
      <c r="X32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0.40795287187039764</v>
      </c>
      <c r="Y32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0.49235993208828521</v>
      </c>
      <c r="Z329" s="6">
        <f>Cleaned_MLB_Stats_Dataset__1[[#This Row],[On Base Percentage]]+Cleaned_MLB_Stats_Dataset__1[[#This Row],[Slugging %]]</f>
        <v>0.90031280395868285</v>
      </c>
      <c r="AA329" s="6">
        <f>Cleaned_MLB_Stats_Dataset__1[[#This Row],[Slugging %]]-Cleaned_MLB_Stats_Dataset__1[[#This Row],[Batting Average]]</f>
        <v>0.16638370118845497</v>
      </c>
      <c r="AB329" s="6">
        <f>Cleaned_MLB_Stats_Dataset__1[[#This Row],[Batting Average]]-_xlfn.XLOOKUP(Cleaned_MLB_Stats_Dataset__1[[#This Row],[Year]],'League Averages'!$A$3:$A$23,'League Averages'!$B$3:$B$23)</f>
        <v>6.097623089983023E-2</v>
      </c>
      <c r="AC329" s="6">
        <f>Cleaned_MLB_Stats_Dataset__1[[#This Row],[On Base Percentage]]-_xlfn.XLOOKUP(Cleaned_MLB_Stats_Dataset__1[[#This Row],[Year]],'League Averages'!$A$3:$A$23,'League Averages'!$C$3:$C$23)</f>
        <v>7.595287187039762E-2</v>
      </c>
      <c r="AD329" s="6">
        <f>Cleaned_MLB_Stats_Dataset__1[[#This Row],[Slugging %]]-_xlfn.XLOOKUP(Cleaned_MLB_Stats_Dataset__1[[#This Row],[Year]],'League Averages'!$A$3:$A$23,'League Averages'!$D$3:$D$23)</f>
        <v>8.9359932088285188E-2</v>
      </c>
      <c r="AE329" s="6">
        <f>Cleaned_MLB_Stats_Dataset__1[[#This Row],[OPS (On Base + Slugging)]]-_xlfn.XLOOKUP(Cleaned_MLB_Stats_Dataset__1[[#This Row],[Year]],'League Averages'!$A$3:$A$23,'League Averages'!$E$3:$E$23)</f>
        <v>0.16431280395868286</v>
      </c>
      <c r="AF329" s="6">
        <f>Cleaned_MLB_Stats_Dataset__1[[#This Row],[ISO (Isolated Power]]-_xlfn.XLOOKUP(Cleaned_MLB_Stats_Dataset__1[[#This Row],[Year]],'League Averages'!$A$3:$A$23,'League Averages'!$F$3:$F$23)</f>
        <v>2.8383701188454957E-2</v>
      </c>
    </row>
    <row r="330" spans="1:32" x14ac:dyDescent="0.2">
      <c r="A330" t="s">
        <v>309</v>
      </c>
      <c r="B330">
        <v>1993</v>
      </c>
      <c r="C330" t="s">
        <v>93</v>
      </c>
      <c r="D330" t="s">
        <v>6</v>
      </c>
      <c r="E330" t="s">
        <v>92</v>
      </c>
      <c r="F330" t="str">
        <f>_xlfn.XLOOKUP(Cleaned_MLB_Stats_Dataset__1[[#This Row],[Position'#]],$B$373:$B$382,$A$373:$A$382)</f>
        <v>DH</v>
      </c>
      <c r="G330">
        <v>10</v>
      </c>
      <c r="H330">
        <v>636</v>
      </c>
      <c r="I330">
        <v>211</v>
      </c>
      <c r="J330">
        <v>37</v>
      </c>
      <c r="K330">
        <v>5</v>
      </c>
      <c r="L330">
        <v>22</v>
      </c>
      <c r="M330">
        <v>121</v>
      </c>
      <c r="N330">
        <v>111</v>
      </c>
      <c r="O330">
        <v>71</v>
      </c>
      <c r="P330">
        <v>77</v>
      </c>
      <c r="Q330">
        <v>3</v>
      </c>
      <c r="R330">
        <v>3</v>
      </c>
      <c r="S330">
        <v>8</v>
      </c>
      <c r="T330">
        <v>1</v>
      </c>
      <c r="U330" s="6">
        <f>Cleaned_MLB_Stats_Dataset__1[[#This Row],[Hits]]/Cleaned_MLB_Stats_Dataset__1[[#This Row],[At Bats]]</f>
        <v>0.33176100628930816</v>
      </c>
      <c r="V330" s="6">
        <f>Cleaned_MLB_Stats_Dataset__1[[#This Row],[Strikeouts]]/(Cleaned_MLB_Stats_Dataset__1[[#This Row],[At Bats]]+Cleaned_MLB_Stats_Dataset__1[[#This Row],[Walks]])</f>
        <v>9.957924263674614E-2</v>
      </c>
      <c r="W33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0.11173184357541899</v>
      </c>
      <c r="X33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0.40193370165745856</v>
      </c>
      <c r="Y33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0.50943396226415094</v>
      </c>
      <c r="Z330" s="6">
        <f>Cleaned_MLB_Stats_Dataset__1[[#This Row],[On Base Percentage]]+Cleaned_MLB_Stats_Dataset__1[[#This Row],[Slugging %]]</f>
        <v>0.91136766392160951</v>
      </c>
      <c r="AA330" s="6">
        <f>Cleaned_MLB_Stats_Dataset__1[[#This Row],[Slugging %]]-Cleaned_MLB_Stats_Dataset__1[[#This Row],[Batting Average]]</f>
        <v>0.17767295597484278</v>
      </c>
      <c r="AB330" s="6">
        <f>Cleaned_MLB_Stats_Dataset__1[[#This Row],[Batting Average]]-_xlfn.XLOOKUP(Cleaned_MLB_Stats_Dataset__1[[#This Row],[Year]],'League Averages'!$A$3:$A$23,'League Averages'!$B$3:$B$23)</f>
        <v>6.6761006289308145E-2</v>
      </c>
      <c r="AC330" s="6">
        <f>Cleaned_MLB_Stats_Dataset__1[[#This Row],[On Base Percentage]]-_xlfn.XLOOKUP(Cleaned_MLB_Stats_Dataset__1[[#This Row],[Year]],'League Averages'!$A$3:$A$23,'League Averages'!$C$3:$C$23)</f>
        <v>6.9933701657458547E-2</v>
      </c>
      <c r="AD330" s="6">
        <f>Cleaned_MLB_Stats_Dataset__1[[#This Row],[Slugging %]]-_xlfn.XLOOKUP(Cleaned_MLB_Stats_Dataset__1[[#This Row],[Year]],'League Averages'!$A$3:$A$23,'League Averages'!$D$3:$D$23)</f>
        <v>0.10643396226415092</v>
      </c>
      <c r="AE330" s="6">
        <f>Cleaned_MLB_Stats_Dataset__1[[#This Row],[OPS (On Base + Slugging)]]-_xlfn.XLOOKUP(Cleaned_MLB_Stats_Dataset__1[[#This Row],[Year]],'League Averages'!$A$3:$A$23,'League Averages'!$E$3:$E$23)</f>
        <v>0.17536766392160952</v>
      </c>
      <c r="AF330" s="6">
        <f>Cleaned_MLB_Stats_Dataset__1[[#This Row],[ISO (Isolated Power]]-_xlfn.XLOOKUP(Cleaned_MLB_Stats_Dataset__1[[#This Row],[Year]],'League Averages'!$A$3:$A$23,'League Averages'!$F$3:$F$23)</f>
        <v>3.9672955974842772E-2</v>
      </c>
    </row>
    <row r="331" spans="1:32" x14ac:dyDescent="0.2">
      <c r="A331" t="s">
        <v>309</v>
      </c>
      <c r="B331">
        <v>1995</v>
      </c>
      <c r="C331" t="s">
        <v>95</v>
      </c>
      <c r="D331" t="s">
        <v>6</v>
      </c>
      <c r="E331" t="s">
        <v>78</v>
      </c>
      <c r="F331" t="str">
        <f>_xlfn.XLOOKUP(Cleaned_MLB_Stats_Dataset__1[[#This Row],[Position'#]],$B$373:$B$382,$A$373:$A$382)</f>
        <v>SS</v>
      </c>
      <c r="G331">
        <v>6</v>
      </c>
      <c r="H331">
        <v>550</v>
      </c>
      <c r="I331">
        <v>144</v>
      </c>
      <c r="J331">
        <v>33</v>
      </c>
      <c r="K331">
        <v>2</v>
      </c>
      <c r="L331">
        <v>17</v>
      </c>
      <c r="M331">
        <v>71</v>
      </c>
      <c r="N331">
        <v>88</v>
      </c>
      <c r="O331">
        <v>59</v>
      </c>
      <c r="P331">
        <v>52</v>
      </c>
      <c r="Q331">
        <v>6</v>
      </c>
      <c r="R331">
        <v>2</v>
      </c>
      <c r="S331">
        <v>8</v>
      </c>
      <c r="T331">
        <v>1</v>
      </c>
      <c r="U331" s="6">
        <f>Cleaned_MLB_Stats_Dataset__1[[#This Row],[Hits]]/Cleaned_MLB_Stats_Dataset__1[[#This Row],[At Bats]]</f>
        <v>0.26181818181818184</v>
      </c>
      <c r="V331" s="6">
        <f>Cleaned_MLB_Stats_Dataset__1[[#This Row],[Strikeouts]]/(Cleaned_MLB_Stats_Dataset__1[[#This Row],[At Bats]]+Cleaned_MLB_Stats_Dataset__1[[#This Row],[Walks]])</f>
        <v>9.8006644518272429E-2</v>
      </c>
      <c r="W33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8.9403973509933773E-2</v>
      </c>
      <c r="X33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0.3235294117647059</v>
      </c>
      <c r="Y33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0.42181818181818181</v>
      </c>
      <c r="Z331" s="6">
        <f>Cleaned_MLB_Stats_Dataset__1[[#This Row],[On Base Percentage]]+Cleaned_MLB_Stats_Dataset__1[[#This Row],[Slugging %]]</f>
        <v>0.74534759358288771</v>
      </c>
      <c r="AA331" s="6">
        <f>Cleaned_MLB_Stats_Dataset__1[[#This Row],[Slugging %]]-Cleaned_MLB_Stats_Dataset__1[[#This Row],[Batting Average]]</f>
        <v>0.15999999999999998</v>
      </c>
      <c r="AB331" s="6">
        <f>Cleaned_MLB_Stats_Dataset__1[[#This Row],[Batting Average]]-_xlfn.XLOOKUP(Cleaned_MLB_Stats_Dataset__1[[#This Row],[Year]],'League Averages'!$A$3:$A$23,'League Averages'!$B$3:$B$23)</f>
        <v>-5.1818181818181763E-3</v>
      </c>
      <c r="AC331" s="6">
        <f>Cleaned_MLB_Stats_Dataset__1[[#This Row],[On Base Percentage]]-_xlfn.XLOOKUP(Cleaned_MLB_Stats_Dataset__1[[#This Row],[Year]],'League Averages'!$A$3:$A$23,'League Averages'!$C$3:$C$23)</f>
        <v>-1.4470588235294124E-2</v>
      </c>
      <c r="AD331" s="6">
        <f>Cleaned_MLB_Stats_Dataset__1[[#This Row],[Slugging %]]-_xlfn.XLOOKUP(Cleaned_MLB_Stats_Dataset__1[[#This Row],[Year]],'League Averages'!$A$3:$A$23,'League Averages'!$D$3:$D$23)</f>
        <v>4.8181818181818326E-3</v>
      </c>
      <c r="AE331" s="6">
        <f>Cleaned_MLB_Stats_Dataset__1[[#This Row],[OPS (On Base + Slugging)]]-_xlfn.XLOOKUP(Cleaned_MLB_Stats_Dataset__1[[#This Row],[Year]],'League Averages'!$A$3:$A$23,'League Averages'!$E$3:$E$23)</f>
        <v>-9.6524064171122914E-3</v>
      </c>
      <c r="AF331" s="6">
        <f>Cleaned_MLB_Stats_Dataset__1[[#This Row],[ISO (Isolated Power]]-_xlfn.XLOOKUP(Cleaned_MLB_Stats_Dataset__1[[#This Row],[Year]],'League Averages'!$A$3:$A$23,'League Averages'!$F$3:$F$23)</f>
        <v>9.9999999999999811E-3</v>
      </c>
    </row>
    <row r="332" spans="1:32" x14ac:dyDescent="0.2">
      <c r="A332" t="s">
        <v>309</v>
      </c>
      <c r="B332">
        <v>1993</v>
      </c>
      <c r="C332" t="s">
        <v>141</v>
      </c>
      <c r="D332" t="s">
        <v>6</v>
      </c>
      <c r="E332" t="s">
        <v>92</v>
      </c>
      <c r="F332" t="str">
        <f>_xlfn.XLOOKUP(Cleaned_MLB_Stats_Dataset__1[[#This Row],[Position'#]],$B$373:$B$382,$A$373:$A$382)</f>
        <v>1B</v>
      </c>
      <c r="G332">
        <v>3</v>
      </c>
      <c r="H332">
        <v>551</v>
      </c>
      <c r="I332">
        <v>200</v>
      </c>
      <c r="J332">
        <v>54</v>
      </c>
      <c r="K332">
        <v>2</v>
      </c>
      <c r="L332">
        <v>24</v>
      </c>
      <c r="M332">
        <v>109</v>
      </c>
      <c r="N332">
        <v>107</v>
      </c>
      <c r="O332">
        <v>65</v>
      </c>
      <c r="P332">
        <v>114</v>
      </c>
      <c r="Q332">
        <v>33</v>
      </c>
      <c r="R332">
        <v>7</v>
      </c>
      <c r="S332">
        <v>7</v>
      </c>
      <c r="T332">
        <v>0</v>
      </c>
      <c r="U332" s="6">
        <f>Cleaned_MLB_Stats_Dataset__1[[#This Row],[Hits]]/Cleaned_MLB_Stats_Dataset__1[[#This Row],[At Bats]]</f>
        <v>0.36297640653357532</v>
      </c>
      <c r="V332" s="6">
        <f>Cleaned_MLB_Stats_Dataset__1[[#This Row],[Strikeouts]]/(Cleaned_MLB_Stats_Dataset__1[[#This Row],[At Bats]]+Cleaned_MLB_Stats_Dataset__1[[#This Row],[Walks]])</f>
        <v>9.7744360902255634E-2</v>
      </c>
      <c r="W33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0.18005952380952381</v>
      </c>
      <c r="X33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0.47275405007363769</v>
      </c>
      <c r="Y33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0.59891107078039929</v>
      </c>
      <c r="Z332" s="6">
        <f>Cleaned_MLB_Stats_Dataset__1[[#This Row],[On Base Percentage]]+Cleaned_MLB_Stats_Dataset__1[[#This Row],[Slugging %]]</f>
        <v>1.0716651208540369</v>
      </c>
      <c r="AA332" s="6">
        <f>Cleaned_MLB_Stats_Dataset__1[[#This Row],[Slugging %]]-Cleaned_MLB_Stats_Dataset__1[[#This Row],[Batting Average]]</f>
        <v>0.23593466424682397</v>
      </c>
      <c r="AB332" s="6">
        <f>Cleaned_MLB_Stats_Dataset__1[[#This Row],[Batting Average]]-_xlfn.XLOOKUP(Cleaned_MLB_Stats_Dataset__1[[#This Row],[Year]],'League Averages'!$A$3:$A$23,'League Averages'!$B$3:$B$23)</f>
        <v>9.7976406533575311E-2</v>
      </c>
      <c r="AC332" s="6">
        <f>Cleaned_MLB_Stats_Dataset__1[[#This Row],[On Base Percentage]]-_xlfn.XLOOKUP(Cleaned_MLB_Stats_Dataset__1[[#This Row],[Year]],'League Averages'!$A$3:$A$23,'League Averages'!$C$3:$C$23)</f>
        <v>0.14075405007363767</v>
      </c>
      <c r="AD332" s="6">
        <f>Cleaned_MLB_Stats_Dataset__1[[#This Row],[Slugging %]]-_xlfn.XLOOKUP(Cleaned_MLB_Stats_Dataset__1[[#This Row],[Year]],'League Averages'!$A$3:$A$23,'League Averages'!$D$3:$D$23)</f>
        <v>0.19591107078039927</v>
      </c>
      <c r="AE332" s="6">
        <f>Cleaned_MLB_Stats_Dataset__1[[#This Row],[OPS (On Base + Slugging)]]-_xlfn.XLOOKUP(Cleaned_MLB_Stats_Dataset__1[[#This Row],[Year]],'League Averages'!$A$3:$A$23,'League Averages'!$E$3:$E$23)</f>
        <v>0.33566512085403688</v>
      </c>
      <c r="AF332" s="6">
        <f>Cleaned_MLB_Stats_Dataset__1[[#This Row],[ISO (Isolated Power]]-_xlfn.XLOOKUP(Cleaned_MLB_Stats_Dataset__1[[#This Row],[Year]],'League Averages'!$A$3:$A$23,'League Averages'!$F$3:$F$23)</f>
        <v>9.7934664246823955E-2</v>
      </c>
    </row>
    <row r="333" spans="1:32" x14ac:dyDescent="0.2">
      <c r="A333" t="s">
        <v>309</v>
      </c>
      <c r="B333">
        <v>1995</v>
      </c>
      <c r="C333" t="s">
        <v>106</v>
      </c>
      <c r="D333" t="s">
        <v>3</v>
      </c>
      <c r="E333" t="s">
        <v>29</v>
      </c>
      <c r="F333" t="str">
        <f>_xlfn.XLOOKUP(Cleaned_MLB_Stats_Dataset__1[[#This Row],[Position'#]],$B$373:$B$382,$A$373:$A$382)</f>
        <v>CF</v>
      </c>
      <c r="G333">
        <v>8</v>
      </c>
      <c r="H333">
        <v>254</v>
      </c>
      <c r="I333">
        <v>67</v>
      </c>
      <c r="J333">
        <v>15</v>
      </c>
      <c r="K333">
        <v>1</v>
      </c>
      <c r="L333">
        <v>2</v>
      </c>
      <c r="M333">
        <v>37</v>
      </c>
      <c r="N333">
        <v>18</v>
      </c>
      <c r="O333">
        <v>28</v>
      </c>
      <c r="P333">
        <v>33</v>
      </c>
      <c r="Q333">
        <v>2</v>
      </c>
      <c r="R333">
        <v>3</v>
      </c>
      <c r="S333">
        <v>2</v>
      </c>
      <c r="T333">
        <v>0</v>
      </c>
      <c r="U333" s="6">
        <f>Cleaned_MLB_Stats_Dataset__1[[#This Row],[Hits]]/Cleaned_MLB_Stats_Dataset__1[[#This Row],[At Bats]]</f>
        <v>0.26377952755905509</v>
      </c>
      <c r="V333" s="6">
        <f>Cleaned_MLB_Stats_Dataset__1[[#This Row],[Strikeouts]]/(Cleaned_MLB_Stats_Dataset__1[[#This Row],[At Bats]]+Cleaned_MLB_Stats_Dataset__1[[#This Row],[Walks]])</f>
        <v>9.7560975609756101E-2</v>
      </c>
      <c r="W33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0.12413793103448276</v>
      </c>
      <c r="X33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0.35273972602739728</v>
      </c>
      <c r="Y33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0.3543307086614173</v>
      </c>
      <c r="Z333" s="6">
        <f>Cleaned_MLB_Stats_Dataset__1[[#This Row],[On Base Percentage]]+Cleaned_MLB_Stats_Dataset__1[[#This Row],[Slugging %]]</f>
        <v>0.70707043468881459</v>
      </c>
      <c r="AA333" s="6">
        <f>Cleaned_MLB_Stats_Dataset__1[[#This Row],[Slugging %]]-Cleaned_MLB_Stats_Dataset__1[[#This Row],[Batting Average]]</f>
        <v>9.055118110236221E-2</v>
      </c>
      <c r="AB333" s="6">
        <f>Cleaned_MLB_Stats_Dataset__1[[#This Row],[Batting Average]]-_xlfn.XLOOKUP(Cleaned_MLB_Stats_Dataset__1[[#This Row],[Year]],'League Averages'!$A$3:$A$23,'League Averages'!$B$3:$B$23)</f>
        <v>-3.2204724409449215E-3</v>
      </c>
      <c r="AC333" s="6">
        <f>Cleaned_MLB_Stats_Dataset__1[[#This Row],[On Base Percentage]]-_xlfn.XLOOKUP(Cleaned_MLB_Stats_Dataset__1[[#This Row],[Year]],'League Averages'!$A$3:$A$23,'League Averages'!$C$3:$C$23)</f>
        <v>1.473972602739726E-2</v>
      </c>
      <c r="AD333" s="6">
        <f>Cleaned_MLB_Stats_Dataset__1[[#This Row],[Slugging %]]-_xlfn.XLOOKUP(Cleaned_MLB_Stats_Dataset__1[[#This Row],[Year]],'League Averages'!$A$3:$A$23,'League Averages'!$D$3:$D$23)</f>
        <v>-6.2669291338582678E-2</v>
      </c>
      <c r="AE333" s="6">
        <f>Cleaned_MLB_Stats_Dataset__1[[#This Row],[OPS (On Base + Slugging)]]-_xlfn.XLOOKUP(Cleaned_MLB_Stats_Dataset__1[[#This Row],[Year]],'League Averages'!$A$3:$A$23,'League Averages'!$E$3:$E$23)</f>
        <v>-4.7929565311185418E-2</v>
      </c>
      <c r="AF333" s="6">
        <f>Cleaned_MLB_Stats_Dataset__1[[#This Row],[ISO (Isolated Power]]-_xlfn.XLOOKUP(Cleaned_MLB_Stats_Dataset__1[[#This Row],[Year]],'League Averages'!$A$3:$A$23,'League Averages'!$F$3:$F$23)</f>
        <v>-5.9448818897637784E-2</v>
      </c>
    </row>
    <row r="334" spans="1:32" x14ac:dyDescent="0.2">
      <c r="A334" t="s">
        <v>309</v>
      </c>
      <c r="B334">
        <v>1996</v>
      </c>
      <c r="C334" t="s">
        <v>127</v>
      </c>
      <c r="D334" t="s">
        <v>6</v>
      </c>
      <c r="E334" t="s">
        <v>78</v>
      </c>
      <c r="F334" t="str">
        <f>_xlfn.XLOOKUP(Cleaned_MLB_Stats_Dataset__1[[#This Row],[Position'#]],$B$373:$B$382,$A$373:$A$382)</f>
        <v>2B</v>
      </c>
      <c r="G334">
        <v>4</v>
      </c>
      <c r="H334">
        <v>588</v>
      </c>
      <c r="I334">
        <v>193</v>
      </c>
      <c r="J334">
        <v>43</v>
      </c>
      <c r="K334">
        <v>4</v>
      </c>
      <c r="L334">
        <v>22</v>
      </c>
      <c r="M334">
        <v>132</v>
      </c>
      <c r="N334">
        <v>94</v>
      </c>
      <c r="O334">
        <v>65</v>
      </c>
      <c r="P334">
        <v>90</v>
      </c>
      <c r="Q334">
        <v>10</v>
      </c>
      <c r="R334">
        <v>1</v>
      </c>
      <c r="S334">
        <v>12</v>
      </c>
      <c r="T334">
        <v>8</v>
      </c>
      <c r="U334" s="6">
        <f>Cleaned_MLB_Stats_Dataset__1[[#This Row],[Hits]]/Cleaned_MLB_Stats_Dataset__1[[#This Row],[At Bats]]</f>
        <v>0.32823129251700678</v>
      </c>
      <c r="V334" s="6">
        <f>Cleaned_MLB_Stats_Dataset__1[[#This Row],[Strikeouts]]/(Cleaned_MLB_Stats_Dataset__1[[#This Row],[At Bats]]+Cleaned_MLB_Stats_Dataset__1[[#This Row],[Walks]])</f>
        <v>9.5870206489675522E-2</v>
      </c>
      <c r="W33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0.13402061855670103</v>
      </c>
      <c r="X33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0.4109985528219971</v>
      </c>
      <c r="Y33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0.52721088435374153</v>
      </c>
      <c r="Z334" s="6">
        <f>Cleaned_MLB_Stats_Dataset__1[[#This Row],[On Base Percentage]]+Cleaned_MLB_Stats_Dataset__1[[#This Row],[Slugging %]]</f>
        <v>0.93820943717573857</v>
      </c>
      <c r="AA334" s="6">
        <f>Cleaned_MLB_Stats_Dataset__1[[#This Row],[Slugging %]]-Cleaned_MLB_Stats_Dataset__1[[#This Row],[Batting Average]]</f>
        <v>0.19897959183673475</v>
      </c>
      <c r="AB334" s="6">
        <f>Cleaned_MLB_Stats_Dataset__1[[#This Row],[Batting Average]]-_xlfn.XLOOKUP(Cleaned_MLB_Stats_Dataset__1[[#This Row],[Year]],'League Averages'!$A$3:$A$23,'League Averages'!$B$3:$B$23)</f>
        <v>5.8231292517006761E-2</v>
      </c>
      <c r="AC334" s="6">
        <f>Cleaned_MLB_Stats_Dataset__1[[#This Row],[On Base Percentage]]-_xlfn.XLOOKUP(Cleaned_MLB_Stats_Dataset__1[[#This Row],[Year]],'League Averages'!$A$3:$A$23,'League Averages'!$C$3:$C$23)</f>
        <v>7.0998552821997074E-2</v>
      </c>
      <c r="AD334" s="6">
        <f>Cleaned_MLB_Stats_Dataset__1[[#This Row],[Slugging %]]-_xlfn.XLOOKUP(Cleaned_MLB_Stats_Dataset__1[[#This Row],[Year]],'League Averages'!$A$3:$A$23,'League Averages'!$D$3:$D$23)</f>
        <v>0.10021088435374154</v>
      </c>
      <c r="AE334" s="6">
        <f>Cleaned_MLB_Stats_Dataset__1[[#This Row],[OPS (On Base + Slugging)]]-_xlfn.XLOOKUP(Cleaned_MLB_Stats_Dataset__1[[#This Row],[Year]],'League Averages'!$A$3:$A$23,'League Averages'!$E$3:$E$23)</f>
        <v>0.17120943717573855</v>
      </c>
      <c r="AF334" s="6">
        <f>Cleaned_MLB_Stats_Dataset__1[[#This Row],[ISO (Isolated Power]]-_xlfn.XLOOKUP(Cleaned_MLB_Stats_Dataset__1[[#This Row],[Year]],'League Averages'!$A$3:$A$23,'League Averages'!$F$3:$F$23)</f>
        <v>4.1979591836734748E-2</v>
      </c>
    </row>
    <row r="335" spans="1:32" x14ac:dyDescent="0.2">
      <c r="A335" t="s">
        <v>309</v>
      </c>
      <c r="B335">
        <v>1997</v>
      </c>
      <c r="C335" t="s">
        <v>127</v>
      </c>
      <c r="D335" t="s">
        <v>6</v>
      </c>
      <c r="E335" t="s">
        <v>78</v>
      </c>
      <c r="F335" t="str">
        <f>_xlfn.XLOOKUP(Cleaned_MLB_Stats_Dataset__1[[#This Row],[Position'#]],$B$373:$B$382,$A$373:$A$382)</f>
        <v>2B</v>
      </c>
      <c r="G335">
        <v>4</v>
      </c>
      <c r="H335">
        <v>412</v>
      </c>
      <c r="I335">
        <v>137</v>
      </c>
      <c r="J335">
        <v>23</v>
      </c>
      <c r="K335">
        <v>2</v>
      </c>
      <c r="L335">
        <v>14</v>
      </c>
      <c r="M335">
        <v>64</v>
      </c>
      <c r="N335">
        <v>60</v>
      </c>
      <c r="O335">
        <v>43</v>
      </c>
      <c r="P335">
        <v>40</v>
      </c>
      <c r="Q335">
        <v>2</v>
      </c>
      <c r="R335">
        <v>3</v>
      </c>
      <c r="S335">
        <v>7</v>
      </c>
      <c r="T335">
        <v>7</v>
      </c>
      <c r="U335" s="6">
        <f>Cleaned_MLB_Stats_Dataset__1[[#This Row],[Hits]]/Cleaned_MLB_Stats_Dataset__1[[#This Row],[At Bats]]</f>
        <v>0.33252427184466021</v>
      </c>
      <c r="V335" s="6">
        <f>Cleaned_MLB_Stats_Dataset__1[[#This Row],[Strikeouts]]/(Cleaned_MLB_Stats_Dataset__1[[#This Row],[At Bats]]+Cleaned_MLB_Stats_Dataset__1[[#This Row],[Walks]])</f>
        <v>9.5132743362831854E-2</v>
      </c>
      <c r="W33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9.4505494505494503E-2</v>
      </c>
      <c r="X33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0.38961038961038963</v>
      </c>
      <c r="Y33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</v>
      </c>
      <c r="Z335" s="6">
        <f>Cleaned_MLB_Stats_Dataset__1[[#This Row],[On Base Percentage]]+Cleaned_MLB_Stats_Dataset__1[[#This Row],[Slugging %]]</f>
        <v>0.88961038961038963</v>
      </c>
      <c r="AA335" s="6">
        <f>Cleaned_MLB_Stats_Dataset__1[[#This Row],[Slugging %]]-Cleaned_MLB_Stats_Dataset__1[[#This Row],[Batting Average]]</f>
        <v>0.16747572815533979</v>
      </c>
      <c r="AB335" s="6">
        <f>Cleaned_MLB_Stats_Dataset__1[[#This Row],[Batting Average]]-_xlfn.XLOOKUP(Cleaned_MLB_Stats_Dataset__1[[#This Row],[Year]],'League Averages'!$A$3:$A$23,'League Averages'!$B$3:$B$23)</f>
        <v>6.5524271844660198E-2</v>
      </c>
      <c r="AC335" s="6">
        <f>Cleaned_MLB_Stats_Dataset__1[[#This Row],[On Base Percentage]]-_xlfn.XLOOKUP(Cleaned_MLB_Stats_Dataset__1[[#This Row],[Year]],'League Averages'!$A$3:$A$23,'League Averages'!$C$3:$C$23)</f>
        <v>5.2610389610389607E-2</v>
      </c>
      <c r="AD335" s="6">
        <f>Cleaned_MLB_Stats_Dataset__1[[#This Row],[Slugging %]]-_xlfn.XLOOKUP(Cleaned_MLB_Stats_Dataset__1[[#This Row],[Year]],'League Averages'!$A$3:$A$23,'League Averages'!$D$3:$D$23)</f>
        <v>8.1000000000000016E-2</v>
      </c>
      <c r="AE335" s="6">
        <f>Cleaned_MLB_Stats_Dataset__1[[#This Row],[OPS (On Base + Slugging)]]-_xlfn.XLOOKUP(Cleaned_MLB_Stats_Dataset__1[[#This Row],[Year]],'League Averages'!$A$3:$A$23,'League Averages'!$E$3:$E$23)</f>
        <v>0.13361038961038962</v>
      </c>
      <c r="AF335" s="6">
        <f>Cleaned_MLB_Stats_Dataset__1[[#This Row],[ISO (Isolated Power]]-_xlfn.XLOOKUP(Cleaned_MLB_Stats_Dataset__1[[#This Row],[Year]],'League Averages'!$A$3:$A$23,'League Averages'!$F$3:$F$23)</f>
        <v>1.5475728155339791E-2</v>
      </c>
    </row>
    <row r="336" spans="1:32" x14ac:dyDescent="0.2">
      <c r="A336" t="s">
        <v>309</v>
      </c>
      <c r="B336">
        <v>2000</v>
      </c>
      <c r="C336" t="s">
        <v>170</v>
      </c>
      <c r="D336" t="s">
        <v>3</v>
      </c>
      <c r="E336" t="s">
        <v>85</v>
      </c>
      <c r="F336" t="str">
        <f>_xlfn.XLOOKUP(Cleaned_MLB_Stats_Dataset__1[[#This Row],[Position'#]],$B$373:$B$382,$A$373:$A$382)</f>
        <v>3B</v>
      </c>
      <c r="G336">
        <v>5</v>
      </c>
      <c r="H336">
        <v>579</v>
      </c>
      <c r="I336">
        <v>180</v>
      </c>
      <c r="J336">
        <v>38</v>
      </c>
      <c r="K336">
        <v>1</v>
      </c>
      <c r="L336">
        <v>36</v>
      </c>
      <c r="M336">
        <v>118</v>
      </c>
      <c r="N336">
        <v>111</v>
      </c>
      <c r="O336">
        <v>64</v>
      </c>
      <c r="P336">
        <v>95</v>
      </c>
      <c r="Q336">
        <v>10</v>
      </c>
      <c r="R336">
        <v>2</v>
      </c>
      <c r="S336">
        <v>10</v>
      </c>
      <c r="T336">
        <v>0</v>
      </c>
      <c r="U336" s="6">
        <f>Cleaned_MLB_Stats_Dataset__1[[#This Row],[Hits]]/Cleaned_MLB_Stats_Dataset__1[[#This Row],[At Bats]]</f>
        <v>0.31088082901554404</v>
      </c>
      <c r="V336" s="6">
        <f>Cleaned_MLB_Stats_Dataset__1[[#This Row],[Strikeouts]]/(Cleaned_MLB_Stats_Dataset__1[[#This Row],[At Bats]]+Cleaned_MLB_Stats_Dataset__1[[#This Row],[Walks]])</f>
        <v>9.4955489614243327E-2</v>
      </c>
      <c r="W33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0.14349112426035504</v>
      </c>
      <c r="X33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0.40379008746355682</v>
      </c>
      <c r="Y33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0.56649395509499134</v>
      </c>
      <c r="Z336" s="6">
        <f>Cleaned_MLB_Stats_Dataset__1[[#This Row],[On Base Percentage]]+Cleaned_MLB_Stats_Dataset__1[[#This Row],[Slugging %]]</f>
        <v>0.97028404255854817</v>
      </c>
      <c r="AA336" s="6">
        <f>Cleaned_MLB_Stats_Dataset__1[[#This Row],[Slugging %]]-Cleaned_MLB_Stats_Dataset__1[[#This Row],[Batting Average]]</f>
        <v>0.25561312607944731</v>
      </c>
      <c r="AB336" s="6">
        <f>Cleaned_MLB_Stats_Dataset__1[[#This Row],[Batting Average]]-_xlfn.XLOOKUP(Cleaned_MLB_Stats_Dataset__1[[#This Row],[Year]],'League Averages'!$A$3:$A$23,'League Averages'!$B$3:$B$23)</f>
        <v>4.0880829015544018E-2</v>
      </c>
      <c r="AC336" s="6">
        <f>Cleaned_MLB_Stats_Dataset__1[[#This Row],[On Base Percentage]]-_xlfn.XLOOKUP(Cleaned_MLB_Stats_Dataset__1[[#This Row],[Year]],'League Averages'!$A$3:$A$23,'League Averages'!$C$3:$C$23)</f>
        <v>5.879008746355685E-2</v>
      </c>
      <c r="AD336" s="6">
        <f>Cleaned_MLB_Stats_Dataset__1[[#This Row],[Slugging %]]-_xlfn.XLOOKUP(Cleaned_MLB_Stats_Dataset__1[[#This Row],[Year]],'League Averages'!$A$3:$A$23,'League Averages'!$D$3:$D$23)</f>
        <v>0.12949395509499134</v>
      </c>
      <c r="AE336" s="6">
        <f>Cleaned_MLB_Stats_Dataset__1[[#This Row],[OPS (On Base + Slugging)]]-_xlfn.XLOOKUP(Cleaned_MLB_Stats_Dataset__1[[#This Row],[Year]],'League Averages'!$A$3:$A$23,'League Averages'!$E$3:$E$23)</f>
        <v>0.18828404255854814</v>
      </c>
      <c r="AF336" s="6">
        <f>Cleaned_MLB_Stats_Dataset__1[[#This Row],[ISO (Isolated Power]]-_xlfn.XLOOKUP(Cleaned_MLB_Stats_Dataset__1[[#This Row],[Year]],'League Averages'!$A$3:$A$23,'League Averages'!$F$3:$F$23)</f>
        <v>8.8613126079447296E-2</v>
      </c>
    </row>
    <row r="337" spans="1:32" x14ac:dyDescent="0.2">
      <c r="A337" t="s">
        <v>309</v>
      </c>
      <c r="B337">
        <v>1995</v>
      </c>
      <c r="C337" t="s">
        <v>155</v>
      </c>
      <c r="D337" t="s">
        <v>6</v>
      </c>
      <c r="E337" t="s">
        <v>90</v>
      </c>
      <c r="F337" t="str">
        <f>_xlfn.XLOOKUP(Cleaned_MLB_Stats_Dataset__1[[#This Row],[Position'#]],$B$373:$B$382,$A$373:$A$382)</f>
        <v>C</v>
      </c>
      <c r="G337">
        <v>2</v>
      </c>
      <c r="H337">
        <v>492</v>
      </c>
      <c r="I337">
        <v>149</v>
      </c>
      <c r="J337">
        <v>32</v>
      </c>
      <c r="K337">
        <v>2</v>
      </c>
      <c r="L337">
        <v>12</v>
      </c>
      <c r="M337">
        <v>56</v>
      </c>
      <c r="N337">
        <v>67</v>
      </c>
      <c r="O337">
        <v>48</v>
      </c>
      <c r="P337">
        <v>16</v>
      </c>
      <c r="Q337">
        <v>2</v>
      </c>
      <c r="R337">
        <v>4</v>
      </c>
      <c r="S337">
        <v>5</v>
      </c>
      <c r="T337">
        <v>0</v>
      </c>
      <c r="U337" s="6">
        <f>Cleaned_MLB_Stats_Dataset__1[[#This Row],[Hits]]/Cleaned_MLB_Stats_Dataset__1[[#This Row],[At Bats]]</f>
        <v>0.30284552845528456</v>
      </c>
      <c r="V337" s="6">
        <f>Cleaned_MLB_Stats_Dataset__1[[#This Row],[Strikeouts]]/(Cleaned_MLB_Stats_Dataset__1[[#This Row],[At Bats]]+Cleaned_MLB_Stats_Dataset__1[[#This Row],[Walks]])</f>
        <v>9.4488188976377951E-2</v>
      </c>
      <c r="W33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3.90625E-2</v>
      </c>
      <c r="X33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0.32688588007736946</v>
      </c>
      <c r="Y33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0.44918699186991867</v>
      </c>
      <c r="Z337" s="6">
        <f>Cleaned_MLB_Stats_Dataset__1[[#This Row],[On Base Percentage]]+Cleaned_MLB_Stats_Dataset__1[[#This Row],[Slugging %]]</f>
        <v>0.77607287194728813</v>
      </c>
      <c r="AA337" s="6">
        <f>Cleaned_MLB_Stats_Dataset__1[[#This Row],[Slugging %]]-Cleaned_MLB_Stats_Dataset__1[[#This Row],[Batting Average]]</f>
        <v>0.14634146341463411</v>
      </c>
      <c r="AB337" s="6">
        <f>Cleaned_MLB_Stats_Dataset__1[[#This Row],[Batting Average]]-_xlfn.XLOOKUP(Cleaned_MLB_Stats_Dataset__1[[#This Row],[Year]],'League Averages'!$A$3:$A$23,'League Averages'!$B$3:$B$23)</f>
        <v>3.5845528455284548E-2</v>
      </c>
      <c r="AC337" s="6">
        <f>Cleaned_MLB_Stats_Dataset__1[[#This Row],[On Base Percentage]]-_xlfn.XLOOKUP(Cleaned_MLB_Stats_Dataset__1[[#This Row],[Year]],'League Averages'!$A$3:$A$23,'League Averages'!$C$3:$C$23)</f>
        <v>-1.1114119922630561E-2</v>
      </c>
      <c r="AD337" s="6">
        <f>Cleaned_MLB_Stats_Dataset__1[[#This Row],[Slugging %]]-_xlfn.XLOOKUP(Cleaned_MLB_Stats_Dataset__1[[#This Row],[Year]],'League Averages'!$A$3:$A$23,'League Averages'!$D$3:$D$23)</f>
        <v>3.2186991869918691E-2</v>
      </c>
      <c r="AE337" s="6">
        <f>Cleaned_MLB_Stats_Dataset__1[[#This Row],[OPS (On Base + Slugging)]]-_xlfn.XLOOKUP(Cleaned_MLB_Stats_Dataset__1[[#This Row],[Year]],'League Averages'!$A$3:$A$23,'League Averages'!$E$3:$E$23)</f>
        <v>2.107287194728813E-2</v>
      </c>
      <c r="AF337" s="6">
        <f>Cleaned_MLB_Stats_Dataset__1[[#This Row],[ISO (Isolated Power]]-_xlfn.XLOOKUP(Cleaned_MLB_Stats_Dataset__1[[#This Row],[Year]],'League Averages'!$A$3:$A$23,'League Averages'!$F$3:$F$23)</f>
        <v>-3.6585365853658847E-3</v>
      </c>
    </row>
    <row r="338" spans="1:32" x14ac:dyDescent="0.2">
      <c r="A338" t="s">
        <v>309</v>
      </c>
      <c r="B338">
        <v>1995</v>
      </c>
      <c r="C338" t="s">
        <v>154</v>
      </c>
      <c r="D338" t="s">
        <v>6</v>
      </c>
      <c r="E338" t="s">
        <v>66</v>
      </c>
      <c r="F338" t="str">
        <f>_xlfn.XLOOKUP(Cleaned_MLB_Stats_Dataset__1[[#This Row],[Position'#]],$B$373:$B$382,$A$373:$A$382)</f>
        <v>CF</v>
      </c>
      <c r="G338">
        <v>8</v>
      </c>
      <c r="H338">
        <v>481</v>
      </c>
      <c r="I338">
        <v>149</v>
      </c>
      <c r="J338">
        <v>22</v>
      </c>
      <c r="K338">
        <v>13</v>
      </c>
      <c r="L338">
        <v>7</v>
      </c>
      <c r="M338">
        <v>93</v>
      </c>
      <c r="N338">
        <v>53</v>
      </c>
      <c r="O338">
        <v>49</v>
      </c>
      <c r="P338">
        <v>40</v>
      </c>
      <c r="Q338">
        <v>6</v>
      </c>
      <c r="R338">
        <v>1</v>
      </c>
      <c r="S338">
        <v>3</v>
      </c>
      <c r="T338">
        <v>4</v>
      </c>
      <c r="U338" s="6">
        <f>Cleaned_MLB_Stats_Dataset__1[[#This Row],[Hits]]/Cleaned_MLB_Stats_Dataset__1[[#This Row],[At Bats]]</f>
        <v>0.30977130977130979</v>
      </c>
      <c r="V338" s="6">
        <f>Cleaned_MLB_Stats_Dataset__1[[#This Row],[Strikeouts]]/(Cleaned_MLB_Stats_Dataset__1[[#This Row],[At Bats]]+Cleaned_MLB_Stats_Dataset__1[[#This Row],[Walks]])</f>
        <v>9.4049904030710174E-2</v>
      </c>
      <c r="W33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7.8544061302681989E-2</v>
      </c>
      <c r="X33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0.3619047619047619</v>
      </c>
      <c r="Y33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0.45322245322245325</v>
      </c>
      <c r="Z338" s="6">
        <f>Cleaned_MLB_Stats_Dataset__1[[#This Row],[On Base Percentage]]+Cleaned_MLB_Stats_Dataset__1[[#This Row],[Slugging %]]</f>
        <v>0.81512721512721509</v>
      </c>
      <c r="AA338" s="6">
        <f>Cleaned_MLB_Stats_Dataset__1[[#This Row],[Slugging %]]-Cleaned_MLB_Stats_Dataset__1[[#This Row],[Batting Average]]</f>
        <v>0.14345114345114346</v>
      </c>
      <c r="AB338" s="6">
        <f>Cleaned_MLB_Stats_Dataset__1[[#This Row],[Batting Average]]-_xlfn.XLOOKUP(Cleaned_MLB_Stats_Dataset__1[[#This Row],[Year]],'League Averages'!$A$3:$A$23,'League Averages'!$B$3:$B$23)</f>
        <v>4.2771309771309773E-2</v>
      </c>
      <c r="AC338" s="6">
        <f>Cleaned_MLB_Stats_Dataset__1[[#This Row],[On Base Percentage]]-_xlfn.XLOOKUP(Cleaned_MLB_Stats_Dataset__1[[#This Row],[Year]],'League Averages'!$A$3:$A$23,'League Averages'!$C$3:$C$23)</f>
        <v>2.3904761904761873E-2</v>
      </c>
      <c r="AD338" s="6">
        <f>Cleaned_MLB_Stats_Dataset__1[[#This Row],[Slugging %]]-_xlfn.XLOOKUP(Cleaned_MLB_Stats_Dataset__1[[#This Row],[Year]],'League Averages'!$A$3:$A$23,'League Averages'!$D$3:$D$23)</f>
        <v>3.6222453222453266E-2</v>
      </c>
      <c r="AE338" s="6">
        <f>Cleaned_MLB_Stats_Dataset__1[[#This Row],[OPS (On Base + Slugging)]]-_xlfn.XLOOKUP(Cleaned_MLB_Stats_Dataset__1[[#This Row],[Year]],'League Averages'!$A$3:$A$23,'League Averages'!$E$3:$E$23)</f>
        <v>6.0127215127215083E-2</v>
      </c>
      <c r="AF338" s="6">
        <f>Cleaned_MLB_Stats_Dataset__1[[#This Row],[ISO (Isolated Power]]-_xlfn.XLOOKUP(Cleaned_MLB_Stats_Dataset__1[[#This Row],[Year]],'League Averages'!$A$3:$A$23,'League Averages'!$F$3:$F$23)</f>
        <v>-6.5488565488565353E-3</v>
      </c>
    </row>
    <row r="339" spans="1:32" x14ac:dyDescent="0.2">
      <c r="A339" t="s">
        <v>309</v>
      </c>
      <c r="B339">
        <v>1995</v>
      </c>
      <c r="C339" t="s">
        <v>97</v>
      </c>
      <c r="D339" t="s">
        <v>6</v>
      </c>
      <c r="E339" t="s">
        <v>71</v>
      </c>
      <c r="F339" t="str">
        <f>_xlfn.XLOOKUP(Cleaned_MLB_Stats_Dataset__1[[#This Row],[Position'#]],$B$373:$B$382,$A$373:$A$382)</f>
        <v>3B</v>
      </c>
      <c r="G339">
        <v>5</v>
      </c>
      <c r="H339">
        <v>460</v>
      </c>
      <c r="I339">
        <v>149</v>
      </c>
      <c r="J339">
        <v>22</v>
      </c>
      <c r="K339">
        <v>4</v>
      </c>
      <c r="L339">
        <v>5</v>
      </c>
      <c r="M339">
        <v>76</v>
      </c>
      <c r="N339">
        <v>63</v>
      </c>
      <c r="O339">
        <v>50</v>
      </c>
      <c r="P339">
        <v>74</v>
      </c>
      <c r="Q339">
        <v>5</v>
      </c>
      <c r="R339">
        <v>0</v>
      </c>
      <c r="S339">
        <v>7</v>
      </c>
      <c r="T339">
        <v>0</v>
      </c>
      <c r="U339" s="6">
        <f>Cleaned_MLB_Stats_Dataset__1[[#This Row],[Hits]]/Cleaned_MLB_Stats_Dataset__1[[#This Row],[At Bats]]</f>
        <v>0.32391304347826089</v>
      </c>
      <c r="V339" s="6">
        <f>Cleaned_MLB_Stats_Dataset__1[[#This Row],[Strikeouts]]/(Cleaned_MLB_Stats_Dataset__1[[#This Row],[At Bats]]+Cleaned_MLB_Stats_Dataset__1[[#This Row],[Walks]])</f>
        <v>9.3632958801498134E-2</v>
      </c>
      <c r="W33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0.13857677902621723</v>
      </c>
      <c r="X33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0.4121996303142329</v>
      </c>
      <c r="Y33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0.42173913043478262</v>
      </c>
      <c r="Z339" s="6">
        <f>Cleaned_MLB_Stats_Dataset__1[[#This Row],[On Base Percentage]]+Cleaned_MLB_Stats_Dataset__1[[#This Row],[Slugging %]]</f>
        <v>0.83393876074901552</v>
      </c>
      <c r="AA339" s="6">
        <f>Cleaned_MLB_Stats_Dataset__1[[#This Row],[Slugging %]]-Cleaned_MLB_Stats_Dataset__1[[#This Row],[Batting Average]]</f>
        <v>9.7826086956521729E-2</v>
      </c>
      <c r="AB339" s="6">
        <f>Cleaned_MLB_Stats_Dataset__1[[#This Row],[Batting Average]]-_xlfn.XLOOKUP(Cleaned_MLB_Stats_Dataset__1[[#This Row],[Year]],'League Averages'!$A$3:$A$23,'League Averages'!$B$3:$B$23)</f>
        <v>5.6913043478260872E-2</v>
      </c>
      <c r="AC339" s="6">
        <f>Cleaned_MLB_Stats_Dataset__1[[#This Row],[On Base Percentage]]-_xlfn.XLOOKUP(Cleaned_MLB_Stats_Dataset__1[[#This Row],[Year]],'League Averages'!$A$3:$A$23,'League Averages'!$C$3:$C$23)</f>
        <v>7.4199630314232878E-2</v>
      </c>
      <c r="AD339" s="6">
        <f>Cleaned_MLB_Stats_Dataset__1[[#This Row],[Slugging %]]-_xlfn.XLOOKUP(Cleaned_MLB_Stats_Dataset__1[[#This Row],[Year]],'League Averages'!$A$3:$A$23,'League Averages'!$D$3:$D$23)</f>
        <v>4.7391304347826346E-3</v>
      </c>
      <c r="AE339" s="6">
        <f>Cleaned_MLB_Stats_Dataset__1[[#This Row],[OPS (On Base + Slugging)]]-_xlfn.XLOOKUP(Cleaned_MLB_Stats_Dataset__1[[#This Row],[Year]],'League Averages'!$A$3:$A$23,'League Averages'!$E$3:$E$23)</f>
        <v>7.8938760749015513E-2</v>
      </c>
      <c r="AF339" s="6">
        <f>Cleaned_MLB_Stats_Dataset__1[[#This Row],[ISO (Isolated Power]]-_xlfn.XLOOKUP(Cleaned_MLB_Stats_Dataset__1[[#This Row],[Year]],'League Averages'!$A$3:$A$23,'League Averages'!$F$3:$F$23)</f>
        <v>-5.2173913043478265E-2</v>
      </c>
    </row>
    <row r="340" spans="1:32" x14ac:dyDescent="0.2">
      <c r="A340" t="s">
        <v>309</v>
      </c>
      <c r="B340">
        <v>1994</v>
      </c>
      <c r="C340" t="s">
        <v>127</v>
      </c>
      <c r="D340" t="s">
        <v>6</v>
      </c>
      <c r="E340" t="s">
        <v>92</v>
      </c>
      <c r="F340" t="str">
        <f>_xlfn.XLOOKUP(Cleaned_MLB_Stats_Dataset__1[[#This Row],[Position'#]],$B$373:$B$382,$A$373:$A$382)</f>
        <v>2B</v>
      </c>
      <c r="G340">
        <v>4</v>
      </c>
      <c r="H340">
        <v>392</v>
      </c>
      <c r="I340">
        <v>120</v>
      </c>
      <c r="J340">
        <v>25</v>
      </c>
      <c r="K340">
        <v>4</v>
      </c>
      <c r="L340">
        <v>8</v>
      </c>
      <c r="M340">
        <v>78</v>
      </c>
      <c r="N340">
        <v>38</v>
      </c>
      <c r="O340">
        <v>41</v>
      </c>
      <c r="P340">
        <v>51</v>
      </c>
      <c r="Q340">
        <v>2</v>
      </c>
      <c r="R340">
        <v>2</v>
      </c>
      <c r="S340">
        <v>3</v>
      </c>
      <c r="T340">
        <v>7</v>
      </c>
      <c r="U340" s="6">
        <f>Cleaned_MLB_Stats_Dataset__1[[#This Row],[Hits]]/Cleaned_MLB_Stats_Dataset__1[[#This Row],[At Bats]]</f>
        <v>0.30612244897959184</v>
      </c>
      <c r="V340" s="6">
        <f>Cleaned_MLB_Stats_Dataset__1[[#This Row],[Strikeouts]]/(Cleaned_MLB_Stats_Dataset__1[[#This Row],[At Bats]]+Cleaned_MLB_Stats_Dataset__1[[#This Row],[Walks]])</f>
        <v>9.2550790067720087E-2</v>
      </c>
      <c r="W34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0.11910112359550562</v>
      </c>
      <c r="X34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0.3861607142857143</v>
      </c>
      <c r="Y34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0.45153061224489793</v>
      </c>
      <c r="Z340" s="6">
        <f>Cleaned_MLB_Stats_Dataset__1[[#This Row],[On Base Percentage]]+Cleaned_MLB_Stats_Dataset__1[[#This Row],[Slugging %]]</f>
        <v>0.83769132653061229</v>
      </c>
      <c r="AA340" s="6">
        <f>Cleaned_MLB_Stats_Dataset__1[[#This Row],[Slugging %]]-Cleaned_MLB_Stats_Dataset__1[[#This Row],[Batting Average]]</f>
        <v>0.14540816326530609</v>
      </c>
      <c r="AB340" s="6">
        <f>Cleaned_MLB_Stats_Dataset__1[[#This Row],[Batting Average]]-_xlfn.XLOOKUP(Cleaned_MLB_Stats_Dataset__1[[#This Row],[Year]],'League Averages'!$A$3:$A$23,'League Averages'!$B$3:$B$23)</f>
        <v>3.6122448979591826E-2</v>
      </c>
      <c r="AC340" s="6">
        <f>Cleaned_MLB_Stats_Dataset__1[[#This Row],[On Base Percentage]]-_xlfn.XLOOKUP(Cleaned_MLB_Stats_Dataset__1[[#This Row],[Year]],'League Averages'!$A$3:$A$23,'League Averages'!$C$3:$C$23)</f>
        <v>4.7160714285714278E-2</v>
      </c>
      <c r="AD340" s="6">
        <f>Cleaned_MLB_Stats_Dataset__1[[#This Row],[Slugging %]]-_xlfn.XLOOKUP(Cleaned_MLB_Stats_Dataset__1[[#This Row],[Year]],'League Averages'!$A$3:$A$23,'League Averages'!$D$3:$D$23)</f>
        <v>2.7530612244897945E-2</v>
      </c>
      <c r="AE340" s="6">
        <f>Cleaned_MLB_Stats_Dataset__1[[#This Row],[OPS (On Base + Slugging)]]-_xlfn.XLOOKUP(Cleaned_MLB_Stats_Dataset__1[[#This Row],[Year]],'League Averages'!$A$3:$A$23,'League Averages'!$E$3:$E$23)</f>
        <v>7.4691326530612279E-2</v>
      </c>
      <c r="AF340" s="6">
        <f>Cleaned_MLB_Stats_Dataset__1[[#This Row],[ISO (Isolated Power]]-_xlfn.XLOOKUP(Cleaned_MLB_Stats_Dataset__1[[#This Row],[Year]],'League Averages'!$A$3:$A$23,'League Averages'!$F$3:$F$23)</f>
        <v>-8.5918367346939084E-3</v>
      </c>
    </row>
    <row r="341" spans="1:32" x14ac:dyDescent="0.2">
      <c r="A341" t="s">
        <v>309</v>
      </c>
      <c r="B341">
        <v>1994</v>
      </c>
      <c r="C341" t="s">
        <v>110</v>
      </c>
      <c r="D341" t="s">
        <v>3</v>
      </c>
      <c r="E341" t="s">
        <v>79</v>
      </c>
      <c r="F341" t="str">
        <f>_xlfn.XLOOKUP(Cleaned_MLB_Stats_Dataset__1[[#This Row],[Position'#]],$B$373:$B$382,$A$373:$A$382)</f>
        <v>LF</v>
      </c>
      <c r="G341">
        <v>7</v>
      </c>
      <c r="H341">
        <v>391</v>
      </c>
      <c r="I341">
        <v>122</v>
      </c>
      <c r="J341">
        <v>18</v>
      </c>
      <c r="K341">
        <v>1</v>
      </c>
      <c r="L341">
        <v>37</v>
      </c>
      <c r="M341">
        <v>89</v>
      </c>
      <c r="N341">
        <v>81</v>
      </c>
      <c r="O341">
        <v>43</v>
      </c>
      <c r="P341">
        <v>74</v>
      </c>
      <c r="Q341">
        <v>18</v>
      </c>
      <c r="R341">
        <v>6</v>
      </c>
      <c r="S341">
        <v>3</v>
      </c>
      <c r="T341">
        <v>0</v>
      </c>
      <c r="U341" s="6">
        <f>Cleaned_MLB_Stats_Dataset__1[[#This Row],[Hits]]/Cleaned_MLB_Stats_Dataset__1[[#This Row],[At Bats]]</f>
        <v>0.31202046035805625</v>
      </c>
      <c r="V341" s="6">
        <f>Cleaned_MLB_Stats_Dataset__1[[#This Row],[Strikeouts]]/(Cleaned_MLB_Stats_Dataset__1[[#This Row],[At Bats]]+Cleaned_MLB_Stats_Dataset__1[[#This Row],[Walks]])</f>
        <v>9.2473118279569888E-2</v>
      </c>
      <c r="W34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0.16985138004246284</v>
      </c>
      <c r="X34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0.42616033755274263</v>
      </c>
      <c r="Y34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0.6470588235294118</v>
      </c>
      <c r="Z341" s="6">
        <f>Cleaned_MLB_Stats_Dataset__1[[#This Row],[On Base Percentage]]+Cleaned_MLB_Stats_Dataset__1[[#This Row],[Slugging %]]</f>
        <v>1.0732191610821544</v>
      </c>
      <c r="AA341" s="6">
        <f>Cleaned_MLB_Stats_Dataset__1[[#This Row],[Slugging %]]-Cleaned_MLB_Stats_Dataset__1[[#This Row],[Batting Average]]</f>
        <v>0.33503836317135555</v>
      </c>
      <c r="AB341" s="6">
        <f>Cleaned_MLB_Stats_Dataset__1[[#This Row],[Batting Average]]-_xlfn.XLOOKUP(Cleaned_MLB_Stats_Dataset__1[[#This Row],[Year]],'League Averages'!$A$3:$A$23,'League Averages'!$B$3:$B$23)</f>
        <v>4.2020460358056233E-2</v>
      </c>
      <c r="AC341" s="6">
        <f>Cleaned_MLB_Stats_Dataset__1[[#This Row],[On Base Percentage]]-_xlfn.XLOOKUP(Cleaned_MLB_Stats_Dataset__1[[#This Row],[Year]],'League Averages'!$A$3:$A$23,'League Averages'!$C$3:$C$23)</f>
        <v>8.7160337552742606E-2</v>
      </c>
      <c r="AD341" s="6">
        <f>Cleaned_MLB_Stats_Dataset__1[[#This Row],[Slugging %]]-_xlfn.XLOOKUP(Cleaned_MLB_Stats_Dataset__1[[#This Row],[Year]],'League Averages'!$A$3:$A$23,'League Averages'!$D$3:$D$23)</f>
        <v>0.22305882352941181</v>
      </c>
      <c r="AE341" s="6">
        <f>Cleaned_MLB_Stats_Dataset__1[[#This Row],[OPS (On Base + Slugging)]]-_xlfn.XLOOKUP(Cleaned_MLB_Stats_Dataset__1[[#This Row],[Year]],'League Averages'!$A$3:$A$23,'League Averages'!$E$3:$E$23)</f>
        <v>0.31021916108215442</v>
      </c>
      <c r="AF341" s="6">
        <f>Cleaned_MLB_Stats_Dataset__1[[#This Row],[ISO (Isolated Power]]-_xlfn.XLOOKUP(Cleaned_MLB_Stats_Dataset__1[[#This Row],[Year]],'League Averages'!$A$3:$A$23,'League Averages'!$F$3:$F$23)</f>
        <v>0.18103836317135555</v>
      </c>
    </row>
    <row r="342" spans="1:32" x14ac:dyDescent="0.2">
      <c r="A342" t="s">
        <v>309</v>
      </c>
      <c r="B342">
        <v>1999</v>
      </c>
      <c r="C342" t="s">
        <v>95</v>
      </c>
      <c r="D342" t="s">
        <v>6</v>
      </c>
      <c r="E342" t="s">
        <v>78</v>
      </c>
      <c r="F342" t="str">
        <f>_xlfn.XLOOKUP(Cleaned_MLB_Stats_Dataset__1[[#This Row],[Position'#]],$B$373:$B$382,$A$373:$A$382)</f>
        <v>3B</v>
      </c>
      <c r="G342">
        <v>5</v>
      </c>
      <c r="H342">
        <v>332</v>
      </c>
      <c r="I342">
        <v>113</v>
      </c>
      <c r="J342">
        <v>27</v>
      </c>
      <c r="K342">
        <v>0</v>
      </c>
      <c r="L342">
        <v>18</v>
      </c>
      <c r="M342">
        <v>51</v>
      </c>
      <c r="N342">
        <v>57</v>
      </c>
      <c r="O342">
        <v>31</v>
      </c>
      <c r="P342">
        <v>13</v>
      </c>
      <c r="Q342">
        <v>3</v>
      </c>
      <c r="R342">
        <v>3</v>
      </c>
      <c r="S342">
        <v>3</v>
      </c>
      <c r="T342">
        <v>3</v>
      </c>
      <c r="U342" s="6">
        <f>Cleaned_MLB_Stats_Dataset__1[[#This Row],[Hits]]/Cleaned_MLB_Stats_Dataset__1[[#This Row],[At Bats]]</f>
        <v>0.34036144578313254</v>
      </c>
      <c r="V342" s="6">
        <f>Cleaned_MLB_Stats_Dataset__1[[#This Row],[Strikeouts]]/(Cleaned_MLB_Stats_Dataset__1[[#This Row],[At Bats]]+Cleaned_MLB_Stats_Dataset__1[[#This Row],[Walks]])</f>
        <v>8.9855072463768115E-2</v>
      </c>
      <c r="W34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4.5977011494252873E-2</v>
      </c>
      <c r="X34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0.36752136752136755</v>
      </c>
      <c r="Y34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0.58433734939759041</v>
      </c>
      <c r="Z342" s="6">
        <f>Cleaned_MLB_Stats_Dataset__1[[#This Row],[On Base Percentage]]+Cleaned_MLB_Stats_Dataset__1[[#This Row],[Slugging %]]</f>
        <v>0.95185871691895796</v>
      </c>
      <c r="AA342" s="6">
        <f>Cleaned_MLB_Stats_Dataset__1[[#This Row],[Slugging %]]-Cleaned_MLB_Stats_Dataset__1[[#This Row],[Batting Average]]</f>
        <v>0.24397590361445787</v>
      </c>
      <c r="AB342" s="6">
        <f>Cleaned_MLB_Stats_Dataset__1[[#This Row],[Batting Average]]-_xlfn.XLOOKUP(Cleaned_MLB_Stats_Dataset__1[[#This Row],[Year]],'League Averages'!$A$3:$A$23,'League Averages'!$B$3:$B$23)</f>
        <v>6.9361445783132525E-2</v>
      </c>
      <c r="AC342" s="6">
        <f>Cleaned_MLB_Stats_Dataset__1[[#This Row],[On Base Percentage]]-_xlfn.XLOOKUP(Cleaned_MLB_Stats_Dataset__1[[#This Row],[Year]],'League Averages'!$A$3:$A$23,'League Averages'!$C$3:$C$23)</f>
        <v>2.2521367521367575E-2</v>
      </c>
      <c r="AD342" s="6">
        <f>Cleaned_MLB_Stats_Dataset__1[[#This Row],[Slugging %]]-_xlfn.XLOOKUP(Cleaned_MLB_Stats_Dataset__1[[#This Row],[Year]],'League Averages'!$A$3:$A$23,'League Averages'!$D$3:$D$23)</f>
        <v>0.15033734939759041</v>
      </c>
      <c r="AE342" s="6">
        <f>Cleaned_MLB_Stats_Dataset__1[[#This Row],[OPS (On Base + Slugging)]]-_xlfn.XLOOKUP(Cleaned_MLB_Stats_Dataset__1[[#This Row],[Year]],'League Averages'!$A$3:$A$23,'League Averages'!$E$3:$E$23)</f>
        <v>0.17385871691895793</v>
      </c>
      <c r="AF342" s="6">
        <f>Cleaned_MLB_Stats_Dataset__1[[#This Row],[ISO (Isolated Power]]-_xlfn.XLOOKUP(Cleaned_MLB_Stats_Dataset__1[[#This Row],[Year]],'League Averages'!$A$3:$A$23,'League Averages'!$F$3:$F$23)</f>
        <v>8.0975903614457861E-2</v>
      </c>
    </row>
    <row r="343" spans="1:32" x14ac:dyDescent="0.2">
      <c r="A343" t="s">
        <v>309</v>
      </c>
      <c r="B343">
        <v>1995</v>
      </c>
      <c r="C343" t="s">
        <v>112</v>
      </c>
      <c r="D343" t="s">
        <v>3</v>
      </c>
      <c r="E343" t="s">
        <v>53</v>
      </c>
      <c r="F343" t="str">
        <f>_xlfn.XLOOKUP(Cleaned_MLB_Stats_Dataset__1[[#This Row],[Position'#]],$B$373:$B$382,$A$373:$A$382)</f>
        <v>SS</v>
      </c>
      <c r="G343">
        <v>6</v>
      </c>
      <c r="H343">
        <v>496</v>
      </c>
      <c r="I343">
        <v>158</v>
      </c>
      <c r="J343">
        <v>29</v>
      </c>
      <c r="K343">
        <v>6</v>
      </c>
      <c r="L343">
        <v>15</v>
      </c>
      <c r="M343">
        <v>98</v>
      </c>
      <c r="N343">
        <v>66</v>
      </c>
      <c r="O343">
        <v>49</v>
      </c>
      <c r="P343">
        <v>61</v>
      </c>
      <c r="Q343">
        <v>2</v>
      </c>
      <c r="R343">
        <v>3</v>
      </c>
      <c r="S343">
        <v>4</v>
      </c>
      <c r="T343">
        <v>3</v>
      </c>
      <c r="U343" s="6">
        <f>Cleaned_MLB_Stats_Dataset__1[[#This Row],[Hits]]/Cleaned_MLB_Stats_Dataset__1[[#This Row],[At Bats]]</f>
        <v>0.31854838709677419</v>
      </c>
      <c r="V343" s="6">
        <f>Cleaned_MLB_Stats_Dataset__1[[#This Row],[Strikeouts]]/(Cleaned_MLB_Stats_Dataset__1[[#This Row],[At Bats]]+Cleaned_MLB_Stats_Dataset__1[[#This Row],[Walks]])</f>
        <v>8.7971274685816878E-2</v>
      </c>
      <c r="W34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0.11428571428571428</v>
      </c>
      <c r="X34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0.39361702127659576</v>
      </c>
      <c r="Y34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0.49193548387096775</v>
      </c>
      <c r="Z343" s="6">
        <f>Cleaned_MLB_Stats_Dataset__1[[#This Row],[On Base Percentage]]+Cleaned_MLB_Stats_Dataset__1[[#This Row],[Slugging %]]</f>
        <v>0.88555250514756345</v>
      </c>
      <c r="AA343" s="6">
        <f>Cleaned_MLB_Stats_Dataset__1[[#This Row],[Slugging %]]-Cleaned_MLB_Stats_Dataset__1[[#This Row],[Batting Average]]</f>
        <v>0.17338709677419356</v>
      </c>
      <c r="AB343" s="6">
        <f>Cleaned_MLB_Stats_Dataset__1[[#This Row],[Batting Average]]-_xlfn.XLOOKUP(Cleaned_MLB_Stats_Dataset__1[[#This Row],[Year]],'League Averages'!$A$3:$A$23,'League Averages'!$B$3:$B$23)</f>
        <v>5.1548387096774173E-2</v>
      </c>
      <c r="AC343" s="6">
        <f>Cleaned_MLB_Stats_Dataset__1[[#This Row],[On Base Percentage]]-_xlfn.XLOOKUP(Cleaned_MLB_Stats_Dataset__1[[#This Row],[Year]],'League Averages'!$A$3:$A$23,'League Averages'!$C$3:$C$23)</f>
        <v>5.5617021276595735E-2</v>
      </c>
      <c r="AD343" s="6">
        <f>Cleaned_MLB_Stats_Dataset__1[[#This Row],[Slugging %]]-_xlfn.XLOOKUP(Cleaned_MLB_Stats_Dataset__1[[#This Row],[Year]],'League Averages'!$A$3:$A$23,'League Averages'!$D$3:$D$23)</f>
        <v>7.4935483870967767E-2</v>
      </c>
      <c r="AE343" s="6">
        <f>Cleaned_MLB_Stats_Dataset__1[[#This Row],[OPS (On Base + Slugging)]]-_xlfn.XLOOKUP(Cleaned_MLB_Stats_Dataset__1[[#This Row],[Year]],'League Averages'!$A$3:$A$23,'League Averages'!$E$3:$E$23)</f>
        <v>0.13055250514756345</v>
      </c>
      <c r="AF343" s="6">
        <f>Cleaned_MLB_Stats_Dataset__1[[#This Row],[ISO (Isolated Power]]-_xlfn.XLOOKUP(Cleaned_MLB_Stats_Dataset__1[[#This Row],[Year]],'League Averages'!$A$3:$A$23,'League Averages'!$F$3:$F$23)</f>
        <v>2.3387096774193566E-2</v>
      </c>
    </row>
    <row r="344" spans="1:32" x14ac:dyDescent="0.2">
      <c r="A344" t="s">
        <v>309</v>
      </c>
      <c r="B344">
        <v>2002</v>
      </c>
      <c r="C344" t="s">
        <v>228</v>
      </c>
      <c r="D344" t="s">
        <v>6</v>
      </c>
      <c r="E344" t="s">
        <v>91</v>
      </c>
      <c r="F344" t="str">
        <f>_xlfn.XLOOKUP(Cleaned_MLB_Stats_Dataset__1[[#This Row],[Position'#]],$B$373:$B$382,$A$373:$A$382)</f>
        <v>RF</v>
      </c>
      <c r="G344">
        <v>9</v>
      </c>
      <c r="H344">
        <v>647</v>
      </c>
      <c r="I344">
        <v>208</v>
      </c>
      <c r="J344">
        <v>27</v>
      </c>
      <c r="K344">
        <v>8</v>
      </c>
      <c r="L344">
        <v>8</v>
      </c>
      <c r="M344">
        <v>111</v>
      </c>
      <c r="N344">
        <v>51</v>
      </c>
      <c r="O344">
        <v>62</v>
      </c>
      <c r="P344">
        <v>68</v>
      </c>
      <c r="Q344">
        <v>27</v>
      </c>
      <c r="R344">
        <v>5</v>
      </c>
      <c r="S344">
        <v>5</v>
      </c>
      <c r="T344">
        <v>3</v>
      </c>
      <c r="U344" s="6">
        <f>Cleaned_MLB_Stats_Dataset__1[[#This Row],[Hits]]/Cleaned_MLB_Stats_Dataset__1[[#This Row],[At Bats]]</f>
        <v>0.321483771251932</v>
      </c>
      <c r="V344" s="6">
        <f>Cleaned_MLB_Stats_Dataset__1[[#This Row],[Strikeouts]]/(Cleaned_MLB_Stats_Dataset__1[[#This Row],[At Bats]]+Cleaned_MLB_Stats_Dataset__1[[#This Row],[Walks]])</f>
        <v>8.6713286713286708E-2</v>
      </c>
      <c r="W34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0.10138888888888889</v>
      </c>
      <c r="X34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0.38758620689655171</v>
      </c>
      <c r="Y34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0.42503863987635238</v>
      </c>
      <c r="Z344" s="6">
        <f>Cleaned_MLB_Stats_Dataset__1[[#This Row],[On Base Percentage]]+Cleaned_MLB_Stats_Dataset__1[[#This Row],[Slugging %]]</f>
        <v>0.81262484677290403</v>
      </c>
      <c r="AA344" s="6">
        <f>Cleaned_MLB_Stats_Dataset__1[[#This Row],[Slugging %]]-Cleaned_MLB_Stats_Dataset__1[[#This Row],[Batting Average]]</f>
        <v>0.10355486862442037</v>
      </c>
      <c r="AB344" s="6">
        <f>Cleaned_MLB_Stats_Dataset__1[[#This Row],[Batting Average]]-_xlfn.XLOOKUP(Cleaned_MLB_Stats_Dataset__1[[#This Row],[Year]],'League Averages'!$A$3:$A$23,'League Averages'!$B$3:$B$23)</f>
        <v>6.0483771251931995E-2</v>
      </c>
      <c r="AC344" s="6">
        <f>Cleaned_MLB_Stats_Dataset__1[[#This Row],[On Base Percentage]]-_xlfn.XLOOKUP(Cleaned_MLB_Stats_Dataset__1[[#This Row],[Year]],'League Averages'!$A$3:$A$23,'League Averages'!$C$3:$C$23)</f>
        <v>5.6586206896551694E-2</v>
      </c>
      <c r="AD344" s="6">
        <f>Cleaned_MLB_Stats_Dataset__1[[#This Row],[Slugging %]]-_xlfn.XLOOKUP(Cleaned_MLB_Stats_Dataset__1[[#This Row],[Year]],'League Averages'!$A$3:$A$23,'League Averages'!$D$3:$D$23)</f>
        <v>8.0386398763523936E-3</v>
      </c>
      <c r="AE344" s="6">
        <f>Cleaned_MLB_Stats_Dataset__1[[#This Row],[OPS (On Base + Slugging)]]-_xlfn.XLOOKUP(Cleaned_MLB_Stats_Dataset__1[[#This Row],[Year]],'League Averages'!$A$3:$A$23,'League Averages'!$E$3:$E$23)</f>
        <v>6.4624846772904032E-2</v>
      </c>
      <c r="AF344" s="6">
        <f>Cleaned_MLB_Stats_Dataset__1[[#This Row],[ISO (Isolated Power]]-_xlfn.XLOOKUP(Cleaned_MLB_Stats_Dataset__1[[#This Row],[Year]],'League Averages'!$A$3:$A$23,'League Averages'!$F$3:$F$23)</f>
        <v>-5.2445131375579629E-2</v>
      </c>
    </row>
    <row r="345" spans="1:32" x14ac:dyDescent="0.2">
      <c r="A345" t="s">
        <v>309</v>
      </c>
      <c r="B345">
        <v>1994</v>
      </c>
      <c r="C345" t="s">
        <v>95</v>
      </c>
      <c r="D345" t="s">
        <v>6</v>
      </c>
      <c r="E345" t="s">
        <v>78</v>
      </c>
      <c r="F345" t="str">
        <f>_xlfn.XLOOKUP(Cleaned_MLB_Stats_Dataset__1[[#This Row],[Position'#]],$B$373:$B$382,$A$373:$A$382)</f>
        <v>SS</v>
      </c>
      <c r="G345">
        <v>6</v>
      </c>
      <c r="H345">
        <v>444</v>
      </c>
      <c r="I345">
        <v>140</v>
      </c>
      <c r="J345">
        <v>19</v>
      </c>
      <c r="K345">
        <v>3</v>
      </c>
      <c r="L345">
        <v>13</v>
      </c>
      <c r="M345">
        <v>71</v>
      </c>
      <c r="N345">
        <v>75</v>
      </c>
      <c r="O345">
        <v>41</v>
      </c>
      <c r="P345">
        <v>32</v>
      </c>
      <c r="Q345">
        <v>3</v>
      </c>
      <c r="R345">
        <v>4</v>
      </c>
      <c r="S345">
        <v>4</v>
      </c>
      <c r="T345">
        <v>0</v>
      </c>
      <c r="U345" s="6">
        <f>Cleaned_MLB_Stats_Dataset__1[[#This Row],[Hits]]/Cleaned_MLB_Stats_Dataset__1[[#This Row],[At Bats]]</f>
        <v>0.31531531531531531</v>
      </c>
      <c r="V345" s="6">
        <f>Cleaned_MLB_Stats_Dataset__1[[#This Row],[Strikeouts]]/(Cleaned_MLB_Stats_Dataset__1[[#This Row],[At Bats]]+Cleaned_MLB_Stats_Dataset__1[[#This Row],[Walks]])</f>
        <v>8.6134453781512604E-2</v>
      </c>
      <c r="W34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7.4999999999999997E-2</v>
      </c>
      <c r="X34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0.36363636363636365</v>
      </c>
      <c r="Y34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0.45945945945945948</v>
      </c>
      <c r="Z345" s="6">
        <f>Cleaned_MLB_Stats_Dataset__1[[#This Row],[On Base Percentage]]+Cleaned_MLB_Stats_Dataset__1[[#This Row],[Slugging %]]</f>
        <v>0.82309582309582319</v>
      </c>
      <c r="AA345" s="6">
        <f>Cleaned_MLB_Stats_Dataset__1[[#This Row],[Slugging %]]-Cleaned_MLB_Stats_Dataset__1[[#This Row],[Batting Average]]</f>
        <v>0.14414414414414417</v>
      </c>
      <c r="AB345" s="6">
        <f>Cleaned_MLB_Stats_Dataset__1[[#This Row],[Batting Average]]-_xlfn.XLOOKUP(Cleaned_MLB_Stats_Dataset__1[[#This Row],[Year]],'League Averages'!$A$3:$A$23,'League Averages'!$B$3:$B$23)</f>
        <v>4.5315315315315297E-2</v>
      </c>
      <c r="AC345" s="6">
        <f>Cleaned_MLB_Stats_Dataset__1[[#This Row],[On Base Percentage]]-_xlfn.XLOOKUP(Cleaned_MLB_Stats_Dataset__1[[#This Row],[Year]],'League Averages'!$A$3:$A$23,'League Averages'!$C$3:$C$23)</f>
        <v>2.4636363636363623E-2</v>
      </c>
      <c r="AD345" s="6">
        <f>Cleaned_MLB_Stats_Dataset__1[[#This Row],[Slugging %]]-_xlfn.XLOOKUP(Cleaned_MLB_Stats_Dataset__1[[#This Row],[Year]],'League Averages'!$A$3:$A$23,'League Averages'!$D$3:$D$23)</f>
        <v>3.5459459459459497E-2</v>
      </c>
      <c r="AE345" s="6">
        <f>Cleaned_MLB_Stats_Dataset__1[[#This Row],[OPS (On Base + Slugging)]]-_xlfn.XLOOKUP(Cleaned_MLB_Stats_Dataset__1[[#This Row],[Year]],'League Averages'!$A$3:$A$23,'League Averages'!$E$3:$E$23)</f>
        <v>6.0095823095823175E-2</v>
      </c>
      <c r="AF345" s="6">
        <f>Cleaned_MLB_Stats_Dataset__1[[#This Row],[ISO (Isolated Power]]-_xlfn.XLOOKUP(Cleaned_MLB_Stats_Dataset__1[[#This Row],[Year]],'League Averages'!$A$3:$A$23,'League Averages'!$F$3:$F$23)</f>
        <v>-9.8558558558558274E-3</v>
      </c>
    </row>
    <row r="346" spans="1:32" x14ac:dyDescent="0.2">
      <c r="A346" t="s">
        <v>309</v>
      </c>
      <c r="B346">
        <v>1996</v>
      </c>
      <c r="C346" t="s">
        <v>112</v>
      </c>
      <c r="D346" t="s">
        <v>3</v>
      </c>
      <c r="E346" t="s">
        <v>53</v>
      </c>
      <c r="F346" t="str">
        <f>_xlfn.XLOOKUP(Cleaned_MLB_Stats_Dataset__1[[#This Row],[Position'#]],$B$373:$B$382,$A$373:$A$382)</f>
        <v>SS</v>
      </c>
      <c r="G346">
        <v>6</v>
      </c>
      <c r="H346">
        <v>517</v>
      </c>
      <c r="I346">
        <v>154</v>
      </c>
      <c r="J346">
        <v>32</v>
      </c>
      <c r="K346">
        <v>4</v>
      </c>
      <c r="L346">
        <v>33</v>
      </c>
      <c r="M346">
        <v>117</v>
      </c>
      <c r="N346">
        <v>89</v>
      </c>
      <c r="O346">
        <v>52</v>
      </c>
      <c r="P346">
        <v>96</v>
      </c>
      <c r="Q346">
        <v>3</v>
      </c>
      <c r="R346">
        <v>7</v>
      </c>
      <c r="S346">
        <v>7</v>
      </c>
      <c r="T346">
        <v>0</v>
      </c>
      <c r="U346" s="6">
        <f>Cleaned_MLB_Stats_Dataset__1[[#This Row],[Hits]]/Cleaned_MLB_Stats_Dataset__1[[#This Row],[At Bats]]</f>
        <v>0.2978723404255319</v>
      </c>
      <c r="V346" s="6">
        <f>Cleaned_MLB_Stats_Dataset__1[[#This Row],[Strikeouts]]/(Cleaned_MLB_Stats_Dataset__1[[#This Row],[At Bats]]+Cleaned_MLB_Stats_Dataset__1[[#This Row],[Walks]])</f>
        <v>8.4828711256117462E-2</v>
      </c>
      <c r="W34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0.16612903225806452</v>
      </c>
      <c r="X34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0.4098883572567783</v>
      </c>
      <c r="Y34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0.5667311411992263</v>
      </c>
      <c r="Z346" s="6">
        <f>Cleaned_MLB_Stats_Dataset__1[[#This Row],[On Base Percentage]]+Cleaned_MLB_Stats_Dataset__1[[#This Row],[Slugging %]]</f>
        <v>0.9766194984560046</v>
      </c>
      <c r="AA346" s="6">
        <f>Cleaned_MLB_Stats_Dataset__1[[#This Row],[Slugging %]]-Cleaned_MLB_Stats_Dataset__1[[#This Row],[Batting Average]]</f>
        <v>0.2688588007736944</v>
      </c>
      <c r="AB346" s="6">
        <f>Cleaned_MLB_Stats_Dataset__1[[#This Row],[Batting Average]]-_xlfn.XLOOKUP(Cleaned_MLB_Stats_Dataset__1[[#This Row],[Year]],'League Averages'!$A$3:$A$23,'League Averages'!$B$3:$B$23)</f>
        <v>2.7872340425531883E-2</v>
      </c>
      <c r="AC346" s="6">
        <f>Cleaned_MLB_Stats_Dataset__1[[#This Row],[On Base Percentage]]-_xlfn.XLOOKUP(Cleaned_MLB_Stats_Dataset__1[[#This Row],[Year]],'League Averages'!$A$3:$A$23,'League Averages'!$C$3:$C$23)</f>
        <v>6.9888357256778277E-2</v>
      </c>
      <c r="AD346" s="6">
        <f>Cleaned_MLB_Stats_Dataset__1[[#This Row],[Slugging %]]-_xlfn.XLOOKUP(Cleaned_MLB_Stats_Dataset__1[[#This Row],[Year]],'League Averages'!$A$3:$A$23,'League Averages'!$D$3:$D$23)</f>
        <v>0.13973114119922631</v>
      </c>
      <c r="AE346" s="6">
        <f>Cleaned_MLB_Stats_Dataset__1[[#This Row],[OPS (On Base + Slugging)]]-_xlfn.XLOOKUP(Cleaned_MLB_Stats_Dataset__1[[#This Row],[Year]],'League Averages'!$A$3:$A$23,'League Averages'!$E$3:$E$23)</f>
        <v>0.20961949845600458</v>
      </c>
      <c r="AF346" s="6">
        <f>Cleaned_MLB_Stats_Dataset__1[[#This Row],[ISO (Isolated Power]]-_xlfn.XLOOKUP(Cleaned_MLB_Stats_Dataset__1[[#This Row],[Year]],'League Averages'!$A$3:$A$23,'League Averages'!$F$3:$F$23)</f>
        <v>0.11185880077369439</v>
      </c>
    </row>
    <row r="347" spans="1:32" x14ac:dyDescent="0.2">
      <c r="A347" t="s">
        <v>309</v>
      </c>
      <c r="B347">
        <v>1999</v>
      </c>
      <c r="C347" t="s">
        <v>112</v>
      </c>
      <c r="D347" t="s">
        <v>3</v>
      </c>
      <c r="E347" t="s">
        <v>53</v>
      </c>
      <c r="F347" t="str">
        <f>_xlfn.XLOOKUP(Cleaned_MLB_Stats_Dataset__1[[#This Row],[Position'#]],$B$373:$B$382,$A$373:$A$382)</f>
        <v>SS</v>
      </c>
      <c r="G347">
        <v>6</v>
      </c>
      <c r="H347">
        <v>583</v>
      </c>
      <c r="I347">
        <v>171</v>
      </c>
      <c r="J347">
        <v>30</v>
      </c>
      <c r="K347">
        <v>4</v>
      </c>
      <c r="L347">
        <v>12</v>
      </c>
      <c r="M347">
        <v>108</v>
      </c>
      <c r="N347">
        <v>75</v>
      </c>
      <c r="O347">
        <v>57</v>
      </c>
      <c r="P347">
        <v>93</v>
      </c>
      <c r="Q347">
        <v>5</v>
      </c>
      <c r="R347">
        <v>2</v>
      </c>
      <c r="S347">
        <v>4</v>
      </c>
      <c r="T347">
        <v>5</v>
      </c>
      <c r="U347" s="6">
        <f>Cleaned_MLB_Stats_Dataset__1[[#This Row],[Hits]]/Cleaned_MLB_Stats_Dataset__1[[#This Row],[At Bats]]</f>
        <v>0.29331046312178388</v>
      </c>
      <c r="V347" s="6">
        <f>Cleaned_MLB_Stats_Dataset__1[[#This Row],[Strikeouts]]/(Cleaned_MLB_Stats_Dataset__1[[#This Row],[At Bats]]+Cleaned_MLB_Stats_Dataset__1[[#This Row],[Walks]])</f>
        <v>8.4319526627218935E-2</v>
      </c>
      <c r="W34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0.14011799410029499</v>
      </c>
      <c r="X34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0.39002932551319647</v>
      </c>
      <c r="Y34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0.42024013722126929</v>
      </c>
      <c r="Z347" s="6">
        <f>Cleaned_MLB_Stats_Dataset__1[[#This Row],[On Base Percentage]]+Cleaned_MLB_Stats_Dataset__1[[#This Row],[Slugging %]]</f>
        <v>0.81026946273446576</v>
      </c>
      <c r="AA347" s="6">
        <f>Cleaned_MLB_Stats_Dataset__1[[#This Row],[Slugging %]]-Cleaned_MLB_Stats_Dataset__1[[#This Row],[Batting Average]]</f>
        <v>0.12692967409948541</v>
      </c>
      <c r="AB347" s="6">
        <f>Cleaned_MLB_Stats_Dataset__1[[#This Row],[Batting Average]]-_xlfn.XLOOKUP(Cleaned_MLB_Stats_Dataset__1[[#This Row],[Year]],'League Averages'!$A$3:$A$23,'League Averages'!$B$3:$B$23)</f>
        <v>2.2310463121783863E-2</v>
      </c>
      <c r="AC347" s="6">
        <f>Cleaned_MLB_Stats_Dataset__1[[#This Row],[On Base Percentage]]-_xlfn.XLOOKUP(Cleaned_MLB_Stats_Dataset__1[[#This Row],[Year]],'League Averages'!$A$3:$A$23,'League Averages'!$C$3:$C$23)</f>
        <v>4.5029325513196494E-2</v>
      </c>
      <c r="AD347" s="6">
        <f>Cleaned_MLB_Stats_Dataset__1[[#This Row],[Slugging %]]-_xlfn.XLOOKUP(Cleaned_MLB_Stats_Dataset__1[[#This Row],[Year]],'League Averages'!$A$3:$A$23,'League Averages'!$D$3:$D$23)</f>
        <v>-1.3759862778730703E-2</v>
      </c>
      <c r="AE347" s="6">
        <f>Cleaned_MLB_Stats_Dataset__1[[#This Row],[OPS (On Base + Slugging)]]-_xlfn.XLOOKUP(Cleaned_MLB_Stats_Dataset__1[[#This Row],[Year]],'League Averages'!$A$3:$A$23,'League Averages'!$E$3:$E$23)</f>
        <v>3.2269462734465737E-2</v>
      </c>
      <c r="AF347" s="6">
        <f>Cleaned_MLB_Stats_Dataset__1[[#This Row],[ISO (Isolated Power]]-_xlfn.XLOOKUP(Cleaned_MLB_Stats_Dataset__1[[#This Row],[Year]],'League Averages'!$A$3:$A$23,'League Averages'!$F$3:$F$23)</f>
        <v>-3.6070325900514594E-2</v>
      </c>
    </row>
    <row r="348" spans="1:32" x14ac:dyDescent="0.2">
      <c r="A348" t="s">
        <v>309</v>
      </c>
      <c r="B348">
        <v>1993</v>
      </c>
      <c r="C348" t="s">
        <v>95</v>
      </c>
      <c r="D348" t="s">
        <v>6</v>
      </c>
      <c r="E348" t="s">
        <v>78</v>
      </c>
      <c r="F348" t="str">
        <f>_xlfn.XLOOKUP(Cleaned_MLB_Stats_Dataset__1[[#This Row],[Position'#]],$B$373:$B$382,$A$373:$A$382)</f>
        <v>SS</v>
      </c>
      <c r="G348">
        <v>6</v>
      </c>
      <c r="H348">
        <v>641</v>
      </c>
      <c r="I348">
        <v>165</v>
      </c>
      <c r="J348">
        <v>26</v>
      </c>
      <c r="K348">
        <v>3</v>
      </c>
      <c r="L348">
        <v>24</v>
      </c>
      <c r="M348">
        <v>87</v>
      </c>
      <c r="N348">
        <v>90</v>
      </c>
      <c r="O348">
        <v>58</v>
      </c>
      <c r="P348">
        <v>65</v>
      </c>
      <c r="Q348">
        <v>19</v>
      </c>
      <c r="R348">
        <v>6</v>
      </c>
      <c r="S348">
        <v>6</v>
      </c>
      <c r="T348">
        <v>0</v>
      </c>
      <c r="U348" s="6">
        <f>Cleaned_MLB_Stats_Dataset__1[[#This Row],[Hits]]/Cleaned_MLB_Stats_Dataset__1[[#This Row],[At Bats]]</f>
        <v>0.25741029641185648</v>
      </c>
      <c r="V348" s="6">
        <f>Cleaned_MLB_Stats_Dataset__1[[#This Row],[Strikeouts]]/(Cleaned_MLB_Stats_Dataset__1[[#This Row],[At Bats]]+Cleaned_MLB_Stats_Dataset__1[[#This Row],[Walks]])</f>
        <v>8.2152974504249299E-2</v>
      </c>
      <c r="W34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9.9719101123595499E-2</v>
      </c>
      <c r="X34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0.32869080779944287</v>
      </c>
      <c r="Y34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0.41965678627145087</v>
      </c>
      <c r="Z348" s="6">
        <f>Cleaned_MLB_Stats_Dataset__1[[#This Row],[On Base Percentage]]+Cleaned_MLB_Stats_Dataset__1[[#This Row],[Slugging %]]</f>
        <v>0.74834759407089368</v>
      </c>
      <c r="AA348" s="6">
        <f>Cleaned_MLB_Stats_Dataset__1[[#This Row],[Slugging %]]-Cleaned_MLB_Stats_Dataset__1[[#This Row],[Batting Average]]</f>
        <v>0.16224648985959439</v>
      </c>
      <c r="AB348" s="6">
        <f>Cleaned_MLB_Stats_Dataset__1[[#This Row],[Batting Average]]-_xlfn.XLOOKUP(Cleaned_MLB_Stats_Dataset__1[[#This Row],[Year]],'League Averages'!$A$3:$A$23,'League Averages'!$B$3:$B$23)</f>
        <v>-7.5897035881435371E-3</v>
      </c>
      <c r="AC348" s="6">
        <f>Cleaned_MLB_Stats_Dataset__1[[#This Row],[On Base Percentage]]-_xlfn.XLOOKUP(Cleaned_MLB_Stats_Dataset__1[[#This Row],[Year]],'League Averages'!$A$3:$A$23,'League Averages'!$C$3:$C$23)</f>
        <v>-3.3091922005571428E-3</v>
      </c>
      <c r="AD348" s="6">
        <f>Cleaned_MLB_Stats_Dataset__1[[#This Row],[Slugging %]]-_xlfn.XLOOKUP(Cleaned_MLB_Stats_Dataset__1[[#This Row],[Year]],'League Averages'!$A$3:$A$23,'League Averages'!$D$3:$D$23)</f>
        <v>1.6656786271450841E-2</v>
      </c>
      <c r="AE348" s="6">
        <f>Cleaned_MLB_Stats_Dataset__1[[#This Row],[OPS (On Base + Slugging)]]-_xlfn.XLOOKUP(Cleaned_MLB_Stats_Dataset__1[[#This Row],[Year]],'League Averages'!$A$3:$A$23,'League Averages'!$E$3:$E$23)</f>
        <v>1.2347594070893697E-2</v>
      </c>
      <c r="AF348" s="6">
        <f>Cleaned_MLB_Stats_Dataset__1[[#This Row],[ISO (Isolated Power]]-_xlfn.XLOOKUP(Cleaned_MLB_Stats_Dataset__1[[#This Row],[Year]],'League Averages'!$A$3:$A$23,'League Averages'!$F$3:$F$23)</f>
        <v>2.4246489859594378E-2</v>
      </c>
    </row>
    <row r="349" spans="1:32" x14ac:dyDescent="0.2">
      <c r="A349" t="s">
        <v>309</v>
      </c>
      <c r="B349">
        <v>1996</v>
      </c>
      <c r="C349" t="s">
        <v>155</v>
      </c>
      <c r="D349" t="s">
        <v>6</v>
      </c>
      <c r="E349" t="s">
        <v>90</v>
      </c>
      <c r="F349" t="str">
        <f>_xlfn.XLOOKUP(Cleaned_MLB_Stats_Dataset__1[[#This Row],[Position'#]],$B$373:$B$382,$A$373:$A$382)</f>
        <v>C</v>
      </c>
      <c r="G349">
        <v>2</v>
      </c>
      <c r="H349">
        <v>639</v>
      </c>
      <c r="I349">
        <v>192</v>
      </c>
      <c r="J349">
        <v>47</v>
      </c>
      <c r="K349">
        <v>3</v>
      </c>
      <c r="L349">
        <v>19</v>
      </c>
      <c r="M349">
        <v>116</v>
      </c>
      <c r="N349">
        <v>86</v>
      </c>
      <c r="O349">
        <v>55</v>
      </c>
      <c r="P349">
        <v>38</v>
      </c>
      <c r="Q349">
        <v>7</v>
      </c>
      <c r="R349">
        <v>4</v>
      </c>
      <c r="S349">
        <v>4</v>
      </c>
      <c r="T349">
        <v>0</v>
      </c>
      <c r="U349" s="6">
        <f>Cleaned_MLB_Stats_Dataset__1[[#This Row],[Hits]]/Cleaned_MLB_Stats_Dataset__1[[#This Row],[At Bats]]</f>
        <v>0.30046948356807512</v>
      </c>
      <c r="V349" s="6">
        <f>Cleaned_MLB_Stats_Dataset__1[[#This Row],[Strikeouts]]/(Cleaned_MLB_Stats_Dataset__1[[#This Row],[At Bats]]+Cleaned_MLB_Stats_Dataset__1[[#This Row],[Walks]])</f>
        <v>8.1240768094534718E-2</v>
      </c>
      <c r="W34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6.1674008810572688E-2</v>
      </c>
      <c r="X34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0.34160583941605838</v>
      </c>
      <c r="Y34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0.47261345852895148</v>
      </c>
      <c r="Z349" s="6">
        <f>Cleaned_MLB_Stats_Dataset__1[[#This Row],[On Base Percentage]]+Cleaned_MLB_Stats_Dataset__1[[#This Row],[Slugging %]]</f>
        <v>0.8142192979450098</v>
      </c>
      <c r="AA349" s="6">
        <f>Cleaned_MLB_Stats_Dataset__1[[#This Row],[Slugging %]]-Cleaned_MLB_Stats_Dataset__1[[#This Row],[Batting Average]]</f>
        <v>0.17214397496087636</v>
      </c>
      <c r="AB349" s="6">
        <f>Cleaned_MLB_Stats_Dataset__1[[#This Row],[Batting Average]]-_xlfn.XLOOKUP(Cleaned_MLB_Stats_Dataset__1[[#This Row],[Year]],'League Averages'!$A$3:$A$23,'League Averages'!$B$3:$B$23)</f>
        <v>3.0469483568075106E-2</v>
      </c>
      <c r="AC349" s="6">
        <f>Cleaned_MLB_Stats_Dataset__1[[#This Row],[On Base Percentage]]-_xlfn.XLOOKUP(Cleaned_MLB_Stats_Dataset__1[[#This Row],[Year]],'League Averages'!$A$3:$A$23,'League Averages'!$C$3:$C$23)</f>
        <v>1.6058394160583522E-3</v>
      </c>
      <c r="AD349" s="6">
        <f>Cleaned_MLB_Stats_Dataset__1[[#This Row],[Slugging %]]-_xlfn.XLOOKUP(Cleaned_MLB_Stats_Dataset__1[[#This Row],[Year]],'League Averages'!$A$3:$A$23,'League Averages'!$D$3:$D$23)</f>
        <v>4.5613458528951489E-2</v>
      </c>
      <c r="AE349" s="6">
        <f>Cleaned_MLB_Stats_Dataset__1[[#This Row],[OPS (On Base + Slugging)]]-_xlfn.XLOOKUP(Cleaned_MLB_Stats_Dataset__1[[#This Row],[Year]],'League Averages'!$A$3:$A$23,'League Averages'!$E$3:$E$23)</f>
        <v>4.7219297945009786E-2</v>
      </c>
      <c r="AF349" s="6">
        <f>Cleaned_MLB_Stats_Dataset__1[[#This Row],[ISO (Isolated Power]]-_xlfn.XLOOKUP(Cleaned_MLB_Stats_Dataset__1[[#This Row],[Year]],'League Averages'!$A$3:$A$23,'League Averages'!$F$3:$F$23)</f>
        <v>1.5143974960876355E-2</v>
      </c>
    </row>
    <row r="350" spans="1:32" x14ac:dyDescent="0.2">
      <c r="A350" t="s">
        <v>309</v>
      </c>
      <c r="B350">
        <v>2002</v>
      </c>
      <c r="C350" t="s">
        <v>110</v>
      </c>
      <c r="D350" t="s">
        <v>3</v>
      </c>
      <c r="E350" t="s">
        <v>79</v>
      </c>
      <c r="F350" t="str">
        <f>_xlfn.XLOOKUP(Cleaned_MLB_Stats_Dataset__1[[#This Row],[Position'#]],$B$373:$B$382,$A$373:$A$382)</f>
        <v>LF</v>
      </c>
      <c r="G350">
        <v>7</v>
      </c>
      <c r="H350">
        <v>403</v>
      </c>
      <c r="I350">
        <v>149</v>
      </c>
      <c r="J350">
        <v>31</v>
      </c>
      <c r="K350">
        <v>2</v>
      </c>
      <c r="L350">
        <v>46</v>
      </c>
      <c r="M350">
        <v>117</v>
      </c>
      <c r="N350">
        <v>110</v>
      </c>
      <c r="O350">
        <v>47</v>
      </c>
      <c r="P350">
        <v>198</v>
      </c>
      <c r="Q350">
        <v>68</v>
      </c>
      <c r="R350">
        <v>9</v>
      </c>
      <c r="S350">
        <v>2</v>
      </c>
      <c r="T350">
        <v>0</v>
      </c>
      <c r="U350" s="6">
        <f>Cleaned_MLB_Stats_Dataset__1[[#This Row],[Hits]]/Cleaned_MLB_Stats_Dataset__1[[#This Row],[At Bats]]</f>
        <v>0.36972704714640198</v>
      </c>
      <c r="V350" s="6">
        <f>Cleaned_MLB_Stats_Dataset__1[[#This Row],[Strikeouts]]/(Cleaned_MLB_Stats_Dataset__1[[#This Row],[At Bats]]+Cleaned_MLB_Stats_Dataset__1[[#This Row],[Walks]])</f>
        <v>7.8202995008319467E-2</v>
      </c>
      <c r="W35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0.33934426229508197</v>
      </c>
      <c r="X35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0.5816993464052288</v>
      </c>
      <c r="Y35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0.79900744416873448</v>
      </c>
      <c r="Z350" s="6">
        <f>Cleaned_MLB_Stats_Dataset__1[[#This Row],[On Base Percentage]]+Cleaned_MLB_Stats_Dataset__1[[#This Row],[Slugging %]]</f>
        <v>1.3807067905739632</v>
      </c>
      <c r="AA350" s="6">
        <f>Cleaned_MLB_Stats_Dataset__1[[#This Row],[Slugging %]]-Cleaned_MLB_Stats_Dataset__1[[#This Row],[Batting Average]]</f>
        <v>0.4292803970223325</v>
      </c>
      <c r="AB350" s="6">
        <f>Cleaned_MLB_Stats_Dataset__1[[#This Row],[Batting Average]]-_xlfn.XLOOKUP(Cleaned_MLB_Stats_Dataset__1[[#This Row],[Year]],'League Averages'!$A$3:$A$23,'League Averages'!$B$3:$B$23)</f>
        <v>0.10872704714640197</v>
      </c>
      <c r="AC350" s="6">
        <f>Cleaned_MLB_Stats_Dataset__1[[#This Row],[On Base Percentage]]-_xlfn.XLOOKUP(Cleaned_MLB_Stats_Dataset__1[[#This Row],[Year]],'League Averages'!$A$3:$A$23,'League Averages'!$C$3:$C$23)</f>
        <v>0.25069934640522878</v>
      </c>
      <c r="AD350" s="6">
        <f>Cleaned_MLB_Stats_Dataset__1[[#This Row],[Slugging %]]-_xlfn.XLOOKUP(Cleaned_MLB_Stats_Dataset__1[[#This Row],[Year]],'League Averages'!$A$3:$A$23,'League Averages'!$D$3:$D$23)</f>
        <v>0.3820074441687345</v>
      </c>
      <c r="AE350" s="6">
        <f>Cleaned_MLB_Stats_Dataset__1[[#This Row],[OPS (On Base + Slugging)]]-_xlfn.XLOOKUP(Cleaned_MLB_Stats_Dataset__1[[#This Row],[Year]],'League Averages'!$A$3:$A$23,'League Averages'!$E$3:$E$23)</f>
        <v>0.63270679057396317</v>
      </c>
      <c r="AF350" s="6">
        <f>Cleaned_MLB_Stats_Dataset__1[[#This Row],[ISO (Isolated Power]]-_xlfn.XLOOKUP(Cleaned_MLB_Stats_Dataset__1[[#This Row],[Year]],'League Averages'!$A$3:$A$23,'League Averages'!$F$3:$F$23)</f>
        <v>0.27328039702233253</v>
      </c>
    </row>
    <row r="351" spans="1:32" x14ac:dyDescent="0.2">
      <c r="A351" t="s">
        <v>309</v>
      </c>
      <c r="B351">
        <v>1993</v>
      </c>
      <c r="C351" t="s">
        <v>97</v>
      </c>
      <c r="D351" t="s">
        <v>6</v>
      </c>
      <c r="E351" t="s">
        <v>71</v>
      </c>
      <c r="F351" t="str">
        <f>_xlfn.XLOOKUP(Cleaned_MLB_Stats_Dataset__1[[#This Row],[Position'#]],$B$373:$B$382,$A$373:$A$382)</f>
        <v>3B</v>
      </c>
      <c r="G351">
        <v>5</v>
      </c>
      <c r="H351">
        <v>560</v>
      </c>
      <c r="I351">
        <v>169</v>
      </c>
      <c r="J351">
        <v>26</v>
      </c>
      <c r="K351">
        <v>1</v>
      </c>
      <c r="L351">
        <v>2</v>
      </c>
      <c r="M351">
        <v>83</v>
      </c>
      <c r="N351">
        <v>59</v>
      </c>
      <c r="O351">
        <v>49</v>
      </c>
      <c r="P351">
        <v>74</v>
      </c>
      <c r="Q351">
        <v>4</v>
      </c>
      <c r="R351">
        <v>0</v>
      </c>
      <c r="S351">
        <v>9</v>
      </c>
      <c r="T351">
        <v>1</v>
      </c>
      <c r="U351" s="6">
        <f>Cleaned_MLB_Stats_Dataset__1[[#This Row],[Hits]]/Cleaned_MLB_Stats_Dataset__1[[#This Row],[At Bats]]</f>
        <v>0.30178571428571427</v>
      </c>
      <c r="V351" s="6">
        <f>Cleaned_MLB_Stats_Dataset__1[[#This Row],[Strikeouts]]/(Cleaned_MLB_Stats_Dataset__1[[#This Row],[At Bats]]+Cleaned_MLB_Stats_Dataset__1[[#This Row],[Walks]])</f>
        <v>7.7287066246056788E-2</v>
      </c>
      <c r="W35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0.1167192429022082</v>
      </c>
      <c r="X35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0.37791601866251945</v>
      </c>
      <c r="Y35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0.36249999999999999</v>
      </c>
      <c r="Z351" s="6">
        <f>Cleaned_MLB_Stats_Dataset__1[[#This Row],[On Base Percentage]]+Cleaned_MLB_Stats_Dataset__1[[#This Row],[Slugging %]]</f>
        <v>0.74041601866251949</v>
      </c>
      <c r="AA351" s="6">
        <f>Cleaned_MLB_Stats_Dataset__1[[#This Row],[Slugging %]]-Cleaned_MLB_Stats_Dataset__1[[#This Row],[Batting Average]]</f>
        <v>6.0714285714285721E-2</v>
      </c>
      <c r="AB351" s="6">
        <f>Cleaned_MLB_Stats_Dataset__1[[#This Row],[Batting Average]]-_xlfn.XLOOKUP(Cleaned_MLB_Stats_Dataset__1[[#This Row],[Year]],'League Averages'!$A$3:$A$23,'League Averages'!$B$3:$B$23)</f>
        <v>3.6785714285714255E-2</v>
      </c>
      <c r="AC351" s="6">
        <f>Cleaned_MLB_Stats_Dataset__1[[#This Row],[On Base Percentage]]-_xlfn.XLOOKUP(Cleaned_MLB_Stats_Dataset__1[[#This Row],[Year]],'League Averages'!$A$3:$A$23,'League Averages'!$C$3:$C$23)</f>
        <v>4.5916018662519431E-2</v>
      </c>
      <c r="AD351" s="6">
        <f>Cleaned_MLB_Stats_Dataset__1[[#This Row],[Slugging %]]-_xlfn.XLOOKUP(Cleaned_MLB_Stats_Dataset__1[[#This Row],[Year]],'League Averages'!$A$3:$A$23,'League Averages'!$D$3:$D$23)</f>
        <v>-4.0500000000000036E-2</v>
      </c>
      <c r="AE351" s="6">
        <f>Cleaned_MLB_Stats_Dataset__1[[#This Row],[OPS (On Base + Slugging)]]-_xlfn.XLOOKUP(Cleaned_MLB_Stats_Dataset__1[[#This Row],[Year]],'League Averages'!$A$3:$A$23,'League Averages'!$E$3:$E$23)</f>
        <v>4.4160186625195053E-3</v>
      </c>
      <c r="AF351" s="6">
        <f>Cleaned_MLB_Stats_Dataset__1[[#This Row],[ISO (Isolated Power]]-_xlfn.XLOOKUP(Cleaned_MLB_Stats_Dataset__1[[#This Row],[Year]],'League Averages'!$A$3:$A$23,'League Averages'!$F$3:$F$23)</f>
        <v>-7.7285714285714291E-2</v>
      </c>
    </row>
    <row r="352" spans="1:32" x14ac:dyDescent="0.2">
      <c r="A352" t="s">
        <v>309</v>
      </c>
      <c r="B352">
        <v>1993</v>
      </c>
      <c r="C352" t="s">
        <v>112</v>
      </c>
      <c r="D352" t="s">
        <v>3</v>
      </c>
      <c r="E352" t="s">
        <v>53</v>
      </c>
      <c r="F352" t="str">
        <f>_xlfn.XLOOKUP(Cleaned_MLB_Stats_Dataset__1[[#This Row],[Position'#]],$B$373:$B$382,$A$373:$A$382)</f>
        <v>SS</v>
      </c>
      <c r="G352">
        <v>6</v>
      </c>
      <c r="H352">
        <v>384</v>
      </c>
      <c r="I352">
        <v>121</v>
      </c>
      <c r="J352">
        <v>20</v>
      </c>
      <c r="K352">
        <v>3</v>
      </c>
      <c r="L352">
        <v>8</v>
      </c>
      <c r="M352">
        <v>57</v>
      </c>
      <c r="N352">
        <v>51</v>
      </c>
      <c r="O352">
        <v>33</v>
      </c>
      <c r="P352">
        <v>51</v>
      </c>
      <c r="Q352">
        <v>6</v>
      </c>
      <c r="R352">
        <v>1</v>
      </c>
      <c r="S352">
        <v>3</v>
      </c>
      <c r="T352">
        <v>1</v>
      </c>
      <c r="U352" s="6">
        <f>Cleaned_MLB_Stats_Dataset__1[[#This Row],[Hits]]/Cleaned_MLB_Stats_Dataset__1[[#This Row],[At Bats]]</f>
        <v>0.31510416666666669</v>
      </c>
      <c r="V352" s="6">
        <f>Cleaned_MLB_Stats_Dataset__1[[#This Row],[Strikeouts]]/(Cleaned_MLB_Stats_Dataset__1[[#This Row],[At Bats]]+Cleaned_MLB_Stats_Dataset__1[[#This Row],[Walks]])</f>
        <v>7.586206896551724E-2</v>
      </c>
      <c r="W35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0.11926605504587157</v>
      </c>
      <c r="X35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0.39407744874715261</v>
      </c>
      <c r="Y35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0.4453125</v>
      </c>
      <c r="Z352" s="6">
        <f>Cleaned_MLB_Stats_Dataset__1[[#This Row],[On Base Percentage]]+Cleaned_MLB_Stats_Dataset__1[[#This Row],[Slugging %]]</f>
        <v>0.83938994874715256</v>
      </c>
      <c r="AA352" s="6">
        <f>Cleaned_MLB_Stats_Dataset__1[[#This Row],[Slugging %]]-Cleaned_MLB_Stats_Dataset__1[[#This Row],[Batting Average]]</f>
        <v>0.13020833333333331</v>
      </c>
      <c r="AB352" s="6">
        <f>Cleaned_MLB_Stats_Dataset__1[[#This Row],[Batting Average]]-_xlfn.XLOOKUP(Cleaned_MLB_Stats_Dataset__1[[#This Row],[Year]],'League Averages'!$A$3:$A$23,'League Averages'!$B$3:$B$23)</f>
        <v>5.0104166666666672E-2</v>
      </c>
      <c r="AC352" s="6">
        <f>Cleaned_MLB_Stats_Dataset__1[[#This Row],[On Base Percentage]]-_xlfn.XLOOKUP(Cleaned_MLB_Stats_Dataset__1[[#This Row],[Year]],'League Averages'!$A$3:$A$23,'League Averages'!$C$3:$C$23)</f>
        <v>6.2077448747152597E-2</v>
      </c>
      <c r="AD352" s="6">
        <f>Cleaned_MLB_Stats_Dataset__1[[#This Row],[Slugging %]]-_xlfn.XLOOKUP(Cleaned_MLB_Stats_Dataset__1[[#This Row],[Year]],'League Averages'!$A$3:$A$23,'League Averages'!$D$3:$D$23)</f>
        <v>4.2312499999999975E-2</v>
      </c>
      <c r="AE352" s="6">
        <f>Cleaned_MLB_Stats_Dataset__1[[#This Row],[OPS (On Base + Slugging)]]-_xlfn.XLOOKUP(Cleaned_MLB_Stats_Dataset__1[[#This Row],[Year]],'League Averages'!$A$3:$A$23,'League Averages'!$E$3:$E$23)</f>
        <v>0.10338994874715257</v>
      </c>
      <c r="AF352" s="6">
        <f>Cleaned_MLB_Stats_Dataset__1[[#This Row],[ISO (Isolated Power]]-_xlfn.XLOOKUP(Cleaned_MLB_Stats_Dataset__1[[#This Row],[Year]],'League Averages'!$A$3:$A$23,'League Averages'!$F$3:$F$23)</f>
        <v>-7.7916666666666967E-3</v>
      </c>
    </row>
    <row r="353" spans="1:32" x14ac:dyDescent="0.2">
      <c r="A353" t="s">
        <v>309</v>
      </c>
      <c r="B353">
        <v>2001</v>
      </c>
      <c r="C353" t="s">
        <v>228</v>
      </c>
      <c r="D353" t="s">
        <v>6</v>
      </c>
      <c r="E353" t="s">
        <v>91</v>
      </c>
      <c r="F353" t="str">
        <f>_xlfn.XLOOKUP(Cleaned_MLB_Stats_Dataset__1[[#This Row],[Position'#]],$B$373:$B$382,$A$373:$A$382)</f>
        <v>CF</v>
      </c>
      <c r="G353">
        <v>8</v>
      </c>
      <c r="H353">
        <v>692</v>
      </c>
      <c r="I353">
        <v>242</v>
      </c>
      <c r="J353">
        <v>34</v>
      </c>
      <c r="K353">
        <v>8</v>
      </c>
      <c r="L353">
        <v>8</v>
      </c>
      <c r="M353">
        <v>127</v>
      </c>
      <c r="N353">
        <v>69</v>
      </c>
      <c r="O353">
        <v>53</v>
      </c>
      <c r="P353">
        <v>30</v>
      </c>
      <c r="Q353">
        <v>10</v>
      </c>
      <c r="R353">
        <v>8</v>
      </c>
      <c r="S353">
        <v>4</v>
      </c>
      <c r="T353">
        <v>4</v>
      </c>
      <c r="U353" s="6">
        <f>Cleaned_MLB_Stats_Dataset__1[[#This Row],[Hits]]/Cleaned_MLB_Stats_Dataset__1[[#This Row],[At Bats]]</f>
        <v>0.34971098265895956</v>
      </c>
      <c r="V353" s="6">
        <f>Cleaned_MLB_Stats_Dataset__1[[#This Row],[Strikeouts]]/(Cleaned_MLB_Stats_Dataset__1[[#This Row],[At Bats]]+Cleaned_MLB_Stats_Dataset__1[[#This Row],[Walks]])</f>
        <v>7.3407202216066489E-2</v>
      </c>
      <c r="W35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5.2054794520547946E-2</v>
      </c>
      <c r="X35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0.38147138964577659</v>
      </c>
      <c r="Y35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0.45664739884393063</v>
      </c>
      <c r="Z353" s="6">
        <f>Cleaned_MLB_Stats_Dataset__1[[#This Row],[On Base Percentage]]+Cleaned_MLB_Stats_Dataset__1[[#This Row],[Slugging %]]</f>
        <v>0.83811878848970722</v>
      </c>
      <c r="AA353" s="6">
        <f>Cleaned_MLB_Stats_Dataset__1[[#This Row],[Slugging %]]-Cleaned_MLB_Stats_Dataset__1[[#This Row],[Batting Average]]</f>
        <v>0.10693641618497107</v>
      </c>
      <c r="AB353" s="6">
        <f>Cleaned_MLB_Stats_Dataset__1[[#This Row],[Batting Average]]-_xlfn.XLOOKUP(Cleaned_MLB_Stats_Dataset__1[[#This Row],[Year]],'League Averages'!$A$3:$A$23,'League Averages'!$B$3:$B$23)</f>
        <v>8.5710982658959545E-2</v>
      </c>
      <c r="AC353" s="6">
        <f>Cleaned_MLB_Stats_Dataset__1[[#This Row],[On Base Percentage]]-_xlfn.XLOOKUP(Cleaned_MLB_Stats_Dataset__1[[#This Row],[Year]],'League Averages'!$A$3:$A$23,'League Averages'!$C$3:$C$23)</f>
        <v>4.9471389645776576E-2</v>
      </c>
      <c r="AD353" s="6">
        <f>Cleaned_MLB_Stats_Dataset__1[[#This Row],[Slugging %]]-_xlfn.XLOOKUP(Cleaned_MLB_Stats_Dataset__1[[#This Row],[Year]],'League Averages'!$A$3:$A$23,'League Averages'!$D$3:$D$23)</f>
        <v>2.9647398843930639E-2</v>
      </c>
      <c r="AE353" s="6">
        <f>Cleaned_MLB_Stats_Dataset__1[[#This Row],[OPS (On Base + Slugging)]]-_xlfn.XLOOKUP(Cleaned_MLB_Stats_Dataset__1[[#This Row],[Year]],'League Averages'!$A$3:$A$23,'League Averages'!$E$3:$E$23)</f>
        <v>7.9118788489707215E-2</v>
      </c>
      <c r="AF353" s="6">
        <f>Cleaned_MLB_Stats_Dataset__1[[#This Row],[ISO (Isolated Power]]-_xlfn.XLOOKUP(Cleaned_MLB_Stats_Dataset__1[[#This Row],[Year]],'League Averages'!$A$3:$A$23,'League Averages'!$F$3:$F$23)</f>
        <v>-5.6063583815028933E-2</v>
      </c>
    </row>
    <row r="354" spans="1:32" x14ac:dyDescent="0.2">
      <c r="A354" t="s">
        <v>309</v>
      </c>
      <c r="B354">
        <v>2000</v>
      </c>
      <c r="C354" t="s">
        <v>112</v>
      </c>
      <c r="D354" t="s">
        <v>3</v>
      </c>
      <c r="E354" t="s">
        <v>53</v>
      </c>
      <c r="F354" t="str">
        <f>_xlfn.XLOOKUP(Cleaned_MLB_Stats_Dataset__1[[#This Row],[Position'#]],$B$373:$B$382,$A$373:$A$382)</f>
        <v>SS</v>
      </c>
      <c r="G354">
        <v>6</v>
      </c>
      <c r="H354">
        <v>396</v>
      </c>
      <c r="I354">
        <v>124</v>
      </c>
      <c r="J354">
        <v>26</v>
      </c>
      <c r="K354">
        <v>5</v>
      </c>
      <c r="L354">
        <v>11</v>
      </c>
      <c r="M354">
        <v>71</v>
      </c>
      <c r="N354">
        <v>41</v>
      </c>
      <c r="O354">
        <v>31</v>
      </c>
      <c r="P354">
        <v>48</v>
      </c>
      <c r="Q354">
        <v>0</v>
      </c>
      <c r="R354">
        <v>1</v>
      </c>
      <c r="S354">
        <v>0</v>
      </c>
      <c r="T354">
        <v>2</v>
      </c>
      <c r="U354" s="6">
        <f>Cleaned_MLB_Stats_Dataset__1[[#This Row],[Hits]]/Cleaned_MLB_Stats_Dataset__1[[#This Row],[At Bats]]</f>
        <v>0.31313131313131315</v>
      </c>
      <c r="V354" s="6">
        <f>Cleaned_MLB_Stats_Dataset__1[[#This Row],[Strikeouts]]/(Cleaned_MLB_Stats_Dataset__1[[#This Row],[At Bats]]+Cleaned_MLB_Stats_Dataset__1[[#This Row],[Walks]])</f>
        <v>6.9819819819819814E-2</v>
      </c>
      <c r="W35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0.1101123595505618</v>
      </c>
      <c r="X35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0.38876404494382022</v>
      </c>
      <c r="Y35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0.48737373737373735</v>
      </c>
      <c r="Z354" s="6">
        <f>Cleaned_MLB_Stats_Dataset__1[[#This Row],[On Base Percentage]]+Cleaned_MLB_Stats_Dataset__1[[#This Row],[Slugging %]]</f>
        <v>0.87613778231755757</v>
      </c>
      <c r="AA354" s="6">
        <f>Cleaned_MLB_Stats_Dataset__1[[#This Row],[Slugging %]]-Cleaned_MLB_Stats_Dataset__1[[#This Row],[Batting Average]]</f>
        <v>0.1742424242424242</v>
      </c>
      <c r="AB354" s="6">
        <f>Cleaned_MLB_Stats_Dataset__1[[#This Row],[Batting Average]]-_xlfn.XLOOKUP(Cleaned_MLB_Stats_Dataset__1[[#This Row],[Year]],'League Averages'!$A$3:$A$23,'League Averages'!$B$3:$B$23)</f>
        <v>4.3131313131313131E-2</v>
      </c>
      <c r="AC354" s="6">
        <f>Cleaned_MLB_Stats_Dataset__1[[#This Row],[On Base Percentage]]-_xlfn.XLOOKUP(Cleaned_MLB_Stats_Dataset__1[[#This Row],[Year]],'League Averages'!$A$3:$A$23,'League Averages'!$C$3:$C$23)</f>
        <v>4.3764044943820246E-2</v>
      </c>
      <c r="AD354" s="6">
        <f>Cleaned_MLB_Stats_Dataset__1[[#This Row],[Slugging %]]-_xlfn.XLOOKUP(Cleaned_MLB_Stats_Dataset__1[[#This Row],[Year]],'League Averages'!$A$3:$A$23,'League Averages'!$D$3:$D$23)</f>
        <v>5.0373737373737348E-2</v>
      </c>
      <c r="AE354" s="6">
        <f>Cleaned_MLB_Stats_Dataset__1[[#This Row],[OPS (On Base + Slugging)]]-_xlfn.XLOOKUP(Cleaned_MLB_Stats_Dataset__1[[#This Row],[Year]],'League Averages'!$A$3:$A$23,'League Averages'!$E$3:$E$23)</f>
        <v>9.4137782317557539E-2</v>
      </c>
      <c r="AF354" s="6">
        <f>Cleaned_MLB_Stats_Dataset__1[[#This Row],[ISO (Isolated Power]]-_xlfn.XLOOKUP(Cleaned_MLB_Stats_Dataset__1[[#This Row],[Year]],'League Averages'!$A$3:$A$23,'League Averages'!$F$3:$F$23)</f>
        <v>7.2424242424241891E-3</v>
      </c>
    </row>
    <row r="355" spans="1:32" x14ac:dyDescent="0.2">
      <c r="A355" t="s">
        <v>309</v>
      </c>
      <c r="B355">
        <v>1994</v>
      </c>
      <c r="C355" t="s">
        <v>97</v>
      </c>
      <c r="D355" t="s">
        <v>6</v>
      </c>
      <c r="E355" t="s">
        <v>71</v>
      </c>
      <c r="F355" t="str">
        <f>_xlfn.XLOOKUP(Cleaned_MLB_Stats_Dataset__1[[#This Row],[Position'#]],$B$373:$B$382,$A$373:$A$382)</f>
        <v>3B</v>
      </c>
      <c r="G355">
        <v>5</v>
      </c>
      <c r="H355">
        <v>366</v>
      </c>
      <c r="I355">
        <v>125</v>
      </c>
      <c r="J355">
        <v>19</v>
      </c>
      <c r="K355">
        <v>1</v>
      </c>
      <c r="L355">
        <v>11</v>
      </c>
      <c r="M355">
        <v>61</v>
      </c>
      <c r="N355">
        <v>55</v>
      </c>
      <c r="O355">
        <v>29</v>
      </c>
      <c r="P355">
        <v>61</v>
      </c>
      <c r="Q355">
        <v>3</v>
      </c>
      <c r="R355">
        <v>1</v>
      </c>
      <c r="S355">
        <v>4</v>
      </c>
      <c r="T355">
        <v>2</v>
      </c>
      <c r="U355" s="6">
        <f>Cleaned_MLB_Stats_Dataset__1[[#This Row],[Hits]]/Cleaned_MLB_Stats_Dataset__1[[#This Row],[At Bats]]</f>
        <v>0.34153005464480873</v>
      </c>
      <c r="V355" s="6">
        <f>Cleaned_MLB_Stats_Dataset__1[[#This Row],[Strikeouts]]/(Cleaned_MLB_Stats_Dataset__1[[#This Row],[At Bats]]+Cleaned_MLB_Stats_Dataset__1[[#This Row],[Walks]])</f>
        <v>6.7915690866510545E-2</v>
      </c>
      <c r="W35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0.14485981308411214</v>
      </c>
      <c r="X35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0.43287037037037035</v>
      </c>
      <c r="Y35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0.48907103825136611</v>
      </c>
      <c r="Z355" s="6">
        <f>Cleaned_MLB_Stats_Dataset__1[[#This Row],[On Base Percentage]]+Cleaned_MLB_Stats_Dataset__1[[#This Row],[Slugging %]]</f>
        <v>0.92194140862173646</v>
      </c>
      <c r="AA355" s="6">
        <f>Cleaned_MLB_Stats_Dataset__1[[#This Row],[Slugging %]]-Cleaned_MLB_Stats_Dataset__1[[#This Row],[Batting Average]]</f>
        <v>0.14754098360655737</v>
      </c>
      <c r="AB355" s="6">
        <f>Cleaned_MLB_Stats_Dataset__1[[#This Row],[Batting Average]]-_xlfn.XLOOKUP(Cleaned_MLB_Stats_Dataset__1[[#This Row],[Year]],'League Averages'!$A$3:$A$23,'League Averages'!$B$3:$B$23)</f>
        <v>7.1530054644808716E-2</v>
      </c>
      <c r="AC355" s="6">
        <f>Cleaned_MLB_Stats_Dataset__1[[#This Row],[On Base Percentage]]-_xlfn.XLOOKUP(Cleaned_MLB_Stats_Dataset__1[[#This Row],[Year]],'League Averages'!$A$3:$A$23,'League Averages'!$C$3:$C$23)</f>
        <v>9.3870370370370326E-2</v>
      </c>
      <c r="AD355" s="6">
        <f>Cleaned_MLB_Stats_Dataset__1[[#This Row],[Slugging %]]-_xlfn.XLOOKUP(Cleaned_MLB_Stats_Dataset__1[[#This Row],[Year]],'League Averages'!$A$3:$A$23,'League Averages'!$D$3:$D$23)</f>
        <v>6.507103825136612E-2</v>
      </c>
      <c r="AE355" s="6">
        <f>Cleaned_MLB_Stats_Dataset__1[[#This Row],[OPS (On Base + Slugging)]]-_xlfn.XLOOKUP(Cleaned_MLB_Stats_Dataset__1[[#This Row],[Year]],'League Averages'!$A$3:$A$23,'League Averages'!$E$3:$E$23)</f>
        <v>0.15894140862173645</v>
      </c>
      <c r="AF355" s="6">
        <f>Cleaned_MLB_Stats_Dataset__1[[#This Row],[ISO (Isolated Power]]-_xlfn.XLOOKUP(Cleaned_MLB_Stats_Dataset__1[[#This Row],[Year]],'League Averages'!$A$3:$A$23,'League Averages'!$F$3:$F$23)</f>
        <v>-6.4590163934426237E-3</v>
      </c>
    </row>
    <row r="356" spans="1:32" x14ac:dyDescent="0.2">
      <c r="A356" t="s">
        <v>309</v>
      </c>
      <c r="B356">
        <v>1999</v>
      </c>
      <c r="C356" t="s">
        <v>185</v>
      </c>
      <c r="D356" t="s">
        <v>6</v>
      </c>
      <c r="E356" t="s">
        <v>68</v>
      </c>
      <c r="F356" t="str">
        <f>_xlfn.XLOOKUP(Cleaned_MLB_Stats_Dataset__1[[#This Row],[Position'#]],$B$373:$B$382,$A$373:$A$382)</f>
        <v>SS</v>
      </c>
      <c r="G356">
        <v>6</v>
      </c>
      <c r="H356">
        <v>532</v>
      </c>
      <c r="I356">
        <v>190</v>
      </c>
      <c r="J356">
        <v>42</v>
      </c>
      <c r="K356">
        <v>4</v>
      </c>
      <c r="L356">
        <v>27</v>
      </c>
      <c r="M356">
        <v>103</v>
      </c>
      <c r="N356">
        <v>104</v>
      </c>
      <c r="O356">
        <v>39</v>
      </c>
      <c r="P356">
        <v>51</v>
      </c>
      <c r="Q356">
        <v>7</v>
      </c>
      <c r="R356">
        <v>8</v>
      </c>
      <c r="S356">
        <v>4</v>
      </c>
      <c r="T356">
        <v>0</v>
      </c>
      <c r="U356" s="6">
        <f>Cleaned_MLB_Stats_Dataset__1[[#This Row],[Hits]]/Cleaned_MLB_Stats_Dataset__1[[#This Row],[At Bats]]</f>
        <v>0.35714285714285715</v>
      </c>
      <c r="V356" s="6">
        <f>Cleaned_MLB_Stats_Dataset__1[[#This Row],[Strikeouts]]/(Cleaned_MLB_Stats_Dataset__1[[#This Row],[At Bats]]+Cleaned_MLB_Stats_Dataset__1[[#This Row],[Walks]])</f>
        <v>6.6895368782161235E-2</v>
      </c>
      <c r="W35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9.9830795262267347E-2</v>
      </c>
      <c r="X35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0.41848739495798321</v>
      </c>
      <c r="Y35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0.60338345864661658</v>
      </c>
      <c r="Z356" s="6">
        <f>Cleaned_MLB_Stats_Dataset__1[[#This Row],[On Base Percentage]]+Cleaned_MLB_Stats_Dataset__1[[#This Row],[Slugging %]]</f>
        <v>1.0218708536045997</v>
      </c>
      <c r="AA356" s="6">
        <f>Cleaned_MLB_Stats_Dataset__1[[#This Row],[Slugging %]]-Cleaned_MLB_Stats_Dataset__1[[#This Row],[Batting Average]]</f>
        <v>0.24624060150375943</v>
      </c>
      <c r="AB356" s="6">
        <f>Cleaned_MLB_Stats_Dataset__1[[#This Row],[Batting Average]]-_xlfn.XLOOKUP(Cleaned_MLB_Stats_Dataset__1[[#This Row],[Year]],'League Averages'!$A$3:$A$23,'League Averages'!$B$3:$B$23)</f>
        <v>8.6142857142857132E-2</v>
      </c>
      <c r="AC356" s="6">
        <f>Cleaned_MLB_Stats_Dataset__1[[#This Row],[On Base Percentage]]-_xlfn.XLOOKUP(Cleaned_MLB_Stats_Dataset__1[[#This Row],[Year]],'League Averages'!$A$3:$A$23,'League Averages'!$C$3:$C$23)</f>
        <v>7.3487394957983232E-2</v>
      </c>
      <c r="AD356" s="6">
        <f>Cleaned_MLB_Stats_Dataset__1[[#This Row],[Slugging %]]-_xlfn.XLOOKUP(Cleaned_MLB_Stats_Dataset__1[[#This Row],[Year]],'League Averages'!$A$3:$A$23,'League Averages'!$D$3:$D$23)</f>
        <v>0.16938345864661658</v>
      </c>
      <c r="AE356" s="6">
        <f>Cleaned_MLB_Stats_Dataset__1[[#This Row],[OPS (On Base + Slugging)]]-_xlfn.XLOOKUP(Cleaned_MLB_Stats_Dataset__1[[#This Row],[Year]],'League Averages'!$A$3:$A$23,'League Averages'!$E$3:$E$23)</f>
        <v>0.2438708536045997</v>
      </c>
      <c r="AF356" s="6">
        <f>Cleaned_MLB_Stats_Dataset__1[[#This Row],[ISO (Isolated Power]]-_xlfn.XLOOKUP(Cleaned_MLB_Stats_Dataset__1[[#This Row],[Year]],'League Averages'!$A$3:$A$23,'League Averages'!$F$3:$F$23)</f>
        <v>8.324060150375942E-2</v>
      </c>
    </row>
    <row r="357" spans="1:32" x14ac:dyDescent="0.2">
      <c r="A357" t="s">
        <v>309</v>
      </c>
      <c r="B357">
        <v>1994</v>
      </c>
      <c r="C357" t="s">
        <v>94</v>
      </c>
      <c r="D357" t="s">
        <v>3</v>
      </c>
      <c r="E357" t="s">
        <v>60</v>
      </c>
      <c r="F357" t="str">
        <f>_xlfn.XLOOKUP(Cleaned_MLB_Stats_Dataset__1[[#This Row],[Position'#]],$B$373:$B$382,$A$373:$A$382)</f>
        <v>SS</v>
      </c>
      <c r="G357">
        <v>6</v>
      </c>
      <c r="H357">
        <v>381</v>
      </c>
      <c r="I357">
        <v>100</v>
      </c>
      <c r="J357">
        <v>18</v>
      </c>
      <c r="K357">
        <v>3</v>
      </c>
      <c r="L357">
        <v>3</v>
      </c>
      <c r="M357">
        <v>51</v>
      </c>
      <c r="N357">
        <v>30</v>
      </c>
      <c r="O357">
        <v>26</v>
      </c>
      <c r="P357">
        <v>38</v>
      </c>
      <c r="Q357">
        <v>3</v>
      </c>
      <c r="R357">
        <v>0</v>
      </c>
      <c r="S357">
        <v>4</v>
      </c>
      <c r="T357">
        <v>10</v>
      </c>
      <c r="U357" s="6">
        <f>Cleaned_MLB_Stats_Dataset__1[[#This Row],[Hits]]/Cleaned_MLB_Stats_Dataset__1[[#This Row],[At Bats]]</f>
        <v>0.26246719160104987</v>
      </c>
      <c r="V357" s="6">
        <f>Cleaned_MLB_Stats_Dataset__1[[#This Row],[Strikeouts]]/(Cleaned_MLB_Stats_Dataset__1[[#This Row],[At Bats]]+Cleaned_MLB_Stats_Dataset__1[[#This Row],[Walks]])</f>
        <v>6.205250596658711E-2</v>
      </c>
      <c r="W35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9.0692124105011929E-2</v>
      </c>
      <c r="X35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0.32624113475177308</v>
      </c>
      <c r="Y35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0.34908136482939633</v>
      </c>
      <c r="Z357" s="6">
        <f>Cleaned_MLB_Stats_Dataset__1[[#This Row],[On Base Percentage]]+Cleaned_MLB_Stats_Dataset__1[[#This Row],[Slugging %]]</f>
        <v>0.67532249958116941</v>
      </c>
      <c r="AA357" s="6">
        <f>Cleaned_MLB_Stats_Dataset__1[[#This Row],[Slugging %]]-Cleaned_MLB_Stats_Dataset__1[[#This Row],[Batting Average]]</f>
        <v>8.6614173228346469E-2</v>
      </c>
      <c r="AB357" s="6">
        <f>Cleaned_MLB_Stats_Dataset__1[[#This Row],[Batting Average]]-_xlfn.XLOOKUP(Cleaned_MLB_Stats_Dataset__1[[#This Row],[Year]],'League Averages'!$A$3:$A$23,'League Averages'!$B$3:$B$23)</f>
        <v>-7.5328083989501526E-3</v>
      </c>
      <c r="AC357" s="6">
        <f>Cleaned_MLB_Stats_Dataset__1[[#This Row],[On Base Percentage]]-_xlfn.XLOOKUP(Cleaned_MLB_Stats_Dataset__1[[#This Row],[Year]],'League Averages'!$A$3:$A$23,'League Averages'!$C$3:$C$23)</f>
        <v>-1.2758865248226947E-2</v>
      </c>
      <c r="AD357" s="6">
        <f>Cleaned_MLB_Stats_Dataset__1[[#This Row],[Slugging %]]-_xlfn.XLOOKUP(Cleaned_MLB_Stats_Dataset__1[[#This Row],[Year]],'League Averages'!$A$3:$A$23,'League Averages'!$D$3:$D$23)</f>
        <v>-7.4918635170603654E-2</v>
      </c>
      <c r="AE357" s="6">
        <f>Cleaned_MLB_Stats_Dataset__1[[#This Row],[OPS (On Base + Slugging)]]-_xlfn.XLOOKUP(Cleaned_MLB_Stats_Dataset__1[[#This Row],[Year]],'League Averages'!$A$3:$A$23,'League Averages'!$E$3:$E$23)</f>
        <v>-8.7677500418830601E-2</v>
      </c>
      <c r="AF357" s="6">
        <f>Cleaned_MLB_Stats_Dataset__1[[#This Row],[ISO (Isolated Power]]-_xlfn.XLOOKUP(Cleaned_MLB_Stats_Dataset__1[[#This Row],[Year]],'League Averages'!$A$3:$A$23,'League Averages'!$F$3:$F$23)</f>
        <v>-6.7385826771653529E-2</v>
      </c>
    </row>
    <row r="358" spans="1:32" x14ac:dyDescent="0.2">
      <c r="A358" t="s">
        <v>309</v>
      </c>
      <c r="B358">
        <v>1994</v>
      </c>
      <c r="C358" t="s">
        <v>121</v>
      </c>
      <c r="D358" t="s">
        <v>3</v>
      </c>
      <c r="E358" t="s">
        <v>60</v>
      </c>
      <c r="F358" t="str">
        <f>_xlfn.XLOOKUP(Cleaned_MLB_Stats_Dataset__1[[#This Row],[Position'#]],$B$373:$B$382,$A$373:$A$382)</f>
        <v>1B</v>
      </c>
      <c r="G358">
        <v>3</v>
      </c>
      <c r="H358">
        <v>397</v>
      </c>
      <c r="I358">
        <v>129</v>
      </c>
      <c r="J358">
        <v>27</v>
      </c>
      <c r="K358">
        <v>1</v>
      </c>
      <c r="L358">
        <v>12</v>
      </c>
      <c r="M358">
        <v>52</v>
      </c>
      <c r="N358">
        <v>55</v>
      </c>
      <c r="O358">
        <v>26</v>
      </c>
      <c r="P358">
        <v>45</v>
      </c>
      <c r="Q358">
        <v>12</v>
      </c>
      <c r="R358">
        <v>1</v>
      </c>
      <c r="S358">
        <v>4</v>
      </c>
      <c r="T358">
        <v>0</v>
      </c>
      <c r="U358" s="6">
        <f>Cleaned_MLB_Stats_Dataset__1[[#This Row],[Hits]]/Cleaned_MLB_Stats_Dataset__1[[#This Row],[At Bats]]</f>
        <v>0.32493702770780858</v>
      </c>
      <c r="V358" s="6">
        <f>Cleaned_MLB_Stats_Dataset__1[[#This Row],[Strikeouts]]/(Cleaned_MLB_Stats_Dataset__1[[#This Row],[At Bats]]+Cleaned_MLB_Stats_Dataset__1[[#This Row],[Walks]])</f>
        <v>5.8823529411764705E-2</v>
      </c>
      <c r="W358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0.10383747178329571</v>
      </c>
      <c r="X358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0.39149888143176736</v>
      </c>
      <c r="Y358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0.48866498740554154</v>
      </c>
      <c r="Z358" s="6">
        <f>Cleaned_MLB_Stats_Dataset__1[[#This Row],[On Base Percentage]]+Cleaned_MLB_Stats_Dataset__1[[#This Row],[Slugging %]]</f>
        <v>0.8801638688373089</v>
      </c>
      <c r="AA358" s="6">
        <f>Cleaned_MLB_Stats_Dataset__1[[#This Row],[Slugging %]]-Cleaned_MLB_Stats_Dataset__1[[#This Row],[Batting Average]]</f>
        <v>0.16372795969773296</v>
      </c>
      <c r="AB358" s="6">
        <f>Cleaned_MLB_Stats_Dataset__1[[#This Row],[Batting Average]]-_xlfn.XLOOKUP(Cleaned_MLB_Stats_Dataset__1[[#This Row],[Year]],'League Averages'!$A$3:$A$23,'League Averages'!$B$3:$B$23)</f>
        <v>5.4937027707808561E-2</v>
      </c>
      <c r="AC358" s="6">
        <f>Cleaned_MLB_Stats_Dataset__1[[#This Row],[On Base Percentage]]-_xlfn.XLOOKUP(Cleaned_MLB_Stats_Dataset__1[[#This Row],[Year]],'League Averages'!$A$3:$A$23,'League Averages'!$C$3:$C$23)</f>
        <v>5.2498881431767341E-2</v>
      </c>
      <c r="AD358" s="6">
        <f>Cleaned_MLB_Stats_Dataset__1[[#This Row],[Slugging %]]-_xlfn.XLOOKUP(Cleaned_MLB_Stats_Dataset__1[[#This Row],[Year]],'League Averages'!$A$3:$A$23,'League Averages'!$D$3:$D$23)</f>
        <v>6.4664987405541552E-2</v>
      </c>
      <c r="AE358" s="6">
        <f>Cleaned_MLB_Stats_Dataset__1[[#This Row],[OPS (On Base + Slugging)]]-_xlfn.XLOOKUP(Cleaned_MLB_Stats_Dataset__1[[#This Row],[Year]],'League Averages'!$A$3:$A$23,'League Averages'!$E$3:$E$23)</f>
        <v>0.11716386883730889</v>
      </c>
      <c r="AF358" s="6">
        <f>Cleaned_MLB_Stats_Dataset__1[[#This Row],[ISO (Isolated Power]]-_xlfn.XLOOKUP(Cleaned_MLB_Stats_Dataset__1[[#This Row],[Year]],'League Averages'!$A$3:$A$23,'League Averages'!$F$3:$F$23)</f>
        <v>9.727959697732963E-3</v>
      </c>
    </row>
    <row r="359" spans="1:32" x14ac:dyDescent="0.2">
      <c r="A359" t="s">
        <v>309</v>
      </c>
      <c r="B359">
        <v>1996</v>
      </c>
      <c r="C359" t="s">
        <v>97</v>
      </c>
      <c r="D359" t="s">
        <v>6</v>
      </c>
      <c r="E359" t="s">
        <v>71</v>
      </c>
      <c r="F359" t="str">
        <f>_xlfn.XLOOKUP(Cleaned_MLB_Stats_Dataset__1[[#This Row],[Position'#]],$B$373:$B$382,$A$373:$A$382)</f>
        <v>3B</v>
      </c>
      <c r="G359">
        <v>5</v>
      </c>
      <c r="H359">
        <v>501</v>
      </c>
      <c r="I359">
        <v>156</v>
      </c>
      <c r="J359">
        <v>29</v>
      </c>
      <c r="K359">
        <v>2</v>
      </c>
      <c r="L359">
        <v>2</v>
      </c>
      <c r="M359">
        <v>80</v>
      </c>
      <c r="N359">
        <v>41</v>
      </c>
      <c r="O359">
        <v>32</v>
      </c>
      <c r="P359">
        <v>67</v>
      </c>
      <c r="Q359">
        <v>7</v>
      </c>
      <c r="R359">
        <v>0</v>
      </c>
      <c r="S359">
        <v>5</v>
      </c>
      <c r="T359">
        <v>1</v>
      </c>
      <c r="U359" s="6">
        <f>Cleaned_MLB_Stats_Dataset__1[[#This Row],[Hits]]/Cleaned_MLB_Stats_Dataset__1[[#This Row],[At Bats]]</f>
        <v>0.31137724550898205</v>
      </c>
      <c r="V359" s="6">
        <f>Cleaned_MLB_Stats_Dataset__1[[#This Row],[Strikeouts]]/(Cleaned_MLB_Stats_Dataset__1[[#This Row],[At Bats]]+Cleaned_MLB_Stats_Dataset__1[[#This Row],[Walks]])</f>
        <v>5.6338028169014086E-2</v>
      </c>
      <c r="W359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0.11795774647887323</v>
      </c>
      <c r="X359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0.38917975567190227</v>
      </c>
      <c r="Y359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0.38922155688622756</v>
      </c>
      <c r="Z359" s="6">
        <f>Cleaned_MLB_Stats_Dataset__1[[#This Row],[On Base Percentage]]+Cleaned_MLB_Stats_Dataset__1[[#This Row],[Slugging %]]</f>
        <v>0.77840131255812983</v>
      </c>
      <c r="AA359" s="6">
        <f>Cleaned_MLB_Stats_Dataset__1[[#This Row],[Slugging %]]-Cleaned_MLB_Stats_Dataset__1[[#This Row],[Batting Average]]</f>
        <v>7.7844311377245512E-2</v>
      </c>
      <c r="AB359" s="6">
        <f>Cleaned_MLB_Stats_Dataset__1[[#This Row],[Batting Average]]-_xlfn.XLOOKUP(Cleaned_MLB_Stats_Dataset__1[[#This Row],[Year]],'League Averages'!$A$3:$A$23,'League Averages'!$B$3:$B$23)</f>
        <v>4.137724550898203E-2</v>
      </c>
      <c r="AC359" s="6">
        <f>Cleaned_MLB_Stats_Dataset__1[[#This Row],[On Base Percentage]]-_xlfn.XLOOKUP(Cleaned_MLB_Stats_Dataset__1[[#This Row],[Year]],'League Averages'!$A$3:$A$23,'League Averages'!$C$3:$C$23)</f>
        <v>4.9179755671902248E-2</v>
      </c>
      <c r="AD359" s="6">
        <f>Cleaned_MLB_Stats_Dataset__1[[#This Row],[Slugging %]]-_xlfn.XLOOKUP(Cleaned_MLB_Stats_Dataset__1[[#This Row],[Year]],'League Averages'!$A$3:$A$23,'League Averages'!$D$3:$D$23)</f>
        <v>-3.7778443113772431E-2</v>
      </c>
      <c r="AE359" s="6">
        <f>Cleaned_MLB_Stats_Dataset__1[[#This Row],[OPS (On Base + Slugging)]]-_xlfn.XLOOKUP(Cleaned_MLB_Stats_Dataset__1[[#This Row],[Year]],'League Averages'!$A$3:$A$23,'League Averages'!$E$3:$E$23)</f>
        <v>1.1401312558129817E-2</v>
      </c>
      <c r="AF359" s="6">
        <f>Cleaned_MLB_Stats_Dataset__1[[#This Row],[ISO (Isolated Power]]-_xlfn.XLOOKUP(Cleaned_MLB_Stats_Dataset__1[[#This Row],[Year]],'League Averages'!$A$3:$A$23,'League Averages'!$F$3:$F$23)</f>
        <v>-7.9155688622754489E-2</v>
      </c>
    </row>
    <row r="360" spans="1:32" x14ac:dyDescent="0.2">
      <c r="A360" t="s">
        <v>309</v>
      </c>
      <c r="B360">
        <v>1996</v>
      </c>
      <c r="C360" t="s">
        <v>122</v>
      </c>
      <c r="D360" t="s">
        <v>3</v>
      </c>
      <c r="E360" t="s">
        <v>83</v>
      </c>
      <c r="F360" t="str">
        <f>_xlfn.XLOOKUP(Cleaned_MLB_Stats_Dataset__1[[#This Row],[Position'#]],$B$373:$B$382,$A$373:$A$382)</f>
        <v>CF</v>
      </c>
      <c r="G360">
        <v>8</v>
      </c>
      <c r="H360">
        <v>682</v>
      </c>
      <c r="I360">
        <v>227</v>
      </c>
      <c r="J360">
        <v>31</v>
      </c>
      <c r="K360">
        <v>21</v>
      </c>
      <c r="L360">
        <v>9</v>
      </c>
      <c r="M360">
        <v>117</v>
      </c>
      <c r="N360">
        <v>69</v>
      </c>
      <c r="O360">
        <v>40</v>
      </c>
      <c r="P360">
        <v>33</v>
      </c>
      <c r="Q360">
        <v>8</v>
      </c>
      <c r="R360">
        <v>1</v>
      </c>
      <c r="S360">
        <v>5</v>
      </c>
      <c r="T360">
        <v>3</v>
      </c>
      <c r="U360" s="6">
        <f>Cleaned_MLB_Stats_Dataset__1[[#This Row],[Hits]]/Cleaned_MLB_Stats_Dataset__1[[#This Row],[At Bats]]</f>
        <v>0.33284457478005863</v>
      </c>
      <c r="V360" s="6">
        <f>Cleaned_MLB_Stats_Dataset__1[[#This Row],[Strikeouts]]/(Cleaned_MLB_Stats_Dataset__1[[#This Row],[At Bats]]+Cleaned_MLB_Stats_Dataset__1[[#This Row],[Walks]])</f>
        <v>5.5944055944055944E-2</v>
      </c>
      <c r="W360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4.7486033519553071E-2</v>
      </c>
      <c r="X360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0.36199722607489598</v>
      </c>
      <c r="Y360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0.47947214076246336</v>
      </c>
      <c r="Z360" s="6">
        <f>Cleaned_MLB_Stats_Dataset__1[[#This Row],[On Base Percentage]]+Cleaned_MLB_Stats_Dataset__1[[#This Row],[Slugging %]]</f>
        <v>0.8414693668373594</v>
      </c>
      <c r="AA360" s="6">
        <f>Cleaned_MLB_Stats_Dataset__1[[#This Row],[Slugging %]]-Cleaned_MLB_Stats_Dataset__1[[#This Row],[Batting Average]]</f>
        <v>0.14662756598240473</v>
      </c>
      <c r="AB360" s="6">
        <f>Cleaned_MLB_Stats_Dataset__1[[#This Row],[Batting Average]]-_xlfn.XLOOKUP(Cleaned_MLB_Stats_Dataset__1[[#This Row],[Year]],'League Averages'!$A$3:$A$23,'League Averages'!$B$3:$B$23)</f>
        <v>6.2844574780058615E-2</v>
      </c>
      <c r="AC360" s="6">
        <f>Cleaned_MLB_Stats_Dataset__1[[#This Row],[On Base Percentage]]-_xlfn.XLOOKUP(Cleaned_MLB_Stats_Dataset__1[[#This Row],[Year]],'League Averages'!$A$3:$A$23,'League Averages'!$C$3:$C$23)</f>
        <v>2.1997226074895959E-2</v>
      </c>
      <c r="AD360" s="6">
        <f>Cleaned_MLB_Stats_Dataset__1[[#This Row],[Slugging %]]-_xlfn.XLOOKUP(Cleaned_MLB_Stats_Dataset__1[[#This Row],[Year]],'League Averages'!$A$3:$A$23,'League Averages'!$D$3:$D$23)</f>
        <v>5.2472140762463371E-2</v>
      </c>
      <c r="AE360" s="6">
        <f>Cleaned_MLB_Stats_Dataset__1[[#This Row],[OPS (On Base + Slugging)]]-_xlfn.XLOOKUP(Cleaned_MLB_Stats_Dataset__1[[#This Row],[Year]],'League Averages'!$A$3:$A$23,'League Averages'!$E$3:$E$23)</f>
        <v>7.4469366837359385E-2</v>
      </c>
      <c r="AF360" s="6">
        <f>Cleaned_MLB_Stats_Dataset__1[[#This Row],[ISO (Isolated Power]]-_xlfn.XLOOKUP(Cleaned_MLB_Stats_Dataset__1[[#This Row],[Year]],'League Averages'!$A$3:$A$23,'League Averages'!$F$3:$F$23)</f>
        <v>-1.0372434017595272E-2</v>
      </c>
    </row>
    <row r="361" spans="1:32" x14ac:dyDescent="0.2">
      <c r="A361" t="s">
        <v>309</v>
      </c>
      <c r="B361">
        <v>1995</v>
      </c>
      <c r="C361" t="s">
        <v>145</v>
      </c>
      <c r="D361" t="s">
        <v>6</v>
      </c>
      <c r="E361" t="s">
        <v>66</v>
      </c>
      <c r="F361" t="str">
        <f>_xlfn.XLOOKUP(Cleaned_MLB_Stats_Dataset__1[[#This Row],[Position'#]],$B$373:$B$382,$A$373:$A$382)</f>
        <v>2B</v>
      </c>
      <c r="G361">
        <v>4</v>
      </c>
      <c r="H361">
        <v>557</v>
      </c>
      <c r="I361">
        <v>175</v>
      </c>
      <c r="J361">
        <v>28</v>
      </c>
      <c r="K361">
        <v>2</v>
      </c>
      <c r="L361">
        <v>15</v>
      </c>
      <c r="M361">
        <v>87</v>
      </c>
      <c r="N361">
        <v>90</v>
      </c>
      <c r="O361">
        <v>31</v>
      </c>
      <c r="P361">
        <v>35</v>
      </c>
      <c r="Q361">
        <v>6</v>
      </c>
      <c r="R361">
        <v>3</v>
      </c>
      <c r="S361">
        <v>5</v>
      </c>
      <c r="T361">
        <v>0</v>
      </c>
      <c r="U361" s="6">
        <f>Cleaned_MLB_Stats_Dataset__1[[#This Row],[Hits]]/Cleaned_MLB_Stats_Dataset__1[[#This Row],[At Bats]]</f>
        <v>0.31418312387791741</v>
      </c>
      <c r="V361" s="6">
        <f>Cleaned_MLB_Stats_Dataset__1[[#This Row],[Strikeouts]]/(Cleaned_MLB_Stats_Dataset__1[[#This Row],[At Bats]]+Cleaned_MLB_Stats_Dataset__1[[#This Row],[Walks]])</f>
        <v>5.2364864864864864E-2</v>
      </c>
      <c r="W361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6.386554621848739E-2</v>
      </c>
      <c r="X361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0.35499999999999998</v>
      </c>
      <c r="Y361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0.4524236983842011</v>
      </c>
      <c r="Z361" s="6">
        <f>Cleaned_MLB_Stats_Dataset__1[[#This Row],[On Base Percentage]]+Cleaned_MLB_Stats_Dataset__1[[#This Row],[Slugging %]]</f>
        <v>0.80742369838420114</v>
      </c>
      <c r="AA361" s="6">
        <f>Cleaned_MLB_Stats_Dataset__1[[#This Row],[Slugging %]]-Cleaned_MLB_Stats_Dataset__1[[#This Row],[Batting Average]]</f>
        <v>0.13824057450628369</v>
      </c>
      <c r="AB361" s="6">
        <f>Cleaned_MLB_Stats_Dataset__1[[#This Row],[Batting Average]]-_xlfn.XLOOKUP(Cleaned_MLB_Stats_Dataset__1[[#This Row],[Year]],'League Averages'!$A$3:$A$23,'League Averages'!$B$3:$B$23)</f>
        <v>4.7183123877917399E-2</v>
      </c>
      <c r="AC361" s="6">
        <f>Cleaned_MLB_Stats_Dataset__1[[#This Row],[On Base Percentage]]-_xlfn.XLOOKUP(Cleaned_MLB_Stats_Dataset__1[[#This Row],[Year]],'League Averages'!$A$3:$A$23,'League Averages'!$C$3:$C$23)</f>
        <v>1.699999999999996E-2</v>
      </c>
      <c r="AD361" s="6">
        <f>Cleaned_MLB_Stats_Dataset__1[[#This Row],[Slugging %]]-_xlfn.XLOOKUP(Cleaned_MLB_Stats_Dataset__1[[#This Row],[Year]],'League Averages'!$A$3:$A$23,'League Averages'!$D$3:$D$23)</f>
        <v>3.5423698384201119E-2</v>
      </c>
      <c r="AE361" s="6">
        <f>Cleaned_MLB_Stats_Dataset__1[[#This Row],[OPS (On Base + Slugging)]]-_xlfn.XLOOKUP(Cleaned_MLB_Stats_Dataset__1[[#This Row],[Year]],'League Averages'!$A$3:$A$23,'League Averages'!$E$3:$E$23)</f>
        <v>5.2423698384201134E-2</v>
      </c>
      <c r="AF361" s="6">
        <f>Cleaned_MLB_Stats_Dataset__1[[#This Row],[ISO (Isolated Power]]-_xlfn.XLOOKUP(Cleaned_MLB_Stats_Dataset__1[[#This Row],[Year]],'League Averages'!$A$3:$A$23,'League Averages'!$F$3:$F$23)</f>
        <v>-1.1759425493716308E-2</v>
      </c>
    </row>
    <row r="362" spans="1:32" x14ac:dyDescent="0.2">
      <c r="A362" t="s">
        <v>309</v>
      </c>
      <c r="B362">
        <v>1993</v>
      </c>
      <c r="C362" t="s">
        <v>131</v>
      </c>
      <c r="D362" t="s">
        <v>3</v>
      </c>
      <c r="E362" t="s">
        <v>27</v>
      </c>
      <c r="F362" t="str">
        <f>_xlfn.XLOOKUP(Cleaned_MLB_Stats_Dataset__1[[#This Row],[Position'#]],$B$373:$B$382,$A$373:$A$382)</f>
        <v>DH</v>
      </c>
      <c r="G362">
        <v>10</v>
      </c>
      <c r="H362">
        <v>594</v>
      </c>
      <c r="I362">
        <v>193</v>
      </c>
      <c r="J362">
        <v>39</v>
      </c>
      <c r="K362">
        <v>4</v>
      </c>
      <c r="L362">
        <v>14</v>
      </c>
      <c r="M362">
        <v>86</v>
      </c>
      <c r="N362">
        <v>98</v>
      </c>
      <c r="O362">
        <v>32</v>
      </c>
      <c r="P362">
        <v>71</v>
      </c>
      <c r="Q362">
        <v>14</v>
      </c>
      <c r="R362">
        <v>1</v>
      </c>
      <c r="S362">
        <v>9</v>
      </c>
      <c r="T362">
        <v>1</v>
      </c>
      <c r="U362" s="6">
        <f>Cleaned_MLB_Stats_Dataset__1[[#This Row],[Hits]]/Cleaned_MLB_Stats_Dataset__1[[#This Row],[At Bats]]</f>
        <v>0.32491582491582494</v>
      </c>
      <c r="V362" s="6">
        <f>Cleaned_MLB_Stats_Dataset__1[[#This Row],[Strikeouts]]/(Cleaned_MLB_Stats_Dataset__1[[#This Row],[At Bats]]+Cleaned_MLB_Stats_Dataset__1[[#This Row],[Walks]])</f>
        <v>4.8120300751879702E-2</v>
      </c>
      <c r="W362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0.10810810810810811</v>
      </c>
      <c r="X362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0.3925925925925926</v>
      </c>
      <c r="Y362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0.47474747474747475</v>
      </c>
      <c r="Z362" s="6">
        <f>Cleaned_MLB_Stats_Dataset__1[[#This Row],[On Base Percentage]]+Cleaned_MLB_Stats_Dataset__1[[#This Row],[Slugging %]]</f>
        <v>0.8673400673400673</v>
      </c>
      <c r="AA362" s="6">
        <f>Cleaned_MLB_Stats_Dataset__1[[#This Row],[Slugging %]]-Cleaned_MLB_Stats_Dataset__1[[#This Row],[Batting Average]]</f>
        <v>0.14983164983164982</v>
      </c>
      <c r="AB362" s="6">
        <f>Cleaned_MLB_Stats_Dataset__1[[#This Row],[Batting Average]]-_xlfn.XLOOKUP(Cleaned_MLB_Stats_Dataset__1[[#This Row],[Year]],'League Averages'!$A$3:$A$23,'League Averages'!$B$3:$B$23)</f>
        <v>5.9915824915824922E-2</v>
      </c>
      <c r="AC362" s="6">
        <f>Cleaned_MLB_Stats_Dataset__1[[#This Row],[On Base Percentage]]-_xlfn.XLOOKUP(Cleaned_MLB_Stats_Dataset__1[[#This Row],[Year]],'League Averages'!$A$3:$A$23,'League Averages'!$C$3:$C$23)</f>
        <v>6.0592592592592587E-2</v>
      </c>
      <c r="AD362" s="6">
        <f>Cleaned_MLB_Stats_Dataset__1[[#This Row],[Slugging %]]-_xlfn.XLOOKUP(Cleaned_MLB_Stats_Dataset__1[[#This Row],[Year]],'League Averages'!$A$3:$A$23,'League Averages'!$D$3:$D$23)</f>
        <v>7.1747474747474727E-2</v>
      </c>
      <c r="AE362" s="6">
        <f>Cleaned_MLB_Stats_Dataset__1[[#This Row],[OPS (On Base + Slugging)]]-_xlfn.XLOOKUP(Cleaned_MLB_Stats_Dataset__1[[#This Row],[Year]],'League Averages'!$A$3:$A$23,'League Averages'!$E$3:$E$23)</f>
        <v>0.13134006734006731</v>
      </c>
      <c r="AF362" s="6">
        <f>Cleaned_MLB_Stats_Dataset__1[[#This Row],[ISO (Isolated Power]]-_xlfn.XLOOKUP(Cleaned_MLB_Stats_Dataset__1[[#This Row],[Year]],'League Averages'!$A$3:$A$23,'League Averages'!$F$3:$F$23)</f>
        <v>1.1831649831649804E-2</v>
      </c>
    </row>
    <row r="363" spans="1:32" x14ac:dyDescent="0.2">
      <c r="A363" t="s">
        <v>309</v>
      </c>
      <c r="B363">
        <v>1997</v>
      </c>
      <c r="C363" t="s">
        <v>98</v>
      </c>
      <c r="D363" t="s">
        <v>3</v>
      </c>
      <c r="E363" t="s">
        <v>88</v>
      </c>
      <c r="F363" t="str">
        <f>_xlfn.XLOOKUP(Cleaned_MLB_Stats_Dataset__1[[#This Row],[Position'#]],$B$373:$B$382,$A$373:$A$382)</f>
        <v>DH</v>
      </c>
      <c r="G363">
        <v>10</v>
      </c>
      <c r="H363">
        <v>592</v>
      </c>
      <c r="I363">
        <v>220</v>
      </c>
      <c r="J363">
        <v>49</v>
      </c>
      <c r="K363">
        <v>2</v>
      </c>
      <c r="L363">
        <v>17</v>
      </c>
      <c r="M363">
        <v>97</v>
      </c>
      <c r="N363">
        <v>119</v>
      </c>
      <c r="O363">
        <v>28</v>
      </c>
      <c r="P363">
        <v>43</v>
      </c>
      <c r="Q363">
        <v>12</v>
      </c>
      <c r="R363">
        <v>3</v>
      </c>
      <c r="S363">
        <v>12</v>
      </c>
      <c r="T363">
        <v>1</v>
      </c>
      <c r="U363" s="6">
        <f>Cleaned_MLB_Stats_Dataset__1[[#This Row],[Hits]]/Cleaned_MLB_Stats_Dataset__1[[#This Row],[At Bats]]</f>
        <v>0.3716216216216216</v>
      </c>
      <c r="V363" s="6">
        <f>Cleaned_MLB_Stats_Dataset__1[[#This Row],[Strikeouts]]/(Cleaned_MLB_Stats_Dataset__1[[#This Row],[At Bats]]+Cleaned_MLB_Stats_Dataset__1[[#This Row],[Walks]])</f>
        <v>4.4094488188976377E-2</v>
      </c>
      <c r="W363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7.2100313479623826E-2</v>
      </c>
      <c r="X363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0.40923076923076923</v>
      </c>
      <c r="Y363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0.54729729729729726</v>
      </c>
      <c r="Z363" s="6">
        <f>Cleaned_MLB_Stats_Dataset__1[[#This Row],[On Base Percentage]]+Cleaned_MLB_Stats_Dataset__1[[#This Row],[Slugging %]]</f>
        <v>0.95652806652806643</v>
      </c>
      <c r="AA363" s="6">
        <f>Cleaned_MLB_Stats_Dataset__1[[#This Row],[Slugging %]]-Cleaned_MLB_Stats_Dataset__1[[#This Row],[Batting Average]]</f>
        <v>0.17567567567567566</v>
      </c>
      <c r="AB363" s="6">
        <f>Cleaned_MLB_Stats_Dataset__1[[#This Row],[Batting Average]]-_xlfn.XLOOKUP(Cleaned_MLB_Stats_Dataset__1[[#This Row],[Year]],'League Averages'!$A$3:$A$23,'League Averages'!$B$3:$B$23)</f>
        <v>0.10462162162162159</v>
      </c>
      <c r="AC363" s="6">
        <f>Cleaned_MLB_Stats_Dataset__1[[#This Row],[On Base Percentage]]-_xlfn.XLOOKUP(Cleaned_MLB_Stats_Dataset__1[[#This Row],[Year]],'League Averages'!$A$3:$A$23,'League Averages'!$C$3:$C$23)</f>
        <v>7.223076923076921E-2</v>
      </c>
      <c r="AD363" s="6">
        <f>Cleaned_MLB_Stats_Dataset__1[[#This Row],[Slugging %]]-_xlfn.XLOOKUP(Cleaned_MLB_Stats_Dataset__1[[#This Row],[Year]],'League Averages'!$A$3:$A$23,'League Averages'!$D$3:$D$23)</f>
        <v>0.12829729729729727</v>
      </c>
      <c r="AE363" s="6">
        <f>Cleaned_MLB_Stats_Dataset__1[[#This Row],[OPS (On Base + Slugging)]]-_xlfn.XLOOKUP(Cleaned_MLB_Stats_Dataset__1[[#This Row],[Year]],'League Averages'!$A$3:$A$23,'League Averages'!$E$3:$E$23)</f>
        <v>0.20052806652806643</v>
      </c>
      <c r="AF363" s="6">
        <f>Cleaned_MLB_Stats_Dataset__1[[#This Row],[ISO (Isolated Power]]-_xlfn.XLOOKUP(Cleaned_MLB_Stats_Dataset__1[[#This Row],[Year]],'League Averages'!$A$3:$A$23,'League Averages'!$F$3:$F$23)</f>
        <v>2.3675675675675661E-2</v>
      </c>
    </row>
    <row r="364" spans="1:32" x14ac:dyDescent="0.2">
      <c r="A364" t="s">
        <v>309</v>
      </c>
      <c r="B364">
        <v>1994</v>
      </c>
      <c r="C364" t="s">
        <v>98</v>
      </c>
      <c r="D364" t="s">
        <v>3</v>
      </c>
      <c r="E364" t="s">
        <v>88</v>
      </c>
      <c r="F364" t="str">
        <f>_xlfn.XLOOKUP(Cleaned_MLB_Stats_Dataset__1[[#This Row],[Position'#]],$B$373:$B$382,$A$373:$A$382)</f>
        <v>CF</v>
      </c>
      <c r="G364">
        <v>8</v>
      </c>
      <c r="H364">
        <v>419</v>
      </c>
      <c r="I364">
        <v>165</v>
      </c>
      <c r="J364">
        <v>35</v>
      </c>
      <c r="K364">
        <v>1</v>
      </c>
      <c r="L364">
        <v>12</v>
      </c>
      <c r="M364">
        <v>79</v>
      </c>
      <c r="N364">
        <v>64</v>
      </c>
      <c r="O364">
        <v>19</v>
      </c>
      <c r="P364">
        <v>48</v>
      </c>
      <c r="Q364">
        <v>16</v>
      </c>
      <c r="R364">
        <v>2</v>
      </c>
      <c r="S364">
        <v>5</v>
      </c>
      <c r="T364">
        <v>1</v>
      </c>
      <c r="U364" s="6">
        <f>Cleaned_MLB_Stats_Dataset__1[[#This Row],[Hits]]/Cleaned_MLB_Stats_Dataset__1[[#This Row],[At Bats]]</f>
        <v>0.3937947494033413</v>
      </c>
      <c r="V364" s="6">
        <f>Cleaned_MLB_Stats_Dataset__1[[#This Row],[Strikeouts]]/(Cleaned_MLB_Stats_Dataset__1[[#This Row],[At Bats]]+Cleaned_MLB_Stats_Dataset__1[[#This Row],[Walks]])</f>
        <v>4.068522483940043E-2</v>
      </c>
      <c r="W364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0.10660980810234541</v>
      </c>
      <c r="X364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0.45358649789029537</v>
      </c>
      <c r="Y364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0.56801909307875897</v>
      </c>
      <c r="Z364" s="6">
        <f>Cleaned_MLB_Stats_Dataset__1[[#This Row],[On Base Percentage]]+Cleaned_MLB_Stats_Dataset__1[[#This Row],[Slugging %]]</f>
        <v>1.0216055909690542</v>
      </c>
      <c r="AA364" s="6">
        <f>Cleaned_MLB_Stats_Dataset__1[[#This Row],[Slugging %]]-Cleaned_MLB_Stats_Dataset__1[[#This Row],[Batting Average]]</f>
        <v>0.17422434367541767</v>
      </c>
      <c r="AB364" s="6">
        <f>Cleaned_MLB_Stats_Dataset__1[[#This Row],[Batting Average]]-_xlfn.XLOOKUP(Cleaned_MLB_Stats_Dataset__1[[#This Row],[Year]],'League Averages'!$A$3:$A$23,'League Averages'!$B$3:$B$23)</f>
        <v>0.12379474940334129</v>
      </c>
      <c r="AC364" s="6">
        <f>Cleaned_MLB_Stats_Dataset__1[[#This Row],[On Base Percentage]]-_xlfn.XLOOKUP(Cleaned_MLB_Stats_Dataset__1[[#This Row],[Year]],'League Averages'!$A$3:$A$23,'League Averages'!$C$3:$C$23)</f>
        <v>0.11458649789029535</v>
      </c>
      <c r="AD364" s="6">
        <f>Cleaned_MLB_Stats_Dataset__1[[#This Row],[Slugging %]]-_xlfn.XLOOKUP(Cleaned_MLB_Stats_Dataset__1[[#This Row],[Year]],'League Averages'!$A$3:$A$23,'League Averages'!$D$3:$D$23)</f>
        <v>0.14401909307875899</v>
      </c>
      <c r="AE364" s="6">
        <f>Cleaned_MLB_Stats_Dataset__1[[#This Row],[OPS (On Base + Slugging)]]-_xlfn.XLOOKUP(Cleaned_MLB_Stats_Dataset__1[[#This Row],[Year]],'League Averages'!$A$3:$A$23,'League Averages'!$E$3:$E$23)</f>
        <v>0.25860559096905422</v>
      </c>
      <c r="AF364" s="6">
        <f>Cleaned_MLB_Stats_Dataset__1[[#This Row],[ISO (Isolated Power]]-_xlfn.XLOOKUP(Cleaned_MLB_Stats_Dataset__1[[#This Row],[Year]],'League Averages'!$A$3:$A$23,'League Averages'!$F$3:$F$23)</f>
        <v>2.0224343675417672E-2</v>
      </c>
    </row>
    <row r="365" spans="1:32" x14ac:dyDescent="0.2">
      <c r="A365" t="s">
        <v>309</v>
      </c>
      <c r="B365">
        <v>1998</v>
      </c>
      <c r="C365" t="s">
        <v>98</v>
      </c>
      <c r="D365" t="s">
        <v>3</v>
      </c>
      <c r="E365" t="s">
        <v>88</v>
      </c>
      <c r="F365" t="str">
        <f>_xlfn.XLOOKUP(Cleaned_MLB_Stats_Dataset__1[[#This Row],[Position'#]],$B$373:$B$382,$A$373:$A$382)</f>
        <v>RF</v>
      </c>
      <c r="G365">
        <v>9</v>
      </c>
      <c r="H365">
        <v>461</v>
      </c>
      <c r="I365">
        <v>148</v>
      </c>
      <c r="J365">
        <v>35</v>
      </c>
      <c r="K365">
        <v>0</v>
      </c>
      <c r="L365">
        <v>16</v>
      </c>
      <c r="M365">
        <v>65</v>
      </c>
      <c r="N365">
        <v>69</v>
      </c>
      <c r="O365">
        <v>18</v>
      </c>
      <c r="P365">
        <v>35</v>
      </c>
      <c r="Q365">
        <v>6</v>
      </c>
      <c r="R365">
        <v>1</v>
      </c>
      <c r="S365">
        <v>8</v>
      </c>
      <c r="T365">
        <v>0</v>
      </c>
      <c r="U365" s="6">
        <f>Cleaned_MLB_Stats_Dataset__1[[#This Row],[Hits]]/Cleaned_MLB_Stats_Dataset__1[[#This Row],[At Bats]]</f>
        <v>0.32104121475054231</v>
      </c>
      <c r="V365" s="6">
        <f>Cleaned_MLB_Stats_Dataset__1[[#This Row],[Strikeouts]]/(Cleaned_MLB_Stats_Dataset__1[[#This Row],[At Bats]]+Cleaned_MLB_Stats_Dataset__1[[#This Row],[Walks]])</f>
        <v>3.6290322580645164E-2</v>
      </c>
      <c r="W365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7.2434607645875254E-2</v>
      </c>
      <c r="X365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0.36435643564356435</v>
      </c>
      <c r="Y365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0.50108459869848154</v>
      </c>
      <c r="Z365" s="6">
        <f>Cleaned_MLB_Stats_Dataset__1[[#This Row],[On Base Percentage]]+Cleaned_MLB_Stats_Dataset__1[[#This Row],[Slugging %]]</f>
        <v>0.86544103434204589</v>
      </c>
      <c r="AA365" s="6">
        <f>Cleaned_MLB_Stats_Dataset__1[[#This Row],[Slugging %]]-Cleaned_MLB_Stats_Dataset__1[[#This Row],[Batting Average]]</f>
        <v>0.18004338394793923</v>
      </c>
      <c r="AB365" s="6">
        <f>Cleaned_MLB_Stats_Dataset__1[[#This Row],[Batting Average]]-_xlfn.XLOOKUP(Cleaned_MLB_Stats_Dataset__1[[#This Row],[Year]],'League Averages'!$A$3:$A$23,'League Averages'!$B$3:$B$23)</f>
        <v>5.50412147505423E-2</v>
      </c>
      <c r="AC365" s="6">
        <f>Cleaned_MLB_Stats_Dataset__1[[#This Row],[On Base Percentage]]-_xlfn.XLOOKUP(Cleaned_MLB_Stats_Dataset__1[[#This Row],[Year]],'League Averages'!$A$3:$A$23,'League Averages'!$C$3:$C$23)</f>
        <v>2.9356435643564327E-2</v>
      </c>
      <c r="AD365" s="6">
        <f>Cleaned_MLB_Stats_Dataset__1[[#This Row],[Slugging %]]-_xlfn.XLOOKUP(Cleaned_MLB_Stats_Dataset__1[[#This Row],[Year]],'League Averages'!$A$3:$A$23,'League Averages'!$D$3:$D$23)</f>
        <v>8.1084598698481558E-2</v>
      </c>
      <c r="AE365" s="6">
        <f>Cleaned_MLB_Stats_Dataset__1[[#This Row],[OPS (On Base + Slugging)]]-_xlfn.XLOOKUP(Cleaned_MLB_Stats_Dataset__1[[#This Row],[Year]],'League Averages'!$A$3:$A$23,'League Averages'!$E$3:$E$23)</f>
        <v>0.11044103434204589</v>
      </c>
      <c r="AF365" s="6">
        <f>Cleaned_MLB_Stats_Dataset__1[[#This Row],[ISO (Isolated Power]]-_xlfn.XLOOKUP(Cleaned_MLB_Stats_Dataset__1[[#This Row],[Year]],'League Averages'!$A$3:$A$23,'League Averages'!$F$3:$F$23)</f>
        <v>2.604338394793923E-2</v>
      </c>
    </row>
    <row r="366" spans="1:32" x14ac:dyDescent="0.2">
      <c r="A366" t="s">
        <v>309</v>
      </c>
      <c r="B366">
        <v>1995</v>
      </c>
      <c r="C366" t="s">
        <v>98</v>
      </c>
      <c r="D366" t="s">
        <v>3</v>
      </c>
      <c r="E366" t="s">
        <v>88</v>
      </c>
      <c r="F366" t="str">
        <f>_xlfn.XLOOKUP(Cleaned_MLB_Stats_Dataset__1[[#This Row],[Position'#]],$B$373:$B$382,$A$373:$A$382)</f>
        <v>RF</v>
      </c>
      <c r="G366">
        <v>9</v>
      </c>
      <c r="H366">
        <v>535</v>
      </c>
      <c r="I366">
        <v>197</v>
      </c>
      <c r="J366">
        <v>33</v>
      </c>
      <c r="K366">
        <v>1</v>
      </c>
      <c r="L366">
        <v>9</v>
      </c>
      <c r="M366">
        <v>82</v>
      </c>
      <c r="N366">
        <v>90</v>
      </c>
      <c r="O366">
        <v>15</v>
      </c>
      <c r="P366">
        <v>35</v>
      </c>
      <c r="Q366">
        <v>10</v>
      </c>
      <c r="R366">
        <v>1</v>
      </c>
      <c r="S366">
        <v>6</v>
      </c>
      <c r="T366">
        <v>0</v>
      </c>
      <c r="U366" s="6">
        <f>Cleaned_MLB_Stats_Dataset__1[[#This Row],[Hits]]/Cleaned_MLB_Stats_Dataset__1[[#This Row],[At Bats]]</f>
        <v>0.36822429906542054</v>
      </c>
      <c r="V366" s="6">
        <f>Cleaned_MLB_Stats_Dataset__1[[#This Row],[Strikeouts]]/(Cleaned_MLB_Stats_Dataset__1[[#This Row],[At Bats]]+Cleaned_MLB_Stats_Dataset__1[[#This Row],[Walks]])</f>
        <v>2.6315789473684209E-2</v>
      </c>
      <c r="W366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6.3047285464098074E-2</v>
      </c>
      <c r="X366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0.40381282495667242</v>
      </c>
      <c r="Y366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0.48411214953271026</v>
      </c>
      <c r="Z366" s="6">
        <f>Cleaned_MLB_Stats_Dataset__1[[#This Row],[On Base Percentage]]+Cleaned_MLB_Stats_Dataset__1[[#This Row],[Slugging %]]</f>
        <v>0.88792497448938268</v>
      </c>
      <c r="AA366" s="6">
        <f>Cleaned_MLB_Stats_Dataset__1[[#This Row],[Slugging %]]-Cleaned_MLB_Stats_Dataset__1[[#This Row],[Batting Average]]</f>
        <v>0.11588785046728972</v>
      </c>
      <c r="AB366" s="6">
        <f>Cleaned_MLB_Stats_Dataset__1[[#This Row],[Batting Average]]-_xlfn.XLOOKUP(Cleaned_MLB_Stats_Dataset__1[[#This Row],[Year]],'League Averages'!$A$3:$A$23,'League Averages'!$B$3:$B$23)</f>
        <v>0.10122429906542052</v>
      </c>
      <c r="AC366" s="6">
        <f>Cleaned_MLB_Stats_Dataset__1[[#This Row],[On Base Percentage]]-_xlfn.XLOOKUP(Cleaned_MLB_Stats_Dataset__1[[#This Row],[Year]],'League Averages'!$A$3:$A$23,'League Averages'!$C$3:$C$23)</f>
        <v>6.58128249566724E-2</v>
      </c>
      <c r="AD366" s="6">
        <f>Cleaned_MLB_Stats_Dataset__1[[#This Row],[Slugging %]]-_xlfn.XLOOKUP(Cleaned_MLB_Stats_Dataset__1[[#This Row],[Year]],'League Averages'!$A$3:$A$23,'League Averages'!$D$3:$D$23)</f>
        <v>6.7112149532710275E-2</v>
      </c>
      <c r="AE366" s="6">
        <f>Cleaned_MLB_Stats_Dataset__1[[#This Row],[OPS (On Base + Slugging)]]-_xlfn.XLOOKUP(Cleaned_MLB_Stats_Dataset__1[[#This Row],[Year]],'League Averages'!$A$3:$A$23,'League Averages'!$E$3:$E$23)</f>
        <v>0.13292497448938267</v>
      </c>
      <c r="AF366" s="6">
        <f>Cleaned_MLB_Stats_Dataset__1[[#This Row],[ISO (Isolated Power]]-_xlfn.XLOOKUP(Cleaned_MLB_Stats_Dataset__1[[#This Row],[Year]],'League Averages'!$A$3:$A$23,'League Averages'!$F$3:$F$23)</f>
        <v>-3.4112149532710273E-2</v>
      </c>
    </row>
    <row r="367" spans="1:32" x14ac:dyDescent="0.2">
      <c r="A367" t="s">
        <v>309</v>
      </c>
      <c r="B367">
        <v>1998</v>
      </c>
      <c r="C367" t="s">
        <v>163</v>
      </c>
      <c r="D367" t="s">
        <v>3</v>
      </c>
      <c r="E367" t="s">
        <v>165</v>
      </c>
      <c r="F367" t="str">
        <f>_xlfn.XLOOKUP(Cleaned_MLB_Stats_Dataset__1[[#This Row],[Position'#]],$B$373:$B$382,$A$373:$A$382)</f>
        <v>C</v>
      </c>
      <c r="G367">
        <v>2</v>
      </c>
      <c r="H367">
        <v>18</v>
      </c>
      <c r="I367">
        <v>5</v>
      </c>
      <c r="J367">
        <v>0</v>
      </c>
      <c r="K367">
        <v>1</v>
      </c>
      <c r="L367">
        <v>0</v>
      </c>
      <c r="M367">
        <v>1</v>
      </c>
      <c r="N367">
        <v>5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 s="6">
        <f>Cleaned_MLB_Stats_Dataset__1[[#This Row],[Hits]]/Cleaned_MLB_Stats_Dataset__1[[#This Row],[At Bats]]</f>
        <v>0.27777777777777779</v>
      </c>
      <c r="V367" s="6">
        <f>Cleaned_MLB_Stats_Dataset__1[[#This Row],[Strikeouts]]/(Cleaned_MLB_Stats_Dataset__1[[#This Row],[At Bats]]+Cleaned_MLB_Stats_Dataset__1[[#This Row],[Walks]])</f>
        <v>0</v>
      </c>
      <c r="W367" s="6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</v>
      </c>
      <c r="X367" s="6">
        <f>(Cleaned_MLB_Stats_Dataset__1[[#This Row],[Hits]]+Cleaned_MLB_Stats_Dataset__1[[#This Row],[Walks]]+Cleaned_MLB_Stats_Dataset__1[[#This Row],[Hit By Pitch]])/(Cleaned_MLB_Stats_Dataset__1[[#This Row],[At Bats]]+Cleaned_MLB_Stats_Dataset__1[[#This Row],[Walks]]+Cleaned_MLB_Stats_Dataset__1[[#This Row],[Hit By Pitch]]+Cleaned_MLB_Stats_Dataset__1[[#This Row],[Sac Fly]])</f>
        <v>0.26315789473684209</v>
      </c>
      <c r="Y367" s="6">
        <f>((Cleaned_MLB_Stats_Dataset__1[[#This Row],[Hits]]-(Cleaned_MLB_Stats_Dataset__1[[#This Row],[2B]]+Cleaned_MLB_Stats_Dataset__1[[#This Row],[3B]]+Cleaned_MLB_Stats_Dataset__1[[#This Row],[HR]]))+(Cleaned_MLB_Stats_Dataset__1[[#This Row],[2B]]*2)+(Cleaned_MLB_Stats_Dataset__1[[#This Row],[3B]]*3)+(Cleaned_MLB_Stats_Dataset__1[[#This Row],[HR]]*4))/Cleaned_MLB_Stats_Dataset__1[[#This Row],[At Bats]]</f>
        <v>0.3888888888888889</v>
      </c>
      <c r="Z367" s="6">
        <f>Cleaned_MLB_Stats_Dataset__1[[#This Row],[On Base Percentage]]+Cleaned_MLB_Stats_Dataset__1[[#This Row],[Slugging %]]</f>
        <v>0.65204678362573099</v>
      </c>
      <c r="AA367" s="6">
        <f>Cleaned_MLB_Stats_Dataset__1[[#This Row],[Slugging %]]-Cleaned_MLB_Stats_Dataset__1[[#This Row],[Batting Average]]</f>
        <v>0.1111111111111111</v>
      </c>
      <c r="AB367" s="6">
        <f>Cleaned_MLB_Stats_Dataset__1[[#This Row],[Batting Average]]-_xlfn.XLOOKUP(Cleaned_MLB_Stats_Dataset__1[[#This Row],[Year]],'League Averages'!$A$3:$A$23,'League Averages'!$B$3:$B$23)</f>
        <v>1.1777777777777776E-2</v>
      </c>
      <c r="AC367" s="6">
        <f>Cleaned_MLB_Stats_Dataset__1[[#This Row],[On Base Percentage]]-_xlfn.XLOOKUP(Cleaned_MLB_Stats_Dataset__1[[#This Row],[Year]],'League Averages'!$A$3:$A$23,'League Averages'!$C$3:$C$23)</f>
        <v>-7.1842105263157929E-2</v>
      </c>
      <c r="AD367" s="6">
        <f>Cleaned_MLB_Stats_Dataset__1[[#This Row],[Slugging %]]-_xlfn.XLOOKUP(Cleaned_MLB_Stats_Dataset__1[[#This Row],[Year]],'League Averages'!$A$3:$A$23,'League Averages'!$D$3:$D$23)</f>
        <v>-3.1111111111111089E-2</v>
      </c>
      <c r="AE367" s="6">
        <f>Cleaned_MLB_Stats_Dataset__1[[#This Row],[OPS (On Base + Slugging)]]-_xlfn.XLOOKUP(Cleaned_MLB_Stats_Dataset__1[[#This Row],[Year]],'League Averages'!$A$3:$A$23,'League Averages'!$E$3:$E$23)</f>
        <v>-0.10295321637426902</v>
      </c>
      <c r="AF367" s="6">
        <f>Cleaned_MLB_Stats_Dataset__1[[#This Row],[ISO (Isolated Power]]-_xlfn.XLOOKUP(Cleaned_MLB_Stats_Dataset__1[[#This Row],[Year]],'League Averages'!$A$3:$A$23,'League Averages'!$F$3:$F$23)</f>
        <v>-4.2888888888888893E-2</v>
      </c>
    </row>
    <row r="372" spans="1:2" x14ac:dyDescent="0.2">
      <c r="A372" t="s">
        <v>342</v>
      </c>
    </row>
    <row r="373" spans="1:2" x14ac:dyDescent="0.2">
      <c r="A373" t="s">
        <v>303</v>
      </c>
      <c r="B373">
        <v>1</v>
      </c>
    </row>
    <row r="374" spans="1:2" x14ac:dyDescent="0.2">
      <c r="A374" t="s">
        <v>304</v>
      </c>
      <c r="B374">
        <v>2</v>
      </c>
    </row>
    <row r="375" spans="1:2" x14ac:dyDescent="0.2">
      <c r="A375" t="s">
        <v>306</v>
      </c>
      <c r="B375">
        <v>3</v>
      </c>
    </row>
    <row r="376" spans="1:2" x14ac:dyDescent="0.2">
      <c r="A376" t="s">
        <v>4</v>
      </c>
      <c r="B376">
        <v>4</v>
      </c>
    </row>
    <row r="377" spans="1:2" x14ac:dyDescent="0.2">
      <c r="A377" t="s">
        <v>5</v>
      </c>
      <c r="B377">
        <v>5</v>
      </c>
    </row>
    <row r="378" spans="1:2" x14ac:dyDescent="0.2">
      <c r="A378" t="s">
        <v>305</v>
      </c>
      <c r="B378">
        <v>6</v>
      </c>
    </row>
    <row r="379" spans="1:2" x14ac:dyDescent="0.2">
      <c r="A379" t="s">
        <v>343</v>
      </c>
      <c r="B379">
        <v>7</v>
      </c>
    </row>
    <row r="380" spans="1:2" x14ac:dyDescent="0.2">
      <c r="A380" t="s">
        <v>344</v>
      </c>
      <c r="B380">
        <v>8</v>
      </c>
    </row>
    <row r="381" spans="1:2" x14ac:dyDescent="0.2">
      <c r="A381" t="s">
        <v>345</v>
      </c>
      <c r="B381">
        <v>9</v>
      </c>
    </row>
    <row r="382" spans="1:2" x14ac:dyDescent="0.2">
      <c r="A382" t="s">
        <v>302</v>
      </c>
      <c r="B382">
        <v>10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02BD-763D-134B-9788-6CCBB649934C}">
  <dimension ref="A1:F23"/>
  <sheetViews>
    <sheetView workbookViewId="0">
      <selection activeCell="A2" sqref="A2"/>
    </sheetView>
  </sheetViews>
  <sheetFormatPr baseColWidth="10" defaultRowHeight="16" x14ac:dyDescent="0.2"/>
  <sheetData>
    <row r="1" spans="1:6" ht="29" x14ac:dyDescent="0.35">
      <c r="A1" s="11" t="s">
        <v>361</v>
      </c>
    </row>
    <row r="2" spans="1:6" x14ac:dyDescent="0.2">
      <c r="A2" s="9" t="s">
        <v>311</v>
      </c>
      <c r="B2" s="9" t="s">
        <v>331</v>
      </c>
      <c r="C2" s="9" t="s">
        <v>332</v>
      </c>
      <c r="D2" s="9" t="s">
        <v>333</v>
      </c>
      <c r="E2" s="9" t="s">
        <v>334</v>
      </c>
      <c r="F2" s="9" t="s">
        <v>335</v>
      </c>
    </row>
    <row r="3" spans="1:6" x14ac:dyDescent="0.2">
      <c r="A3">
        <v>2013</v>
      </c>
      <c r="B3">
        <v>0.253</v>
      </c>
      <c r="C3">
        <v>0.318</v>
      </c>
      <c r="D3">
        <v>0.39600000000000002</v>
      </c>
      <c r="E3">
        <v>0.71399999999999997</v>
      </c>
      <c r="F3">
        <v>0.14299999999999999</v>
      </c>
    </row>
    <row r="4" spans="1:6" x14ac:dyDescent="0.2">
      <c r="A4">
        <v>2012</v>
      </c>
      <c r="B4">
        <v>0.255</v>
      </c>
      <c r="C4">
        <v>0.31900000000000001</v>
      </c>
      <c r="D4">
        <v>0.40500000000000003</v>
      </c>
      <c r="E4">
        <v>0.72399999999999998</v>
      </c>
      <c r="F4">
        <v>0.15</v>
      </c>
    </row>
    <row r="5" spans="1:6" x14ac:dyDescent="0.2">
      <c r="A5">
        <v>2011</v>
      </c>
      <c r="B5">
        <v>0.255</v>
      </c>
      <c r="C5">
        <v>0.32100000000000001</v>
      </c>
      <c r="D5">
        <v>0.39900000000000002</v>
      </c>
      <c r="E5">
        <v>0.72</v>
      </c>
      <c r="F5">
        <v>0.14399999999999999</v>
      </c>
    </row>
    <row r="6" spans="1:6" x14ac:dyDescent="0.2">
      <c r="A6">
        <v>2010</v>
      </c>
      <c r="B6">
        <v>0.25700000000000001</v>
      </c>
      <c r="C6">
        <v>0.32500000000000001</v>
      </c>
      <c r="D6">
        <v>0.40300000000000002</v>
      </c>
      <c r="E6">
        <v>0.72799999999999998</v>
      </c>
      <c r="F6">
        <v>0.14599999999999999</v>
      </c>
    </row>
    <row r="7" spans="1:6" x14ac:dyDescent="0.2">
      <c r="A7">
        <v>2009</v>
      </c>
      <c r="B7">
        <v>0.26200000000000001</v>
      </c>
      <c r="C7">
        <v>0.33300000000000002</v>
      </c>
      <c r="D7">
        <v>0.41799999999999998</v>
      </c>
      <c r="E7">
        <v>0.751</v>
      </c>
      <c r="F7">
        <v>0.156</v>
      </c>
    </row>
    <row r="8" spans="1:6" x14ac:dyDescent="0.2">
      <c r="A8">
        <v>2008</v>
      </c>
      <c r="B8">
        <v>0.26400000000000001</v>
      </c>
      <c r="C8">
        <v>0.33300000000000002</v>
      </c>
      <c r="D8">
        <v>0.41599999999999998</v>
      </c>
      <c r="E8">
        <v>0.749</v>
      </c>
      <c r="F8">
        <v>0.152</v>
      </c>
    </row>
    <row r="9" spans="1:6" x14ac:dyDescent="0.2">
      <c r="A9">
        <v>2007</v>
      </c>
      <c r="B9">
        <v>0.26800000000000002</v>
      </c>
      <c r="C9">
        <v>0.33600000000000002</v>
      </c>
      <c r="D9">
        <v>0.42299999999999999</v>
      </c>
      <c r="E9">
        <v>0.75800000000000001</v>
      </c>
      <c r="F9">
        <v>0.155</v>
      </c>
    </row>
    <row r="10" spans="1:6" x14ac:dyDescent="0.2">
      <c r="A10">
        <v>2006</v>
      </c>
      <c r="B10">
        <v>0.26900000000000002</v>
      </c>
      <c r="C10">
        <v>0.33600000000000002</v>
      </c>
      <c r="D10">
        <v>0.432</v>
      </c>
      <c r="E10">
        <v>0.76800000000000002</v>
      </c>
      <c r="F10">
        <v>0.16300000000000001</v>
      </c>
    </row>
    <row r="11" spans="1:6" x14ac:dyDescent="0.2">
      <c r="A11">
        <v>2005</v>
      </c>
      <c r="B11">
        <v>0.26400000000000001</v>
      </c>
      <c r="C11">
        <v>0.33</v>
      </c>
      <c r="D11">
        <v>0.41899999999999998</v>
      </c>
      <c r="E11">
        <v>0.749</v>
      </c>
      <c r="F11">
        <v>0.155</v>
      </c>
    </row>
    <row r="12" spans="1:6" x14ac:dyDescent="0.2">
      <c r="A12">
        <v>2004</v>
      </c>
      <c r="B12">
        <v>0.26600000000000001</v>
      </c>
      <c r="C12">
        <v>0.33500000000000002</v>
      </c>
      <c r="D12">
        <v>0.42799999999999999</v>
      </c>
      <c r="E12">
        <v>0.76300000000000001</v>
      </c>
      <c r="F12">
        <v>0.16200000000000001</v>
      </c>
    </row>
    <row r="13" spans="1:6" x14ac:dyDescent="0.2">
      <c r="A13">
        <v>2003</v>
      </c>
      <c r="B13">
        <v>0.26400000000000001</v>
      </c>
      <c r="C13">
        <v>0.33300000000000002</v>
      </c>
      <c r="D13">
        <v>0.42199999999999999</v>
      </c>
      <c r="E13">
        <v>0.755</v>
      </c>
      <c r="F13">
        <v>0.158</v>
      </c>
    </row>
    <row r="14" spans="1:6" x14ac:dyDescent="0.2">
      <c r="A14">
        <v>2002</v>
      </c>
      <c r="B14">
        <v>0.26100000000000001</v>
      </c>
      <c r="C14">
        <v>0.33100000000000002</v>
      </c>
      <c r="D14">
        <v>0.41699999999999998</v>
      </c>
      <c r="E14">
        <v>0.748</v>
      </c>
      <c r="F14">
        <v>0.156</v>
      </c>
    </row>
    <row r="15" spans="1:6" x14ac:dyDescent="0.2">
      <c r="A15">
        <v>2001</v>
      </c>
      <c r="B15">
        <v>0.26400000000000001</v>
      </c>
      <c r="C15">
        <v>0.33200000000000002</v>
      </c>
      <c r="D15">
        <v>0.42699999999999999</v>
      </c>
      <c r="E15">
        <v>0.75900000000000001</v>
      </c>
      <c r="F15">
        <v>0.16300000000000001</v>
      </c>
    </row>
    <row r="16" spans="1:6" x14ac:dyDescent="0.2">
      <c r="A16">
        <v>2000</v>
      </c>
      <c r="B16">
        <v>0.27</v>
      </c>
      <c r="C16">
        <v>0.34499999999999997</v>
      </c>
      <c r="D16">
        <v>0.437</v>
      </c>
      <c r="E16">
        <v>0.78200000000000003</v>
      </c>
      <c r="F16">
        <v>0.16700000000000001</v>
      </c>
    </row>
    <row r="17" spans="1:6" x14ac:dyDescent="0.2">
      <c r="A17">
        <v>1999</v>
      </c>
      <c r="B17">
        <v>0.27100000000000002</v>
      </c>
      <c r="C17">
        <v>0.34499999999999997</v>
      </c>
      <c r="D17">
        <v>0.434</v>
      </c>
      <c r="E17">
        <v>0.77800000000000002</v>
      </c>
      <c r="F17">
        <v>0.16300000000000001</v>
      </c>
    </row>
    <row r="18" spans="1:6" x14ac:dyDescent="0.2">
      <c r="A18">
        <v>1998</v>
      </c>
      <c r="B18">
        <v>0.26600000000000001</v>
      </c>
      <c r="C18">
        <v>0.33500000000000002</v>
      </c>
      <c r="D18">
        <v>0.42</v>
      </c>
      <c r="E18">
        <v>0.755</v>
      </c>
      <c r="F18">
        <v>0.154</v>
      </c>
    </row>
    <row r="19" spans="1:6" x14ac:dyDescent="0.2">
      <c r="A19">
        <v>1997</v>
      </c>
      <c r="B19">
        <v>0.26700000000000002</v>
      </c>
      <c r="C19">
        <v>0.33700000000000002</v>
      </c>
      <c r="D19">
        <v>0.41899999999999998</v>
      </c>
      <c r="E19">
        <v>0.75600000000000001</v>
      </c>
      <c r="F19">
        <v>0.152</v>
      </c>
    </row>
    <row r="20" spans="1:6" x14ac:dyDescent="0.2">
      <c r="A20">
        <v>1996</v>
      </c>
      <c r="B20">
        <v>0.27</v>
      </c>
      <c r="C20">
        <v>0.34</v>
      </c>
      <c r="D20">
        <v>0.42699999999999999</v>
      </c>
      <c r="E20">
        <v>0.76700000000000002</v>
      </c>
      <c r="F20">
        <v>0.157</v>
      </c>
    </row>
    <row r="21" spans="1:6" x14ac:dyDescent="0.2">
      <c r="A21">
        <v>1995</v>
      </c>
      <c r="B21">
        <v>0.26700000000000002</v>
      </c>
      <c r="C21">
        <v>0.33800000000000002</v>
      </c>
      <c r="D21">
        <v>0.41699999999999998</v>
      </c>
      <c r="E21">
        <v>0.755</v>
      </c>
      <c r="F21">
        <v>0.15</v>
      </c>
    </row>
    <row r="22" spans="1:6" x14ac:dyDescent="0.2">
      <c r="A22">
        <v>1994</v>
      </c>
      <c r="B22">
        <v>0.27</v>
      </c>
      <c r="C22">
        <v>0.33900000000000002</v>
      </c>
      <c r="D22">
        <v>0.42399999999999999</v>
      </c>
      <c r="E22">
        <v>0.76300000000000001</v>
      </c>
      <c r="F22">
        <v>0.154</v>
      </c>
    </row>
    <row r="23" spans="1:6" x14ac:dyDescent="0.2">
      <c r="A23">
        <v>1993</v>
      </c>
      <c r="B23">
        <v>0.26500000000000001</v>
      </c>
      <c r="C23">
        <v>0.33200000000000002</v>
      </c>
      <c r="D23">
        <v>0.40300000000000002</v>
      </c>
      <c r="E23">
        <v>0.73599999999999999</v>
      </c>
      <c r="F23">
        <v>0.13800000000000001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1A0C-A8E6-E545-A24A-88934578C668}">
  <dimension ref="A3:F27"/>
  <sheetViews>
    <sheetView zoomScale="50" zoomScaleNormal="70" workbookViewId="0">
      <selection activeCell="U58" sqref="U58"/>
    </sheetView>
  </sheetViews>
  <sheetFormatPr baseColWidth="10" defaultRowHeight="16" x14ac:dyDescent="0.2"/>
  <cols>
    <col min="1" max="1" width="14.6640625" bestFit="1" customWidth="1"/>
    <col min="2" max="2" width="15.5" bestFit="1" customWidth="1"/>
    <col min="3" max="3" width="28.6640625" bestFit="1" customWidth="1"/>
    <col min="4" max="4" width="21.83203125" bestFit="1" customWidth="1"/>
    <col min="5" max="5" width="21.6640625" bestFit="1" customWidth="1"/>
    <col min="6" max="6" width="22.83203125" bestFit="1" customWidth="1"/>
    <col min="7" max="7" width="19.6640625" bestFit="1" customWidth="1"/>
  </cols>
  <sheetData>
    <row r="3" spans="1:6" x14ac:dyDescent="0.2">
      <c r="A3" s="7" t="s">
        <v>329</v>
      </c>
      <c r="B3" t="s">
        <v>346</v>
      </c>
      <c r="C3" t="s">
        <v>347</v>
      </c>
      <c r="D3" t="s">
        <v>348</v>
      </c>
      <c r="E3" t="s">
        <v>349</v>
      </c>
      <c r="F3" t="s">
        <v>350</v>
      </c>
    </row>
    <row r="4" spans="1:6" x14ac:dyDescent="0.2">
      <c r="A4" s="8" t="s">
        <v>309</v>
      </c>
      <c r="B4" s="6">
        <v>7.5511988846870381E-2</v>
      </c>
      <c r="C4" s="6">
        <v>0.17189061775581141</v>
      </c>
      <c r="D4" s="6">
        <v>0.11808624439156044</v>
      </c>
      <c r="E4" s="6">
        <v>5.3810120490687882E-2</v>
      </c>
      <c r="F4" s="6">
        <v>4.2574255544690034E-2</v>
      </c>
    </row>
    <row r="5" spans="1:6" x14ac:dyDescent="0.2">
      <c r="A5" s="10">
        <v>1993</v>
      </c>
      <c r="B5" s="6">
        <v>4.7352996750451813E-2</v>
      </c>
      <c r="C5" s="6">
        <v>0.13122766302884981</v>
      </c>
      <c r="D5" s="6">
        <v>8.3652965879885965E-2</v>
      </c>
      <c r="E5" s="6">
        <v>4.8574697148963814E-2</v>
      </c>
      <c r="F5" s="6">
        <v>3.6299969129434166E-2</v>
      </c>
    </row>
    <row r="6" spans="1:6" x14ac:dyDescent="0.2">
      <c r="A6" s="10">
        <v>1994</v>
      </c>
      <c r="B6" s="6">
        <v>6.5280916784586931E-2</v>
      </c>
      <c r="C6" s="6">
        <v>0.15095367962608905</v>
      </c>
      <c r="D6" s="6">
        <v>0.10682815731966715</v>
      </c>
      <c r="E6" s="6">
        <v>4.4125522306421909E-2</v>
      </c>
      <c r="F6" s="6">
        <v>4.1547240535080174E-2</v>
      </c>
    </row>
    <row r="7" spans="1:6" x14ac:dyDescent="0.2">
      <c r="A7" s="10">
        <v>1995</v>
      </c>
      <c r="B7" s="6">
        <v>5.4150339537508987E-2</v>
      </c>
      <c r="C7" s="6">
        <v>0.14584805508069965</v>
      </c>
      <c r="D7" s="6">
        <v>9.6363050525742164E-2</v>
      </c>
      <c r="E7" s="6">
        <v>4.9485004554957433E-2</v>
      </c>
      <c r="F7" s="6">
        <v>4.2212710988233128E-2</v>
      </c>
    </row>
    <row r="8" spans="1:6" x14ac:dyDescent="0.2">
      <c r="A8" s="10">
        <v>1996</v>
      </c>
      <c r="B8" s="6">
        <v>5.4824022556288765E-2</v>
      </c>
      <c r="C8" s="6">
        <v>0.1439553232561458</v>
      </c>
      <c r="D8" s="6">
        <v>9.4104234616973204E-2</v>
      </c>
      <c r="E8" s="6">
        <v>4.9851088639172592E-2</v>
      </c>
      <c r="F8" s="6">
        <v>3.9280212060684397E-2</v>
      </c>
    </row>
    <row r="9" spans="1:6" x14ac:dyDescent="0.2">
      <c r="A9" s="10">
        <v>1997</v>
      </c>
      <c r="B9" s="6">
        <v>7.9287501171773134E-2</v>
      </c>
      <c r="C9" s="6">
        <v>0.18926894247494117</v>
      </c>
      <c r="D9" s="6">
        <v>0.12543513759618424</v>
      </c>
      <c r="E9" s="6">
        <v>6.3833804878756936E-2</v>
      </c>
      <c r="F9" s="6">
        <v>4.6147636424411068E-2</v>
      </c>
    </row>
    <row r="10" spans="1:6" x14ac:dyDescent="0.2">
      <c r="A10" s="10">
        <v>1998</v>
      </c>
      <c r="B10" s="6">
        <v>6.9554681853812181E-2</v>
      </c>
      <c r="C10" s="6">
        <v>0.15216306875081587</v>
      </c>
      <c r="D10" s="6">
        <v>0.10763226837289409</v>
      </c>
      <c r="E10" s="6">
        <v>4.4530800377921752E-2</v>
      </c>
      <c r="F10" s="6">
        <v>3.8077586519081857E-2</v>
      </c>
    </row>
    <row r="11" spans="1:6" x14ac:dyDescent="0.2">
      <c r="A11" s="10">
        <v>1999</v>
      </c>
      <c r="B11" s="6">
        <v>0.10482700748758715</v>
      </c>
      <c r="C11" s="6">
        <v>0.20068186285235601</v>
      </c>
      <c r="D11" s="6">
        <v>0.14389748104595715</v>
      </c>
      <c r="E11" s="6">
        <v>5.5784381806398921E-2</v>
      </c>
      <c r="F11" s="6">
        <v>3.9070473558369977E-2</v>
      </c>
    </row>
    <row r="12" spans="1:6" x14ac:dyDescent="0.2">
      <c r="A12" s="10">
        <v>2000</v>
      </c>
      <c r="B12" s="6">
        <v>7.7278689337243023E-2</v>
      </c>
      <c r="C12" s="6">
        <v>0.18308868287455748</v>
      </c>
      <c r="D12" s="6">
        <v>0.12711734504581326</v>
      </c>
      <c r="E12" s="6">
        <v>5.597133782874425E-2</v>
      </c>
      <c r="F12" s="6">
        <v>4.9838655708570233E-2</v>
      </c>
    </row>
    <row r="13" spans="1:6" x14ac:dyDescent="0.2">
      <c r="A13" s="10">
        <v>2001</v>
      </c>
      <c r="B13" s="6">
        <v>0.11250062643869604</v>
      </c>
      <c r="C13" s="6">
        <v>0.23260589347178096</v>
      </c>
      <c r="D13" s="6">
        <v>0.16539903089241623</v>
      </c>
      <c r="E13" s="6">
        <v>6.7206862579364743E-2</v>
      </c>
      <c r="F13" s="6">
        <v>5.2898404453720134E-2</v>
      </c>
    </row>
    <row r="14" spans="1:6" x14ac:dyDescent="0.2">
      <c r="A14" s="10">
        <v>2002</v>
      </c>
      <c r="B14" s="6">
        <v>8.9145779143421325E-2</v>
      </c>
      <c r="C14" s="6">
        <v>0.18808577132374668</v>
      </c>
      <c r="D14" s="6">
        <v>0.13010111464099611</v>
      </c>
      <c r="E14" s="6">
        <v>5.7984656682750567E-2</v>
      </c>
      <c r="F14" s="6">
        <v>4.0955335497574775E-2</v>
      </c>
    </row>
    <row r="15" spans="1:6" x14ac:dyDescent="0.2">
      <c r="A15" s="8" t="s">
        <v>310</v>
      </c>
      <c r="B15" s="6">
        <v>6.7001147573600497E-2</v>
      </c>
      <c r="C15" s="6">
        <v>0.16260406135235919</v>
      </c>
      <c r="D15" s="6">
        <v>0.10858960054672064</v>
      </c>
      <c r="E15" s="6">
        <v>5.3931127472305294E-2</v>
      </c>
      <c r="F15" s="6">
        <v>4.1588452973120145E-2</v>
      </c>
    </row>
    <row r="16" spans="1:6" x14ac:dyDescent="0.2">
      <c r="A16" s="10">
        <v>2003</v>
      </c>
      <c r="B16" s="6">
        <v>9.1196771305238858E-2</v>
      </c>
      <c r="C16" s="6">
        <v>0.19913502427445945</v>
      </c>
      <c r="D16" s="6">
        <v>0.13528291404586704</v>
      </c>
      <c r="E16" s="6">
        <v>6.3852110228592454E-2</v>
      </c>
      <c r="F16" s="6">
        <v>4.408614274062813E-2</v>
      </c>
    </row>
    <row r="17" spans="1:6" x14ac:dyDescent="0.2">
      <c r="A17" s="10">
        <v>2004</v>
      </c>
      <c r="B17" s="6">
        <v>7.008599546174521E-2</v>
      </c>
      <c r="C17" s="6">
        <v>0.1606071958439369</v>
      </c>
      <c r="D17" s="6">
        <v>0.10628417559535458</v>
      </c>
      <c r="E17" s="6">
        <v>5.4323020248582272E-2</v>
      </c>
      <c r="F17" s="6">
        <v>3.6198180133609342E-2</v>
      </c>
    </row>
    <row r="18" spans="1:6" x14ac:dyDescent="0.2">
      <c r="A18" s="10">
        <v>2005</v>
      </c>
      <c r="B18" s="6">
        <v>7.6317519680012907E-2</v>
      </c>
      <c r="C18" s="6">
        <v>0.160216659955108</v>
      </c>
      <c r="D18" s="6">
        <v>0.11024497556382834</v>
      </c>
      <c r="E18" s="6">
        <v>4.9971684391279657E-2</v>
      </c>
      <c r="F18" s="6">
        <v>3.3927455883815433E-2</v>
      </c>
    </row>
    <row r="19" spans="1:6" x14ac:dyDescent="0.2">
      <c r="A19" s="10">
        <v>2006</v>
      </c>
      <c r="B19" s="6">
        <v>4.758927684210025E-2</v>
      </c>
      <c r="C19" s="6">
        <v>0.12430984040892251</v>
      </c>
      <c r="D19" s="6">
        <v>8.2237010421435275E-2</v>
      </c>
      <c r="E19" s="6">
        <v>4.2072829987487223E-2</v>
      </c>
      <c r="F19" s="6">
        <v>3.4647733579334983E-2</v>
      </c>
    </row>
    <row r="20" spans="1:6" x14ac:dyDescent="0.2">
      <c r="A20" s="10">
        <v>2007</v>
      </c>
      <c r="B20" s="6">
        <v>5.7606435292537748E-2</v>
      </c>
      <c r="C20" s="6">
        <v>0.16082850735369375</v>
      </c>
      <c r="D20" s="6">
        <v>0.1004960659018229</v>
      </c>
      <c r="E20" s="6">
        <v>5.9332441451870888E-2</v>
      </c>
      <c r="F20" s="6">
        <v>4.2889630609285107E-2</v>
      </c>
    </row>
    <row r="21" spans="1:6" x14ac:dyDescent="0.2">
      <c r="A21" s="10">
        <v>2008</v>
      </c>
      <c r="B21" s="6">
        <v>6.4553980182218473E-2</v>
      </c>
      <c r="C21" s="6">
        <v>0.18121745773356823</v>
      </c>
      <c r="D21" s="6">
        <v>0.11497874549260254</v>
      </c>
      <c r="E21" s="6">
        <v>6.6238712240965725E-2</v>
      </c>
      <c r="F21" s="6">
        <v>5.0424765310383986E-2</v>
      </c>
    </row>
    <row r="22" spans="1:6" x14ac:dyDescent="0.2">
      <c r="A22" s="10">
        <v>2009</v>
      </c>
      <c r="B22" s="6">
        <v>4.5634440334964992E-2</v>
      </c>
      <c r="C22" s="6">
        <v>0.14071740812410594</v>
      </c>
      <c r="D22" s="6">
        <v>9.1231329494047442E-2</v>
      </c>
      <c r="E22" s="6">
        <v>4.9486078630058494E-2</v>
      </c>
      <c r="F22" s="6">
        <v>4.5596889159082402E-2</v>
      </c>
    </row>
    <row r="23" spans="1:6" x14ac:dyDescent="0.2">
      <c r="A23" s="10">
        <v>2010</v>
      </c>
      <c r="B23" s="6">
        <v>4.7255235087493096E-2</v>
      </c>
      <c r="C23" s="6">
        <v>0.13612635198336406</v>
      </c>
      <c r="D23" s="6">
        <v>9.2478095948999917E-2</v>
      </c>
      <c r="E23" s="6">
        <v>4.3648256034364036E-2</v>
      </c>
      <c r="F23" s="6">
        <v>4.5222860861506869E-2</v>
      </c>
    </row>
    <row r="24" spans="1:6" x14ac:dyDescent="0.2">
      <c r="A24" s="10">
        <v>2011</v>
      </c>
      <c r="B24" s="6">
        <v>8.9158504966227986E-2</v>
      </c>
      <c r="C24" s="6">
        <v>0.18067590851142643</v>
      </c>
      <c r="D24" s="6">
        <v>0.12839582314927173</v>
      </c>
      <c r="E24" s="6">
        <v>5.228008536215463E-2</v>
      </c>
      <c r="F24" s="6">
        <v>3.9237318183043782E-2</v>
      </c>
    </row>
    <row r="25" spans="1:6" x14ac:dyDescent="0.2">
      <c r="A25" s="10">
        <v>2012</v>
      </c>
      <c r="B25" s="6">
        <v>6.7272519278622225E-2</v>
      </c>
      <c r="C25" s="6">
        <v>0.156588484356322</v>
      </c>
      <c r="D25" s="6">
        <v>0.10354574603003276</v>
      </c>
      <c r="E25" s="6">
        <v>5.3042738326289224E-2</v>
      </c>
      <c r="F25" s="6">
        <v>3.6273226751410585E-2</v>
      </c>
    </row>
    <row r="26" spans="1:6" x14ac:dyDescent="0.2">
      <c r="A26" s="10">
        <v>2013</v>
      </c>
      <c r="B26" s="6">
        <v>7.4014885171368658E-2</v>
      </c>
      <c r="C26" s="6">
        <v>0.17907784572561014</v>
      </c>
      <c r="D26" s="6">
        <v>0.12184322386528275</v>
      </c>
      <c r="E26" s="6">
        <v>5.7234621860327399E-2</v>
      </c>
      <c r="F26" s="6">
        <v>4.7828338693914098E-2</v>
      </c>
    </row>
    <row r="27" spans="1:6" x14ac:dyDescent="0.2">
      <c r="A27" s="8" t="s">
        <v>330</v>
      </c>
      <c r="B27" s="6">
        <v>7.1047285228105883E-2</v>
      </c>
      <c r="C27" s="6">
        <v>0.16701898160973827</v>
      </c>
      <c r="D27" s="6">
        <v>0.11310439844016922</v>
      </c>
      <c r="E27" s="6">
        <v>5.3873599563011812E-2</v>
      </c>
      <c r="F27" s="6">
        <v>4.2057113212063221E-2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316EB-43D0-104F-8CAA-1E5FCEAF86FC}">
  <dimension ref="A3:J37"/>
  <sheetViews>
    <sheetView zoomScaleNormal="56" workbookViewId="0">
      <selection activeCell="L22" sqref="L22"/>
    </sheetView>
  </sheetViews>
  <sheetFormatPr baseColWidth="10" defaultRowHeight="16" x14ac:dyDescent="0.2"/>
  <cols>
    <col min="1" max="1" width="16.1640625" bestFit="1" customWidth="1"/>
    <col min="2" max="2" width="30.33203125" bestFit="1" customWidth="1"/>
    <col min="3" max="3" width="22.5" bestFit="1" customWidth="1"/>
    <col min="4" max="5" width="24" bestFit="1" customWidth="1"/>
    <col min="6" max="10" width="6.6640625" bestFit="1" customWidth="1"/>
    <col min="11" max="11" width="24" bestFit="1" customWidth="1"/>
    <col min="12" max="19" width="6.6640625" bestFit="1" customWidth="1"/>
    <col min="20" max="20" width="33.1640625" bestFit="1" customWidth="1"/>
    <col min="21" max="21" width="28.6640625" bestFit="1" customWidth="1"/>
  </cols>
  <sheetData>
    <row r="3" spans="1:2" x14ac:dyDescent="0.2">
      <c r="A3" s="7" t="s">
        <v>329</v>
      </c>
      <c r="B3" t="s">
        <v>347</v>
      </c>
    </row>
    <row r="4" spans="1:2" x14ac:dyDescent="0.2">
      <c r="A4" s="8" t="s">
        <v>306</v>
      </c>
      <c r="B4" s="6">
        <v>0.25393782142763927</v>
      </c>
    </row>
    <row r="5" spans="1:2" x14ac:dyDescent="0.2">
      <c r="A5" s="10" t="s">
        <v>309</v>
      </c>
      <c r="B5" s="6">
        <v>0.24834635074524708</v>
      </c>
    </row>
    <row r="6" spans="1:2" x14ac:dyDescent="0.2">
      <c r="A6" s="10" t="s">
        <v>310</v>
      </c>
      <c r="B6" s="6">
        <v>0.25902097659345036</v>
      </c>
    </row>
    <row r="7" spans="1:2" x14ac:dyDescent="0.2">
      <c r="A7" s="8" t="s">
        <v>4</v>
      </c>
      <c r="B7" s="6">
        <v>0.11339724546395361</v>
      </c>
    </row>
    <row r="8" spans="1:2" x14ac:dyDescent="0.2">
      <c r="A8" s="10" t="s">
        <v>309</v>
      </c>
      <c r="B8" s="6">
        <v>0.11357993120163137</v>
      </c>
    </row>
    <row r="9" spans="1:2" x14ac:dyDescent="0.2">
      <c r="A9" s="10" t="s">
        <v>310</v>
      </c>
      <c r="B9" s="6">
        <v>0.11323116752061013</v>
      </c>
    </row>
    <row r="10" spans="1:2" x14ac:dyDescent="0.2">
      <c r="A10" s="8" t="s">
        <v>5</v>
      </c>
      <c r="B10" s="6">
        <v>0.14595908285778475</v>
      </c>
    </row>
    <row r="11" spans="1:2" x14ac:dyDescent="0.2">
      <c r="A11" s="10" t="s">
        <v>309</v>
      </c>
      <c r="B11" s="6">
        <v>0.11925864721736111</v>
      </c>
    </row>
    <row r="12" spans="1:2" x14ac:dyDescent="0.2">
      <c r="A12" s="10" t="s">
        <v>310</v>
      </c>
      <c r="B12" s="6">
        <v>0.17265951849820838</v>
      </c>
    </row>
    <row r="13" spans="1:2" x14ac:dyDescent="0.2">
      <c r="A13" s="8" t="s">
        <v>304</v>
      </c>
      <c r="B13" s="6">
        <v>0.11814454807337033</v>
      </c>
    </row>
    <row r="14" spans="1:2" x14ac:dyDescent="0.2">
      <c r="A14" s="10" t="s">
        <v>309</v>
      </c>
      <c r="B14" s="6">
        <v>0.13080219407161756</v>
      </c>
    </row>
    <row r="15" spans="1:2" x14ac:dyDescent="0.2">
      <c r="A15" s="10" t="s">
        <v>310</v>
      </c>
      <c r="B15" s="6">
        <v>0.10548690207512307</v>
      </c>
    </row>
    <row r="16" spans="1:2" x14ac:dyDescent="0.2">
      <c r="A16" s="8" t="s">
        <v>344</v>
      </c>
      <c r="B16" s="6">
        <v>0.15954926305050315</v>
      </c>
    </row>
    <row r="17" spans="1:2" x14ac:dyDescent="0.2">
      <c r="A17" s="10" t="s">
        <v>309</v>
      </c>
      <c r="B17" s="6">
        <v>0.18530491077118888</v>
      </c>
    </row>
    <row r="18" spans="1:2" x14ac:dyDescent="0.2">
      <c r="A18" s="10" t="s">
        <v>310</v>
      </c>
      <c r="B18" s="6">
        <v>0.13613503784987985</v>
      </c>
    </row>
    <row r="19" spans="1:2" x14ac:dyDescent="0.2">
      <c r="A19" s="8" t="s">
        <v>302</v>
      </c>
      <c r="B19" s="6">
        <v>0.23937723596725849</v>
      </c>
    </row>
    <row r="20" spans="1:2" x14ac:dyDescent="0.2">
      <c r="A20" s="10" t="s">
        <v>309</v>
      </c>
      <c r="B20" s="6">
        <v>0.23953321813691342</v>
      </c>
    </row>
    <row r="21" spans="1:2" x14ac:dyDescent="0.2">
      <c r="A21" s="10" t="s">
        <v>310</v>
      </c>
      <c r="B21" s="6">
        <v>0.23927324785415519</v>
      </c>
    </row>
    <row r="22" spans="1:2" x14ac:dyDescent="0.2">
      <c r="A22" s="8" t="s">
        <v>343</v>
      </c>
      <c r="B22" s="6">
        <v>0.24447211062967647</v>
      </c>
    </row>
    <row r="23" spans="1:2" x14ac:dyDescent="0.2">
      <c r="A23" s="10" t="s">
        <v>309</v>
      </c>
      <c r="B23" s="6">
        <v>0.2656046780207556</v>
      </c>
    </row>
    <row r="24" spans="1:2" x14ac:dyDescent="0.2">
      <c r="A24" s="10" t="s">
        <v>310</v>
      </c>
      <c r="B24" s="6">
        <v>0.22609596507221627</v>
      </c>
    </row>
    <row r="25" spans="1:2" x14ac:dyDescent="0.2">
      <c r="A25" s="8" t="s">
        <v>345</v>
      </c>
      <c r="B25" s="6">
        <v>0.17570623759540757</v>
      </c>
    </row>
    <row r="26" spans="1:2" x14ac:dyDescent="0.2">
      <c r="A26" s="10" t="s">
        <v>309</v>
      </c>
      <c r="B26" s="6">
        <v>0.20945943882660051</v>
      </c>
    </row>
    <row r="27" spans="1:2" x14ac:dyDescent="0.2">
      <c r="A27" s="10" t="s">
        <v>310</v>
      </c>
      <c r="B27" s="6">
        <v>0.14502150920341395</v>
      </c>
    </row>
    <row r="28" spans="1:2" x14ac:dyDescent="0.2">
      <c r="A28" s="8" t="s">
        <v>305</v>
      </c>
      <c r="B28" s="6">
        <v>8.3401238460968433E-2</v>
      </c>
    </row>
    <row r="29" spans="1:2" x14ac:dyDescent="0.2">
      <c r="A29" s="10" t="s">
        <v>309</v>
      </c>
      <c r="B29" s="6">
        <v>7.8319530423803532E-2</v>
      </c>
    </row>
    <row r="30" spans="1:2" x14ac:dyDescent="0.2">
      <c r="A30" s="10" t="s">
        <v>310</v>
      </c>
      <c r="B30" s="6">
        <v>8.8020973040209269E-2</v>
      </c>
    </row>
    <row r="31" spans="1:2" x14ac:dyDescent="0.2">
      <c r="A31" s="8" t="s">
        <v>330</v>
      </c>
      <c r="B31" s="6">
        <v>0.16701898160973824</v>
      </c>
    </row>
    <row r="33" spans="1:10" x14ac:dyDescent="0.2">
      <c r="C33" s="6"/>
    </row>
    <row r="34" spans="1:10" x14ac:dyDescent="0.2">
      <c r="C34" s="6"/>
    </row>
    <row r="35" spans="1:10" x14ac:dyDescent="0.2">
      <c r="A35" t="s">
        <v>308</v>
      </c>
      <c r="B35" t="s">
        <v>304</v>
      </c>
      <c r="C35" t="s">
        <v>306</v>
      </c>
      <c r="D35" t="s">
        <v>4</v>
      </c>
      <c r="E35" t="s">
        <v>5</v>
      </c>
      <c r="F35" t="s">
        <v>305</v>
      </c>
      <c r="G35" t="s">
        <v>343</v>
      </c>
      <c r="H35" t="s">
        <v>345</v>
      </c>
      <c r="I35" t="s">
        <v>344</v>
      </c>
      <c r="J35" t="s">
        <v>302</v>
      </c>
    </row>
    <row r="36" spans="1:10" x14ac:dyDescent="0.2">
      <c r="A36" t="s">
        <v>355</v>
      </c>
      <c r="B36" s="6">
        <v>0.13080219407161756</v>
      </c>
      <c r="C36" s="6">
        <v>0.24834635074524708</v>
      </c>
      <c r="D36" s="6">
        <v>0.11357993120163137</v>
      </c>
      <c r="E36" s="6">
        <v>0.11925864721736111</v>
      </c>
      <c r="F36" s="6">
        <v>7.8319530423803532E-2</v>
      </c>
      <c r="G36" s="6">
        <v>0.2656046780207556</v>
      </c>
      <c r="H36" s="6">
        <v>0.20945943882660051</v>
      </c>
      <c r="I36" s="6">
        <v>0.18530491077118888</v>
      </c>
      <c r="J36" s="6">
        <v>0.23953321813691342</v>
      </c>
    </row>
    <row r="37" spans="1:10" x14ac:dyDescent="0.2">
      <c r="A37" t="s">
        <v>310</v>
      </c>
      <c r="B37" s="6">
        <v>0.10548690207512307</v>
      </c>
      <c r="C37" s="6">
        <v>0.25902097659345036</v>
      </c>
      <c r="D37" s="6">
        <v>0.11323116752061013</v>
      </c>
      <c r="E37" s="6">
        <v>0.17265951849820838</v>
      </c>
      <c r="F37" s="6">
        <v>8.8020973040209269E-2</v>
      </c>
      <c r="G37" s="6">
        <v>0.22609596507221627</v>
      </c>
      <c r="H37" s="6">
        <v>0.14502150920341395</v>
      </c>
      <c r="I37" s="6">
        <v>0.13613503784987985</v>
      </c>
      <c r="J37" s="6">
        <v>0.23927324785415519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10E7-5F65-B04F-B888-2CC90352F594}">
  <dimension ref="A1:D193"/>
  <sheetViews>
    <sheetView zoomScale="88" workbookViewId="0">
      <selection activeCell="B176" sqref="B176"/>
    </sheetView>
  </sheetViews>
  <sheetFormatPr baseColWidth="10" defaultRowHeight="16" x14ac:dyDescent="0.2"/>
  <cols>
    <col min="1" max="2" width="12.33203125" bestFit="1" customWidth="1"/>
    <col min="3" max="3" width="13.1640625" bestFit="1" customWidth="1"/>
    <col min="4" max="4" width="12.33203125" bestFit="1" customWidth="1"/>
  </cols>
  <sheetData>
    <row r="1" spans="1:4" x14ac:dyDescent="0.2">
      <c r="A1" t="s">
        <v>353</v>
      </c>
      <c r="B1" t="s">
        <v>354</v>
      </c>
      <c r="C1" t="s">
        <v>351</v>
      </c>
      <c r="D1" t="s">
        <v>352</v>
      </c>
    </row>
    <row r="2" spans="1:4" x14ac:dyDescent="0.2">
      <c r="A2" s="6">
        <f>IF('Cleaned MLB Stats Dataset'!A194="Pre-Moneyball",'Cleaned MLB Stats Dataset'!AB194,NA())</f>
        <v>6.3279352226720542E-3</v>
      </c>
      <c r="B2" s="6">
        <f>IF('Cleaned MLB Stats Dataset'!A194="Pre-Moneyball",'Cleaned MLB Stats Dataset'!AD194,NA())</f>
        <v>0.10648582995951422</v>
      </c>
      <c r="C2" s="6">
        <f>IF('Cleaned MLB Stats Dataset'!A2="Moneyball era", 'Cleaned MLB Stats Dataset'!AB2, NA())</f>
        <v>-2.7727272727272739E-2</v>
      </c>
      <c r="D2" s="6">
        <f>IF('Cleaned MLB Stats Dataset'!A2="Moneyball era", 'Cleaned MLB Stats Dataset'!AD2, NA())</f>
        <v>6.3749999999999973E-2</v>
      </c>
    </row>
    <row r="3" spans="1:4" x14ac:dyDescent="0.2">
      <c r="A3" s="6">
        <f>IF('Cleaned MLB Stats Dataset'!A195="Pre-Moneyball",'Cleaned MLB Stats Dataset'!AB195,NA())</f>
        <v>2.718181818181814E-2</v>
      </c>
      <c r="B3" s="6">
        <f>IF('Cleaned MLB Stats Dataset'!A195="Pre-Moneyball",'Cleaned MLB Stats Dataset'!AD195,NA())</f>
        <v>0.16409090909090912</v>
      </c>
      <c r="C3" s="6">
        <f>IF('Cleaned MLB Stats Dataset'!A3="Moneyball era", 'Cleaned MLB Stats Dataset'!AB3, NA())</f>
        <v>3.2958904109589016E-2</v>
      </c>
      <c r="D3" s="6">
        <f>IF('Cleaned MLB Stats Dataset'!A3="Moneyball era", 'Cleaned MLB Stats Dataset'!AD3, NA())</f>
        <v>0.2375616438356164</v>
      </c>
    </row>
    <row r="4" spans="1:4" x14ac:dyDescent="0.2">
      <c r="A4" s="6">
        <f>IF('Cleaned MLB Stats Dataset'!A196="Pre-Moneyball",'Cleaned MLB Stats Dataset'!AB196,NA())</f>
        <v>2.5238095238095226E-2</v>
      </c>
      <c r="B4" s="6">
        <f>IF('Cleaned MLB Stats Dataset'!A196="Pre-Moneyball",'Cleaned MLB Stats Dataset'!AD196,NA())</f>
        <v>0.14585714285714285</v>
      </c>
      <c r="C4" s="6">
        <f>IF('Cleaned MLB Stats Dataset'!A4="Moneyball era", 'Cleaned MLB Stats Dataset'!AB4, NA())</f>
        <v>-2.345637583892618E-2</v>
      </c>
      <c r="D4" s="6">
        <f>IF('Cleaned MLB Stats Dataset'!A4="Moneyball era", 'Cleaned MLB Stats Dataset'!AD4, NA())</f>
        <v>8.6610738255033515E-2</v>
      </c>
    </row>
    <row r="5" spans="1:4" x14ac:dyDescent="0.2">
      <c r="A5" s="6">
        <f>IF('Cleaned MLB Stats Dataset'!A197="Pre-Moneyball",'Cleaned MLB Stats Dataset'!AB197,NA())</f>
        <v>1.699999999999996E-2</v>
      </c>
      <c r="B5" s="6">
        <f>IF('Cleaned MLB Stats Dataset'!A197="Pre-Moneyball",'Cleaned MLB Stats Dataset'!AD197,NA())</f>
        <v>0.20119999999999999</v>
      </c>
      <c r="C5" s="6">
        <f>IF('Cleaned MLB Stats Dataset'!A5="Moneyball era", 'Cleaned MLB Stats Dataset'!AB5, NA())</f>
        <v>4.8790281329923246E-2</v>
      </c>
      <c r="D5" s="6">
        <f>IF('Cleaned MLB Stats Dataset'!A5="Moneyball era", 'Cleaned MLB Stats Dataset'!AD5, NA())</f>
        <v>0.19479283887468024</v>
      </c>
    </row>
    <row r="6" spans="1:4" x14ac:dyDescent="0.2">
      <c r="A6" s="6">
        <f>IF('Cleaned MLB Stats Dataset'!A198="Pre-Moneyball",'Cleaned MLB Stats Dataset'!AB198,NA())</f>
        <v>4.9536423841059607E-2</v>
      </c>
      <c r="B6" s="6">
        <f>IF('Cleaned MLB Stats Dataset'!A198="Pre-Moneyball",'Cleaned MLB Stats Dataset'!AD198,NA())</f>
        <v>0.19710596026490063</v>
      </c>
      <c r="C6" s="6">
        <f>IF('Cleaned MLB Stats Dataset'!A6="Moneyball era", 'Cleaned MLB Stats Dataset'!AB6, NA())</f>
        <v>-3.5114722753346095E-2</v>
      </c>
      <c r="D6" s="6">
        <f>IF('Cleaned MLB Stats Dataset'!A6="Moneyball era", 'Cleaned MLB Stats Dataset'!AD6, NA())</f>
        <v>-2.0678776290631029E-2</v>
      </c>
    </row>
    <row r="7" spans="1:4" x14ac:dyDescent="0.2">
      <c r="A7" s="6">
        <f>IF('Cleaned MLB Stats Dataset'!A199="Pre-Moneyball",'Cleaned MLB Stats Dataset'!AB199,NA())</f>
        <v>7.1017612524461593E-3</v>
      </c>
      <c r="B7" s="6">
        <f>IF('Cleaned MLB Stats Dataset'!A199="Pre-Moneyball",'Cleaned MLB Stats Dataset'!AD199,NA())</f>
        <v>5.0710371819960853E-2</v>
      </c>
      <c r="C7" s="6">
        <f>IF('Cleaned MLB Stats Dataset'!A7="Moneyball era", 'Cleaned MLB Stats Dataset'!AB7, NA())</f>
        <v>2.9697508896797176E-2</v>
      </c>
      <c r="D7" s="6">
        <f>IF('Cleaned MLB Stats Dataset'!A7="Moneyball era", 'Cleaned MLB Stats Dataset'!AD7, NA())</f>
        <v>0.17151245551601424</v>
      </c>
    </row>
    <row r="8" spans="1:4" x14ac:dyDescent="0.2">
      <c r="A8" s="6">
        <f>IF('Cleaned MLB Stats Dataset'!A200="Pre-Moneyball",'Cleaned MLB Stats Dataset'!AB200,NA())</f>
        <v>4.2238185255198457E-2</v>
      </c>
      <c r="B8" s="6">
        <f>IF('Cleaned MLB Stats Dataset'!A200="Pre-Moneyball",'Cleaned MLB Stats Dataset'!AD200,NA())</f>
        <v>0.18169565217391309</v>
      </c>
      <c r="C8" s="6">
        <f>IF('Cleaned MLB Stats Dataset'!A8="Moneyball era", 'Cleaned MLB Stats Dataset'!AB8, NA())</f>
        <v>5.4199623352165771E-3</v>
      </c>
      <c r="D8" s="6">
        <f>IF('Cleaned MLB Stats Dataset'!A8="Moneyball era", 'Cleaned MLB Stats Dataset'!AD8, NA())</f>
        <v>0.11872316384180798</v>
      </c>
    </row>
    <row r="9" spans="1:4" x14ac:dyDescent="0.2">
      <c r="A9" s="6">
        <f>IF('Cleaned MLB Stats Dataset'!A201="Pre-Moneyball",'Cleaned MLB Stats Dataset'!AB201,NA())</f>
        <v>3.1619433198380564E-2</v>
      </c>
      <c r="B9" s="6">
        <f>IF('Cleaned MLB Stats Dataset'!A201="Pre-Moneyball",'Cleaned MLB Stats Dataset'!AD201,NA())</f>
        <v>8.9315789473684182E-2</v>
      </c>
      <c r="C9" s="6">
        <f>IF('Cleaned MLB Stats Dataset'!A9="Moneyball era", 'Cleaned MLB Stats Dataset'!AB9, NA())</f>
        <v>1.9363636363636361E-2</v>
      </c>
      <c r="D9" s="6">
        <f>IF('Cleaned MLB Stats Dataset'!A9="Moneyball era", 'Cleaned MLB Stats Dataset'!AD9, NA())</f>
        <v>0.10245454545454546</v>
      </c>
    </row>
    <row r="10" spans="1:4" x14ac:dyDescent="0.2">
      <c r="A10" s="6">
        <f>IF('Cleaned MLB Stats Dataset'!A202="Pre-Moneyball",'Cleaned MLB Stats Dataset'!AB202,NA())</f>
        <v>3.2624754420432223E-2</v>
      </c>
      <c r="B10" s="6">
        <f>IF('Cleaned MLB Stats Dataset'!A202="Pre-Moneyball",'Cleaned MLB Stats Dataset'!AD202,NA())</f>
        <v>0.33245579567779965</v>
      </c>
      <c r="C10" s="6">
        <f>IF('Cleaned MLB Stats Dataset'!A10="Moneyball era", 'Cleaned MLB Stats Dataset'!AB10, NA())</f>
        <v>7.4356775300171707E-3</v>
      </c>
      <c r="D10" s="6">
        <f>IF('Cleaned MLB Stats Dataset'!A10="Moneyball era", 'Cleaned MLB Stats Dataset'!AD10, NA())</f>
        <v>0.15331560891938245</v>
      </c>
    </row>
    <row r="11" spans="1:4" x14ac:dyDescent="0.2">
      <c r="A11" s="6">
        <f>IF('Cleaned MLB Stats Dataset'!A203="Pre-Moneyball",'Cleaned MLB Stats Dataset'!AB203,NA())</f>
        <v>2.7623655913978473E-2</v>
      </c>
      <c r="B11" s="6">
        <f>IF('Cleaned MLB Stats Dataset'!A203="Pre-Moneyball",'Cleaned MLB Stats Dataset'!AD203,NA())</f>
        <v>0.16594623655913981</v>
      </c>
      <c r="C11" s="6">
        <f>IF('Cleaned MLB Stats Dataset'!A11="Moneyball era", 'Cleaned MLB Stats Dataset'!AB11, NA())</f>
        <v>-6.1670235546040786E-4</v>
      </c>
      <c r="D11" s="6">
        <f>IF('Cleaned MLB Stats Dataset'!A11="Moneyball era", 'Cleaned MLB Stats Dataset'!AD11, NA())</f>
        <v>0.11419057815845829</v>
      </c>
    </row>
    <row r="12" spans="1:4" x14ac:dyDescent="0.2">
      <c r="A12" s="6">
        <f>IF('Cleaned MLB Stats Dataset'!A204="Pre-Moneyball",'Cleaned MLB Stats Dataset'!AB204,NA())</f>
        <v>8.6097560975609833E-3</v>
      </c>
      <c r="B12" s="6">
        <f>IF('Cleaned MLB Stats Dataset'!A204="Pre-Moneyball",'Cleaned MLB Stats Dataset'!AD204,NA())</f>
        <v>0.13665853658536592</v>
      </c>
      <c r="C12" s="6">
        <f>IF('Cleaned MLB Stats Dataset'!A12="Moneyball era", 'Cleaned MLB Stats Dataset'!AB12, NA())</f>
        <v>-1.2861924686192461E-2</v>
      </c>
      <c r="D12" s="6">
        <f>IF('Cleaned MLB Stats Dataset'!A12="Moneyball era", 'Cleaned MLB Stats Dataset'!AD12, NA())</f>
        <v>8.8736401673640219E-2</v>
      </c>
    </row>
    <row r="13" spans="1:4" x14ac:dyDescent="0.2">
      <c r="A13" s="6">
        <f>IF('Cleaned MLB Stats Dataset'!A205="Pre-Moneyball",'Cleaned MLB Stats Dataset'!AB205,NA())</f>
        <v>-1.1927194860814061E-3</v>
      </c>
      <c r="B13" s="6">
        <f>IF('Cleaned MLB Stats Dataset'!A205="Pre-Moneyball",'Cleaned MLB Stats Dataset'!AD205,NA())</f>
        <v>0.12702783725910066</v>
      </c>
      <c r="C13" s="6">
        <f>IF('Cleaned MLB Stats Dataset'!A13="Moneyball era", 'Cleaned MLB Stats Dataset'!AB13, NA())</f>
        <v>2.5793867120953995E-2</v>
      </c>
      <c r="D13" s="6">
        <f>IF('Cleaned MLB Stats Dataset'!A13="Moneyball era", 'Cleaned MLB Stats Dataset'!AD13, NA())</f>
        <v>9.9555366269165169E-2</v>
      </c>
    </row>
    <row r="14" spans="1:4" x14ac:dyDescent="0.2">
      <c r="A14" s="6">
        <f>IF('Cleaned MLB Stats Dataset'!A206="Pre-Moneyball",'Cleaned MLB Stats Dataset'!AB206,NA())</f>
        <v>6.3556325823223569E-2</v>
      </c>
      <c r="B14" s="6">
        <f>IF('Cleaned MLB Stats Dataset'!A206="Pre-Moneyball",'Cleaned MLB Stats Dataset'!AD206,NA())</f>
        <v>0.30956845753899481</v>
      </c>
      <c r="C14" s="6">
        <f>IF('Cleaned MLB Stats Dataset'!A14="Moneyball era", 'Cleaned MLB Stats Dataset'!AB14, NA())</f>
        <v>4.0258620689655189E-2</v>
      </c>
      <c r="D14" s="6">
        <f>IF('Cleaned MLB Stats Dataset'!A14="Moneyball era", 'Cleaned MLB Stats Dataset'!AD14, NA())</f>
        <v>0.10746551724137932</v>
      </c>
    </row>
    <row r="15" spans="1:4" x14ac:dyDescent="0.2">
      <c r="A15" s="6">
        <f>IF('Cleaned MLB Stats Dataset'!A207="Pre-Moneyball",'Cleaned MLB Stats Dataset'!AB207,NA())</f>
        <v>2.6769784172661848E-2</v>
      </c>
      <c r="B15" s="6">
        <f>IF('Cleaned MLB Stats Dataset'!A207="Pre-Moneyball",'Cleaned MLB Stats Dataset'!AD207,NA())</f>
        <v>0.1765251798561151</v>
      </c>
      <c r="C15" s="6">
        <f>IF('Cleaned MLB Stats Dataset'!A15="Moneyball era", 'Cleaned MLB Stats Dataset'!AB15, NA())</f>
        <v>1.1167785234899308E-2</v>
      </c>
      <c r="D15" s="6">
        <f>IF('Cleaned MLB Stats Dataset'!A15="Moneyball era", 'Cleaned MLB Stats Dataset'!AD15, NA())</f>
        <v>0.19544966442953021</v>
      </c>
    </row>
    <row r="16" spans="1:4" x14ac:dyDescent="0.2">
      <c r="A16" s="6">
        <f>IF('Cleaned MLB Stats Dataset'!A208="Pre-Moneyball",'Cleaned MLB Stats Dataset'!AB208,NA())</f>
        <v>3.9287356321839051E-2</v>
      </c>
      <c r="B16" s="6">
        <f>IF('Cleaned MLB Stats Dataset'!A208="Pre-Moneyball",'Cleaned MLB Stats Dataset'!AD208,NA())</f>
        <v>0.13041379310344831</v>
      </c>
      <c r="C16" s="6">
        <f>IF('Cleaned MLB Stats Dataset'!A16="Moneyball era", 'Cleaned MLB Stats Dataset'!AB16, NA())</f>
        <v>6.8920265780730905E-2</v>
      </c>
      <c r="D16" s="6">
        <f>IF('Cleaned MLB Stats Dataset'!A16="Moneyball era", 'Cleaned MLB Stats Dataset'!AD16, NA())</f>
        <v>0.18737873754152823</v>
      </c>
    </row>
    <row r="17" spans="1:4" x14ac:dyDescent="0.2">
      <c r="A17" s="6">
        <f>IF('Cleaned MLB Stats Dataset'!A209="Pre-Moneyball",'Cleaned MLB Stats Dataset'!AB209,NA())</f>
        <v>7.3109404990402971E-3</v>
      </c>
      <c r="B17" s="6">
        <f>IF('Cleaned MLB Stats Dataset'!A209="Pre-Moneyball",'Cleaned MLB Stats Dataset'!AD209,NA())</f>
        <v>0.26273704414587334</v>
      </c>
      <c r="C17" s="6">
        <f>IF('Cleaned MLB Stats Dataset'!A17="Moneyball era", 'Cleaned MLB Stats Dataset'!AB17, NA())</f>
        <v>2.6154121863799284E-2</v>
      </c>
      <c r="D17" s="6">
        <f>IF('Cleaned MLB Stats Dataset'!A17="Moneyball era", 'Cleaned MLB Stats Dataset'!AD17, NA())</f>
        <v>0.12208960573476701</v>
      </c>
    </row>
    <row r="18" spans="1:4" x14ac:dyDescent="0.2">
      <c r="A18" s="6">
        <f>IF('Cleaned MLB Stats Dataset'!A210="Pre-Moneyball",'Cleaned MLB Stats Dataset'!AB210,NA())</f>
        <v>6.2333333333333296E-2</v>
      </c>
      <c r="B18" s="6">
        <f>IF('Cleaned MLB Stats Dataset'!A210="Pre-Moneyball",'Cleaned MLB Stats Dataset'!AD210,NA())</f>
        <v>0.22883524904214564</v>
      </c>
      <c r="C18" s="6">
        <f>IF('Cleaned MLB Stats Dataset'!A18="Moneyball era", 'Cleaned MLB Stats Dataset'!AB18, NA())</f>
        <v>1.6964912280701738E-2</v>
      </c>
      <c r="D18" s="6">
        <f>IF('Cleaned MLB Stats Dataset'!A18="Moneyball era", 'Cleaned MLB Stats Dataset'!AD18, NA())</f>
        <v>9.9578947368421045E-2</v>
      </c>
    </row>
    <row r="19" spans="1:4" x14ac:dyDescent="0.2">
      <c r="A19" s="6">
        <f>IF('Cleaned MLB Stats Dataset'!A211="Pre-Moneyball",'Cleaned MLB Stats Dataset'!AB211,NA())</f>
        <v>5.5984251968503929E-2</v>
      </c>
      <c r="B19" s="6">
        <f>IF('Cleaned MLB Stats Dataset'!A211="Pre-Moneyball",'Cleaned MLB Stats Dataset'!AD211,NA())</f>
        <v>0.15567716535433068</v>
      </c>
      <c r="C19" s="6">
        <f>IF('Cleaned MLB Stats Dataset'!A19="Moneyball era", 'Cleaned MLB Stats Dataset'!AB19, NA())</f>
        <v>4.4542056074766356E-2</v>
      </c>
      <c r="D19" s="6">
        <f>IF('Cleaned MLB Stats Dataset'!A19="Moneyball era", 'Cleaned MLB Stats Dataset'!AD19, NA())</f>
        <v>2.8728971962616867E-2</v>
      </c>
    </row>
    <row r="20" spans="1:4" x14ac:dyDescent="0.2">
      <c r="A20" s="6">
        <f>IF('Cleaned MLB Stats Dataset'!A212="Pre-Moneyball",'Cleaned MLB Stats Dataset'!AB212,NA())</f>
        <v>2.3123456790123453E-2</v>
      </c>
      <c r="B20" s="6">
        <f>IF('Cleaned MLB Stats Dataset'!A212="Pre-Moneyball",'Cleaned MLB Stats Dataset'!AD212,NA())</f>
        <v>8.9230452674897098E-2</v>
      </c>
      <c r="C20" s="6">
        <f>IF('Cleaned MLB Stats Dataset'!A20="Moneyball era", 'Cleaned MLB Stats Dataset'!AB20, NA())</f>
        <v>5.7256038647342966E-2</v>
      </c>
      <c r="D20" s="6">
        <f>IF('Cleaned MLB Stats Dataset'!A20="Moneyball era", 'Cleaned MLB Stats Dataset'!AD20, NA())</f>
        <v>0.14680193236714972</v>
      </c>
    </row>
    <row r="21" spans="1:4" x14ac:dyDescent="0.2">
      <c r="A21" s="6">
        <f>IF('Cleaned MLB Stats Dataset'!A213="Pre-Moneyball",'Cleaned MLB Stats Dataset'!AB213,NA())</f>
        <v>3.0403225806451606E-2</v>
      </c>
      <c r="B21" s="6">
        <f>IF('Cleaned MLB Stats Dataset'!A213="Pre-Moneyball",'Cleaned MLB Stats Dataset'!AD213,NA())</f>
        <v>0.14969354838709675</v>
      </c>
      <c r="C21" s="6">
        <f>IF('Cleaned MLB Stats Dataset'!A21="Moneyball era", 'Cleaned MLB Stats Dataset'!AB21, NA())</f>
        <v>7.6615146831530145E-3</v>
      </c>
      <c r="D21" s="6">
        <f>IF('Cleaned MLB Stats Dataset'!A21="Moneyball era", 'Cleaned MLB Stats Dataset'!AD21, NA())</f>
        <v>0.12750540958268936</v>
      </c>
    </row>
    <row r="22" spans="1:4" x14ac:dyDescent="0.2">
      <c r="A22" s="6">
        <f>IF('Cleaned MLB Stats Dataset'!A214="Pre-Moneyball",'Cleaned MLB Stats Dataset'!AB214,NA())</f>
        <v>2.7770053475935808E-2</v>
      </c>
      <c r="B22" s="6">
        <f>IF('Cleaned MLB Stats Dataset'!A214="Pre-Moneyball",'Cleaned MLB Stats Dataset'!AD214,NA())</f>
        <v>0.10706417112299466</v>
      </c>
      <c r="C22" s="6">
        <f>IF('Cleaned MLB Stats Dataset'!A22="Moneyball era", 'Cleaned MLB Stats Dataset'!AB22, NA())</f>
        <v>1.6851063829787238E-2</v>
      </c>
      <c r="D22" s="6">
        <f>IF('Cleaned MLB Stats Dataset'!A22="Moneyball era", 'Cleaned MLB Stats Dataset'!AD22, NA())</f>
        <v>7.0361702127659576E-2</v>
      </c>
    </row>
    <row r="23" spans="1:4" x14ac:dyDescent="0.2">
      <c r="A23" s="6">
        <f>IF('Cleaned MLB Stats Dataset'!A215="Pre-Moneyball",'Cleaned MLB Stats Dataset'!AB215,NA())</f>
        <v>-1.988472622478421E-3</v>
      </c>
      <c r="B23" s="6">
        <f>IF('Cleaned MLB Stats Dataset'!A215="Pre-Moneyball",'Cleaned MLB Stats Dataset'!AD215,NA())</f>
        <v>-1.7659942363112358E-2</v>
      </c>
      <c r="C23" s="6">
        <f>IF('Cleaned MLB Stats Dataset'!A23="Moneyball era", 'Cleaned MLB Stats Dataset'!AB23, NA())</f>
        <v>5.8571428571428386E-3</v>
      </c>
      <c r="D23" s="6">
        <f>IF('Cleaned MLB Stats Dataset'!A23="Moneyball era", 'Cleaned MLB Stats Dataset'!AD23, NA())</f>
        <v>7.5952380952380993E-3</v>
      </c>
    </row>
    <row r="24" spans="1:4" x14ac:dyDescent="0.2">
      <c r="A24" s="6">
        <f>IF('Cleaned MLB Stats Dataset'!A216="Pre-Moneyball",'Cleaned MLB Stats Dataset'!AB216,NA())</f>
        <v>1.7624787775891326E-2</v>
      </c>
      <c r="B24" s="6">
        <f>IF('Cleaned MLB Stats Dataset'!A216="Pre-Moneyball",'Cleaned MLB Stats Dataset'!AD216,NA())</f>
        <v>0.12287606112054333</v>
      </c>
      <c r="C24" s="6">
        <f>IF('Cleaned MLB Stats Dataset'!A24="Moneyball era", 'Cleaned MLB Stats Dataset'!AB24, NA())</f>
        <v>2.142510121457486E-2</v>
      </c>
      <c r="D24" s="6">
        <f>IF('Cleaned MLB Stats Dataset'!A24="Moneyball era", 'Cleaned MLB Stats Dataset'!AD24, NA())</f>
        <v>8.8048582995951474E-2</v>
      </c>
    </row>
    <row r="25" spans="1:4" x14ac:dyDescent="0.2">
      <c r="A25" s="6">
        <f>IF('Cleaned MLB Stats Dataset'!A217="Pre-Moneyball",'Cleaned MLB Stats Dataset'!AB217,NA())</f>
        <v>5.2481848184818491E-2</v>
      </c>
      <c r="B25" s="6">
        <f>IF('Cleaned MLB Stats Dataset'!A217="Pre-Moneyball",'Cleaned MLB Stats Dataset'!AD217,NA())</f>
        <v>0.21036303630363035</v>
      </c>
      <c r="C25" s="6">
        <f>IF('Cleaned MLB Stats Dataset'!A25="Moneyball era", 'Cleaned MLB Stats Dataset'!AB25, NA())</f>
        <v>1.0000000000000009E-2</v>
      </c>
      <c r="D25" s="6">
        <f>IF('Cleaned MLB Stats Dataset'!A25="Moneyball era", 'Cleaned MLB Stats Dataset'!AD25, NA())</f>
        <v>0.13400000000000006</v>
      </c>
    </row>
    <row r="26" spans="1:4" x14ac:dyDescent="0.2">
      <c r="A26" s="6">
        <f>IF('Cleaned MLB Stats Dataset'!A218="Pre-Moneyball",'Cleaned MLB Stats Dataset'!AB218,NA())</f>
        <v>5.4037974683544265E-2</v>
      </c>
      <c r="B26" s="6">
        <f>IF('Cleaned MLB Stats Dataset'!A218="Pre-Moneyball",'Cleaned MLB Stats Dataset'!AD218,NA())</f>
        <v>0.19483544303797468</v>
      </c>
      <c r="C26" s="6">
        <f>IF('Cleaned MLB Stats Dataset'!A26="Moneyball era", 'Cleaned MLB Stats Dataset'!AB26, NA())</f>
        <v>1.4315673289183206E-2</v>
      </c>
      <c r="D26" s="6">
        <f>IF('Cleaned MLB Stats Dataset'!A26="Moneyball era", 'Cleaned MLB Stats Dataset'!AD26, NA())</f>
        <v>6.8991169977924927E-2</v>
      </c>
    </row>
    <row r="27" spans="1:4" x14ac:dyDescent="0.2">
      <c r="A27" s="6">
        <f>IF('Cleaned MLB Stats Dataset'!A219="Pre-Moneyball",'Cleaned MLB Stats Dataset'!AB219,NA())</f>
        <v>-2.5842696629213568E-3</v>
      </c>
      <c r="B27" s="6">
        <f>IF('Cleaned MLB Stats Dataset'!A219="Pre-Moneyball",'Cleaned MLB Stats Dataset'!AD219,NA())</f>
        <v>0.18274157303370792</v>
      </c>
      <c r="C27" s="6">
        <f>IF('Cleaned MLB Stats Dataset'!A27="Moneyball era", 'Cleaned MLB Stats Dataset'!AB27, NA())</f>
        <v>2.1209790209790191E-2</v>
      </c>
      <c r="D27" s="6">
        <f>IF('Cleaned MLB Stats Dataset'!A27="Moneyball era", 'Cleaned MLB Stats Dataset'!AD27, NA())</f>
        <v>9.0727272727272712E-2</v>
      </c>
    </row>
    <row r="28" spans="1:4" x14ac:dyDescent="0.2">
      <c r="A28" s="6">
        <f>IF('Cleaned MLB Stats Dataset'!A220="Pre-Moneyball",'Cleaned MLB Stats Dataset'!AB220,NA())</f>
        <v>3.3270462633451958E-2</v>
      </c>
      <c r="B28" s="6">
        <f>IF('Cleaned MLB Stats Dataset'!A220="Pre-Moneyball",'Cleaned MLB Stats Dataset'!AD220,NA())</f>
        <v>0.15674733096085408</v>
      </c>
      <c r="C28" s="6">
        <f>IF('Cleaned MLB Stats Dataset'!A28="Moneyball era", 'Cleaned MLB Stats Dataset'!AB28, NA())</f>
        <v>3.4630136986301352E-2</v>
      </c>
      <c r="D28" s="6">
        <f>IF('Cleaned MLB Stats Dataset'!A28="Moneyball era", 'Cleaned MLB Stats Dataset'!AD28, NA())</f>
        <v>0.1127671232876713</v>
      </c>
    </row>
    <row r="29" spans="1:4" x14ac:dyDescent="0.2">
      <c r="A29" s="6">
        <f>IF('Cleaned MLB Stats Dataset'!A221="Pre-Moneyball",'Cleaned MLB Stats Dataset'!AB221,NA())</f>
        <v>8.6100603621730387E-2</v>
      </c>
      <c r="B29" s="6">
        <f>IF('Cleaned MLB Stats Dataset'!A221="Pre-Moneyball",'Cleaned MLB Stats Dataset'!AD221,NA())</f>
        <v>0.23497183098591551</v>
      </c>
      <c r="C29" s="6">
        <f>IF('Cleaned MLB Stats Dataset'!A29="Moneyball era", 'Cleaned MLB Stats Dataset'!AB29, NA())</f>
        <v>3.796078431372546E-2</v>
      </c>
      <c r="D29" s="6">
        <f>IF('Cleaned MLB Stats Dataset'!A29="Moneyball era", 'Cleaned MLB Stats Dataset'!AD29, NA())</f>
        <v>0.15654901960784312</v>
      </c>
    </row>
    <row r="30" spans="1:4" x14ac:dyDescent="0.2">
      <c r="A30" s="6">
        <f>IF('Cleaned MLB Stats Dataset'!A222="Pre-Moneyball",'Cleaned MLB Stats Dataset'!AB222,NA())</f>
        <v>-8.137254901960822E-3</v>
      </c>
      <c r="B30" s="6">
        <f>IF('Cleaned MLB Stats Dataset'!A222="Pre-Moneyball",'Cleaned MLB Stats Dataset'!AD222,NA())</f>
        <v>7.9352941176470571E-2</v>
      </c>
      <c r="C30" s="6">
        <f>IF('Cleaned MLB Stats Dataset'!A30="Moneyball era", 'Cleaned MLB Stats Dataset'!AB30, NA())</f>
        <v>1.3738574040219387E-2</v>
      </c>
      <c r="D30" s="6">
        <f>IF('Cleaned MLB Stats Dataset'!A30="Moneyball era", 'Cleaned MLB Stats Dataset'!AD30, NA())</f>
        <v>9.0429616087751352E-2</v>
      </c>
    </row>
    <row r="31" spans="1:4" x14ac:dyDescent="0.2">
      <c r="A31" s="6">
        <f>IF('Cleaned MLB Stats Dataset'!A223="Pre-Moneyball",'Cleaned MLB Stats Dataset'!AB223,NA())</f>
        <v>3.7276315789473657E-2</v>
      </c>
      <c r="B31" s="6">
        <f>IF('Cleaned MLB Stats Dataset'!A223="Pre-Moneyball",'Cleaned MLB Stats Dataset'!AD223,NA())</f>
        <v>0.22738157894736849</v>
      </c>
      <c r="C31" s="6">
        <f>IF('Cleaned MLB Stats Dataset'!A31="Moneyball era", 'Cleaned MLB Stats Dataset'!AB31, NA())</f>
        <v>3.7754385964912263E-2</v>
      </c>
      <c r="D31" s="6">
        <f>IF('Cleaned MLB Stats Dataset'!A31="Moneyball era", 'Cleaned MLB Stats Dataset'!AD31, NA())</f>
        <v>0.17098245614035085</v>
      </c>
    </row>
    <row r="32" spans="1:4" x14ac:dyDescent="0.2">
      <c r="A32" s="6">
        <f>IF('Cleaned MLB Stats Dataset'!A224="Pre-Moneyball",'Cleaned MLB Stats Dataset'!AB224,NA())</f>
        <v>1.921908127208477E-2</v>
      </c>
      <c r="B32" s="6">
        <f>IF('Cleaned MLB Stats Dataset'!A224="Pre-Moneyball",'Cleaned MLB Stats Dataset'!AD224,NA())</f>
        <v>0.17287279151943463</v>
      </c>
      <c r="C32" s="6">
        <f>IF('Cleaned MLB Stats Dataset'!A32="Moneyball era", 'Cleaned MLB Stats Dataset'!AB32, NA())</f>
        <v>3.1839203675344541E-2</v>
      </c>
      <c r="D32" s="6">
        <f>IF('Cleaned MLB Stats Dataset'!A32="Moneyball era", 'Cleaned MLB Stats Dataset'!AD32, NA())</f>
        <v>9.710872894333844E-2</v>
      </c>
    </row>
    <row r="33" spans="1:4" x14ac:dyDescent="0.2">
      <c r="A33" s="6">
        <f>IF('Cleaned MLB Stats Dataset'!A225="Pre-Moneyball",'Cleaned MLB Stats Dataset'!AB225,NA())</f>
        <v>-1.1268656716417913E-2</v>
      </c>
      <c r="B33" s="6">
        <f>IF('Cleaned MLB Stats Dataset'!A225="Pre-Moneyball",'Cleaned MLB Stats Dataset'!AD225,NA())</f>
        <v>8.6220563847429488E-2</v>
      </c>
      <c r="C33" s="6">
        <f>IF('Cleaned MLB Stats Dataset'!A33="Moneyball era", 'Cleaned MLB Stats Dataset'!AB33, NA())</f>
        <v>4.8088803088803089E-2</v>
      </c>
      <c r="D33" s="6">
        <f>IF('Cleaned MLB Stats Dataset'!A33="Moneyball era", 'Cleaned MLB Stats Dataset'!AD33, NA())</f>
        <v>0.10465250965250961</v>
      </c>
    </row>
    <row r="34" spans="1:4" x14ac:dyDescent="0.2">
      <c r="A34" s="6">
        <f>IF('Cleaned MLB Stats Dataset'!A226="Pre-Moneyball",'Cleaned MLB Stats Dataset'!AB226,NA())</f>
        <v>3.867948717948716E-2</v>
      </c>
      <c r="B34" s="6">
        <f>IF('Cleaned MLB Stats Dataset'!A226="Pre-Moneyball",'Cleaned MLB Stats Dataset'!AD226,NA())</f>
        <v>0.20639743589743592</v>
      </c>
      <c r="C34" s="6">
        <f>IF('Cleaned MLB Stats Dataset'!A34="Moneyball era", 'Cleaned MLB Stats Dataset'!AB34, NA())</f>
        <v>-1.635109717868341E-2</v>
      </c>
      <c r="D34" s="6">
        <f>IF('Cleaned MLB Stats Dataset'!A34="Moneyball era", 'Cleaned MLB Stats Dataset'!AD34, NA())</f>
        <v>4.194984326018808E-2</v>
      </c>
    </row>
    <row r="35" spans="1:4" x14ac:dyDescent="0.2">
      <c r="A35" s="6">
        <f>IF('Cleaned MLB Stats Dataset'!A227="Pre-Moneyball",'Cleaned MLB Stats Dataset'!AB227,NA())</f>
        <v>5.0557491289198564E-2</v>
      </c>
      <c r="B35" s="6">
        <f>IF('Cleaned MLB Stats Dataset'!A227="Pre-Moneyball",'Cleaned MLB Stats Dataset'!AD227,NA())</f>
        <v>7.8679442508710784E-2</v>
      </c>
      <c r="C35" s="6">
        <f>IF('Cleaned MLB Stats Dataset'!A35="Moneyball era", 'Cleaned MLB Stats Dataset'!AB35, NA())</f>
        <v>5.6661157024793352E-2</v>
      </c>
      <c r="D35" s="6">
        <f>IF('Cleaned MLB Stats Dataset'!A35="Moneyball era", 'Cleaned MLB Stats Dataset'!AD35, NA())</f>
        <v>0.19091735537190085</v>
      </c>
    </row>
    <row r="36" spans="1:4" x14ac:dyDescent="0.2">
      <c r="A36" s="6">
        <f>IF('Cleaned MLB Stats Dataset'!A228="Pre-Moneyball",'Cleaned MLB Stats Dataset'!AB228,NA())</f>
        <v>4.1285163776493217E-2</v>
      </c>
      <c r="B36" s="6">
        <f>IF('Cleaned MLB Stats Dataset'!A228="Pre-Moneyball",'Cleaned MLB Stats Dataset'!AD228,NA())</f>
        <v>6.2695568400770729E-2</v>
      </c>
      <c r="C36" s="6">
        <f>IF('Cleaned MLB Stats Dataset'!A36="Moneyball era", 'Cleaned MLB Stats Dataset'!AB36, NA())</f>
        <v>-5.7666666666666672E-2</v>
      </c>
      <c r="D36" s="6">
        <f>IF('Cleaned MLB Stats Dataset'!A36="Moneyball era", 'Cleaned MLB Stats Dataset'!AD36, NA())</f>
        <v>-4.9212121212121207E-2</v>
      </c>
    </row>
    <row r="37" spans="1:4" x14ac:dyDescent="0.2">
      <c r="A37" s="6">
        <f>IF('Cleaned MLB Stats Dataset'!A229="Pre-Moneyball",'Cleaned MLB Stats Dataset'!AB229,NA())</f>
        <v>1.8360189573459695E-2</v>
      </c>
      <c r="B37" s="6">
        <f>IF('Cleaned MLB Stats Dataset'!A229="Pre-Moneyball",'Cleaned MLB Stats Dataset'!AD229,NA())</f>
        <v>0.19137440758293839</v>
      </c>
      <c r="C37" s="6">
        <f>IF('Cleaned MLB Stats Dataset'!A37="Moneyball era", 'Cleaned MLB Stats Dataset'!AB37, NA())</f>
        <v>2.0779050736497551E-2</v>
      </c>
      <c r="D37" s="6">
        <f>IF('Cleaned MLB Stats Dataset'!A37="Moneyball era", 'Cleaned MLB Stats Dataset'!AD37, NA())</f>
        <v>0.13719148936170217</v>
      </c>
    </row>
    <row r="38" spans="1:4" x14ac:dyDescent="0.2">
      <c r="A38" s="6">
        <f>IF('Cleaned MLB Stats Dataset'!A230="Pre-Moneyball",'Cleaned MLB Stats Dataset'!AB230,NA())</f>
        <v>2.4975688816855746E-2</v>
      </c>
      <c r="B38" s="6">
        <f>IF('Cleaned MLB Stats Dataset'!A230="Pre-Moneyball",'Cleaned MLB Stats Dataset'!AD230,NA())</f>
        <v>6.7327390599675851E-2</v>
      </c>
      <c r="C38" s="6">
        <f>IF('Cleaned MLB Stats Dataset'!A38="Moneyball era", 'Cleaned MLB Stats Dataset'!AB38, NA())</f>
        <v>6.9580645161290311E-2</v>
      </c>
      <c r="D38" s="6">
        <f>IF('Cleaned MLB Stats Dataset'!A38="Moneyball era", 'Cleaned MLB Stats Dataset'!AD38, NA())</f>
        <v>0.16087606112054331</v>
      </c>
    </row>
    <row r="39" spans="1:4" x14ac:dyDescent="0.2">
      <c r="A39" s="6">
        <f>IF('Cleaned MLB Stats Dataset'!A231="Pre-Moneyball",'Cleaned MLB Stats Dataset'!AB231,NA())</f>
        <v>7.862211981566819E-2</v>
      </c>
      <c r="B39" s="6">
        <f>IF('Cleaned MLB Stats Dataset'!A231="Pre-Moneyball",'Cleaned MLB Stats Dataset'!AD231,NA())</f>
        <v>0.18899078341013825</v>
      </c>
      <c r="C39" s="6">
        <f>IF('Cleaned MLB Stats Dataset'!A39="Moneyball era", 'Cleaned MLB Stats Dataset'!AB39, NA())</f>
        <v>2.0584905660377351E-2</v>
      </c>
      <c r="D39" s="6">
        <f>IF('Cleaned MLB Stats Dataset'!A39="Moneyball era", 'Cleaned MLB Stats Dataset'!AD39, NA())</f>
        <v>8.9849056603773569E-2</v>
      </c>
    </row>
    <row r="40" spans="1:4" x14ac:dyDescent="0.2">
      <c r="A40" s="6">
        <f>IF('Cleaned MLB Stats Dataset'!A232="Pre-Moneyball",'Cleaned MLB Stats Dataset'!AB232,NA())</f>
        <v>1.5879194630872451E-2</v>
      </c>
      <c r="B40" s="6">
        <f>IF('Cleaned MLB Stats Dataset'!A232="Pre-Moneyball",'Cleaned MLB Stats Dataset'!AD232,NA())</f>
        <v>7.6644295302013443E-2</v>
      </c>
      <c r="C40" s="6">
        <f>IF('Cleaned MLB Stats Dataset'!A40="Moneyball era", 'Cleaned MLB Stats Dataset'!AB40, NA())</f>
        <v>6.4397993311036794E-2</v>
      </c>
      <c r="D40" s="6">
        <f>IF('Cleaned MLB Stats Dataset'!A40="Moneyball era", 'Cleaned MLB Stats Dataset'!AD40, NA())</f>
        <v>0.19031772575250838</v>
      </c>
    </row>
    <row r="41" spans="1:4" x14ac:dyDescent="0.2">
      <c r="A41" s="6">
        <f>IF('Cleaned MLB Stats Dataset'!A233="Pre-Moneyball",'Cleaned MLB Stats Dataset'!AB233,NA())</f>
        <v>5.328571428571427E-2</v>
      </c>
      <c r="B41" s="6">
        <f>IF('Cleaned MLB Stats Dataset'!A233="Pre-Moneyball",'Cleaned MLB Stats Dataset'!AD233,NA())</f>
        <v>0.18121428571428572</v>
      </c>
      <c r="C41" s="6">
        <f>IF('Cleaned MLB Stats Dataset'!A41="Moneyball era", 'Cleaned MLB Stats Dataset'!AB41, NA())</f>
        <v>5.1647160068846787E-2</v>
      </c>
      <c r="D41" s="6">
        <f>IF('Cleaned MLB Stats Dataset'!A41="Moneyball era", 'Cleaned MLB Stats Dataset'!AD41, NA())</f>
        <v>9.4533562822719408E-2</v>
      </c>
    </row>
    <row r="42" spans="1:4" x14ac:dyDescent="0.2">
      <c r="A42" s="6">
        <f>IF('Cleaned MLB Stats Dataset'!A234="Pre-Moneyball",'Cleaned MLB Stats Dataset'!AB234,NA())</f>
        <v>8.7623853211009184E-2</v>
      </c>
      <c r="B42" s="6">
        <f>IF('Cleaned MLB Stats Dataset'!A234="Pre-Moneyball",'Cleaned MLB Stats Dataset'!AD234,NA())</f>
        <v>0.2297889908256881</v>
      </c>
      <c r="C42" s="6">
        <f>IF('Cleaned MLB Stats Dataset'!A42="Moneyball era", 'Cleaned MLB Stats Dataset'!AB42, NA())</f>
        <v>2.0189683860232954E-2</v>
      </c>
      <c r="D42" s="6">
        <f>IF('Cleaned MLB Stats Dataset'!A42="Moneyball era", 'Cleaned MLB Stats Dataset'!AD42, NA())</f>
        <v>8.4479201331114806E-2</v>
      </c>
    </row>
    <row r="43" spans="1:4" x14ac:dyDescent="0.2">
      <c r="A43" s="6">
        <f>IF('Cleaned MLB Stats Dataset'!A235="Pre-Moneyball",'Cleaned MLB Stats Dataset'!AB235,NA())</f>
        <v>1.3303030303030261E-2</v>
      </c>
      <c r="B43" s="6">
        <f>IF('Cleaned MLB Stats Dataset'!A235="Pre-Moneyball",'Cleaned MLB Stats Dataset'!AD235,NA())</f>
        <v>7.1636363636363665E-2</v>
      </c>
      <c r="C43" s="6">
        <f>IF('Cleaned MLB Stats Dataset'!A43="Moneyball era", 'Cleaned MLB Stats Dataset'!AB43, NA())</f>
        <v>3.7425087108013955E-2</v>
      </c>
      <c r="D43" s="6">
        <f>IF('Cleaned MLB Stats Dataset'!A43="Moneyball era", 'Cleaned MLB Stats Dataset'!AD43, NA())</f>
        <v>0.10396864111498261</v>
      </c>
    </row>
    <row r="44" spans="1:4" x14ac:dyDescent="0.2">
      <c r="A44" s="6">
        <f>IF('Cleaned MLB Stats Dataset'!A236="Pre-Moneyball",'Cleaned MLB Stats Dataset'!AB236,NA())</f>
        <v>6.6658105939004786E-2</v>
      </c>
      <c r="B44" s="6">
        <f>IF('Cleaned MLB Stats Dataset'!A236="Pre-Moneyball",'Cleaned MLB Stats Dataset'!AD236,NA())</f>
        <v>0.15084911717495991</v>
      </c>
      <c r="C44" s="6">
        <f>IF('Cleaned MLB Stats Dataset'!A44="Moneyball era", 'Cleaned MLB Stats Dataset'!AB44, NA())</f>
        <v>1.6665280665280668E-2</v>
      </c>
      <c r="D44" s="6">
        <f>IF('Cleaned MLB Stats Dataset'!A44="Moneyball era", 'Cleaned MLB Stats Dataset'!AD44, NA())</f>
        <v>9.5671517671517659E-2</v>
      </c>
    </row>
    <row r="45" spans="1:4" x14ac:dyDescent="0.2">
      <c r="A45" s="6">
        <f>IF('Cleaned MLB Stats Dataset'!A237="Pre-Moneyball",'Cleaned MLB Stats Dataset'!AB237,NA())</f>
        <v>4.4495626822157408E-2</v>
      </c>
      <c r="B45" s="6">
        <f>IF('Cleaned MLB Stats Dataset'!A237="Pre-Moneyball",'Cleaned MLB Stats Dataset'!AD237,NA())</f>
        <v>0.13976676384839654</v>
      </c>
      <c r="C45" s="6">
        <f>IF('Cleaned MLB Stats Dataset'!A45="Moneyball era", 'Cleaned MLB Stats Dataset'!AB45, NA())</f>
        <v>4.2098591549295739E-2</v>
      </c>
      <c r="D45" s="6">
        <f>IF('Cleaned MLB Stats Dataset'!A45="Moneyball era", 'Cleaned MLB Stats Dataset'!AD45, NA())</f>
        <v>0.18467605633802814</v>
      </c>
    </row>
    <row r="46" spans="1:4" x14ac:dyDescent="0.2">
      <c r="A46" s="6">
        <f>IF('Cleaned MLB Stats Dataset'!A238="Pre-Moneyball",'Cleaned MLB Stats Dataset'!AB238,NA())</f>
        <v>6.1187969924812013E-2</v>
      </c>
      <c r="B46" s="6">
        <f>IF('Cleaned MLB Stats Dataset'!A238="Pre-Moneyball",'Cleaned MLB Stats Dataset'!AD238,NA())</f>
        <v>0.16322556390977444</v>
      </c>
      <c r="C46" s="6">
        <f>IF('Cleaned MLB Stats Dataset'!A46="Moneyball era", 'Cleaned MLB Stats Dataset'!AB46, NA())</f>
        <v>2.1714285714285686E-2</v>
      </c>
      <c r="D46" s="6">
        <f>IF('Cleaned MLB Stats Dataset'!A46="Moneyball era", 'Cleaned MLB Stats Dataset'!AD46, NA())</f>
        <v>5.5489795918367391E-2</v>
      </c>
    </row>
    <row r="47" spans="1:4" x14ac:dyDescent="0.2">
      <c r="A47" s="6">
        <f>IF('Cleaned MLB Stats Dataset'!A239="Pre-Moneyball",'Cleaned MLB Stats Dataset'!AB239,NA())</f>
        <v>2.7063903281519863E-2</v>
      </c>
      <c r="B47" s="6">
        <f>IF('Cleaned MLB Stats Dataset'!A239="Pre-Moneyball",'Cleaned MLB Stats Dataset'!AD239,NA())</f>
        <v>0.21030569948186534</v>
      </c>
      <c r="C47" s="6">
        <f>IF('Cleaned MLB Stats Dataset'!A47="Moneyball era", 'Cleaned MLB Stats Dataset'!AB47, NA())</f>
        <v>1.3605263157894731E-2</v>
      </c>
      <c r="D47" s="6">
        <f>IF('Cleaned MLB Stats Dataset'!A47="Moneyball era", 'Cleaned MLB Stats Dataset'!AD47, NA())</f>
        <v>5.5552631578947353E-2</v>
      </c>
    </row>
    <row r="48" spans="1:4" x14ac:dyDescent="0.2">
      <c r="A48" s="6">
        <f>IF('Cleaned MLB Stats Dataset'!A240="Pre-Moneyball",'Cleaned MLB Stats Dataset'!AB240,NA())</f>
        <v>4.2382978723404241E-2</v>
      </c>
      <c r="B48" s="6">
        <f>IF('Cleaned MLB Stats Dataset'!A240="Pre-Moneyball",'Cleaned MLB Stats Dataset'!AD240,NA())</f>
        <v>0.11555319148936166</v>
      </c>
      <c r="C48" s="6">
        <f>IF('Cleaned MLB Stats Dataset'!A48="Moneyball era", 'Cleaned MLB Stats Dataset'!AB48, NA())</f>
        <v>1.2876494023904339E-2</v>
      </c>
      <c r="D48" s="6">
        <f>IF('Cleaned MLB Stats Dataset'!A48="Moneyball era", 'Cleaned MLB Stats Dataset'!AD48, NA())</f>
        <v>-2.6812749003983782E-3</v>
      </c>
    </row>
    <row r="49" spans="1:4" x14ac:dyDescent="0.2">
      <c r="A49" s="6">
        <f>IF('Cleaned MLB Stats Dataset'!A241="Pre-Moneyball",'Cleaned MLB Stats Dataset'!AB241,NA())</f>
        <v>-2.3333333333333539E-3</v>
      </c>
      <c r="B49" s="6">
        <f>IF('Cleaned MLB Stats Dataset'!A241="Pre-Moneyball",'Cleaned MLB Stats Dataset'!AD241,NA())</f>
        <v>5.4999999999999993E-2</v>
      </c>
      <c r="C49" s="6">
        <f>IF('Cleaned MLB Stats Dataset'!A49="Moneyball era", 'Cleaned MLB Stats Dataset'!AB49, NA())</f>
        <v>2.8418772563176875E-2</v>
      </c>
      <c r="D49" s="6">
        <f>IF('Cleaned MLB Stats Dataset'!A49="Moneyball era", 'Cleaned MLB Stats Dataset'!AD49, NA())</f>
        <v>0.17486281588447655</v>
      </c>
    </row>
    <row r="50" spans="1:4" x14ac:dyDescent="0.2">
      <c r="A50" s="6">
        <f>IF('Cleaned MLB Stats Dataset'!A242="Pre-Moneyball",'Cleaned MLB Stats Dataset'!AB242,NA())</f>
        <v>5.9077399380804918E-2</v>
      </c>
      <c r="B50" s="6">
        <f>IF('Cleaned MLB Stats Dataset'!A242="Pre-Moneyball",'Cleaned MLB Stats Dataset'!AD242,NA())</f>
        <v>8.3095975232198194E-2</v>
      </c>
      <c r="C50" s="6">
        <f>IF('Cleaned MLB Stats Dataset'!A50="Moneyball era", 'Cleaned MLB Stats Dataset'!AB50, NA())</f>
        <v>7.8288343558282181E-2</v>
      </c>
      <c r="D50" s="6">
        <f>IF('Cleaned MLB Stats Dataset'!A50="Moneyball era", 'Cleaned MLB Stats Dataset'!AD50, NA())</f>
        <v>0.1336523517382413</v>
      </c>
    </row>
    <row r="51" spans="1:4" x14ac:dyDescent="0.2">
      <c r="A51" s="6">
        <f>IF('Cleaned MLB Stats Dataset'!A243="Pre-Moneyball",'Cleaned MLB Stats Dataset'!AB243,NA())</f>
        <v>6.3901192504258908E-2</v>
      </c>
      <c r="B51" s="6">
        <f>IF('Cleaned MLB Stats Dataset'!A243="Pre-Moneyball",'Cleaned MLB Stats Dataset'!AD243,NA())</f>
        <v>0.15925212947189099</v>
      </c>
      <c r="C51" s="6">
        <f>IF('Cleaned MLB Stats Dataset'!A51="Moneyball era", 'Cleaned MLB Stats Dataset'!AB51, NA())</f>
        <v>4.0964125560538134E-2</v>
      </c>
      <c r="D51" s="6">
        <f>IF('Cleaned MLB Stats Dataset'!A51="Moneyball era", 'Cleaned MLB Stats Dataset'!AD51, NA())</f>
        <v>0.12566367713004478</v>
      </c>
    </row>
    <row r="52" spans="1:4" x14ac:dyDescent="0.2">
      <c r="A52" s="6">
        <f>IF('Cleaned MLB Stats Dataset'!A244="Pre-Moneyball",'Cleaned MLB Stats Dataset'!AB244,NA())</f>
        <v>3.2829642248722313E-2</v>
      </c>
      <c r="B52" s="6">
        <f>IF('Cleaned MLB Stats Dataset'!A244="Pre-Moneyball",'Cleaned MLB Stats Dataset'!AD244,NA())</f>
        <v>7.6741056218057935E-2</v>
      </c>
      <c r="C52" s="6">
        <f>IF('Cleaned MLB Stats Dataset'!A52="Moneyball era", 'Cleaned MLB Stats Dataset'!AB52, NA())</f>
        <v>6.4227571115973714E-2</v>
      </c>
      <c r="D52" s="6">
        <f>IF('Cleaned MLB Stats Dataset'!A52="Moneyball era", 'Cleaned MLB Stats Dataset'!AD52, NA())</f>
        <v>0.265089715536105</v>
      </c>
    </row>
    <row r="53" spans="1:4" x14ac:dyDescent="0.2">
      <c r="A53" s="6">
        <f>IF('Cleaned MLB Stats Dataset'!A245="Pre-Moneyball",'Cleaned MLB Stats Dataset'!AB245,NA())</f>
        <v>4.3692307692307697E-2</v>
      </c>
      <c r="B53" s="6">
        <f>IF('Cleaned MLB Stats Dataset'!A245="Pre-Moneyball",'Cleaned MLB Stats Dataset'!AD245,NA())</f>
        <v>0.11372398190045246</v>
      </c>
      <c r="C53" s="6">
        <f>IF('Cleaned MLB Stats Dataset'!A53="Moneyball era", 'Cleaned MLB Stats Dataset'!AB53, NA())</f>
        <v>1.817880794701987E-2</v>
      </c>
      <c r="D53" s="6">
        <f>IF('Cleaned MLB Stats Dataset'!A53="Moneyball era", 'Cleaned MLB Stats Dataset'!AD53, NA())</f>
        <v>6.1264900662251653E-2</v>
      </c>
    </row>
    <row r="54" spans="1:4" x14ac:dyDescent="0.2">
      <c r="A54" s="6">
        <f>IF('Cleaned MLB Stats Dataset'!A246="Pre-Moneyball",'Cleaned MLB Stats Dataset'!AB246,NA())</f>
        <v>4.2297912713472496E-2</v>
      </c>
      <c r="B54" s="6">
        <f>IF('Cleaned MLB Stats Dataset'!A246="Pre-Moneyball",'Cleaned MLB Stats Dataset'!AD246,NA())</f>
        <v>0.14656736242884255</v>
      </c>
      <c r="C54" s="6">
        <f>IF('Cleaned MLB Stats Dataset'!A54="Moneyball era", 'Cleaned MLB Stats Dataset'!AB54, NA())</f>
        <v>4.0487179487179448E-2</v>
      </c>
      <c r="D54" s="6">
        <f>IF('Cleaned MLB Stats Dataset'!A54="Moneyball era", 'Cleaned MLB Stats Dataset'!AD54, NA())</f>
        <v>0.11444871794871797</v>
      </c>
    </row>
    <row r="55" spans="1:4" x14ac:dyDescent="0.2">
      <c r="A55" s="6">
        <f>IF('Cleaned MLB Stats Dataset'!A247="Pre-Moneyball",'Cleaned MLB Stats Dataset'!AB247,NA())</f>
        <v>2.1135593220338977E-2</v>
      </c>
      <c r="B55" s="6">
        <f>IF('Cleaned MLB Stats Dataset'!A247="Pre-Moneyball",'Cleaned MLB Stats Dataset'!AD247,NA())</f>
        <v>5.0491525423728811E-2</v>
      </c>
      <c r="C55" s="6">
        <f>IF('Cleaned MLB Stats Dataset'!A55="Moneyball era", 'Cleaned MLB Stats Dataset'!AB55, NA())</f>
        <v>3.9510638297872325E-2</v>
      </c>
      <c r="D55" s="6">
        <f>IF('Cleaned MLB Stats Dataset'!A55="Moneyball era", 'Cleaned MLB Stats Dataset'!AD55, NA())</f>
        <v>9.5355623100303932E-2</v>
      </c>
    </row>
    <row r="56" spans="1:4" x14ac:dyDescent="0.2">
      <c r="A56" s="6">
        <f>IF('Cleaned MLB Stats Dataset'!A248="Pre-Moneyball",'Cleaned MLB Stats Dataset'!AB248,NA())</f>
        <v>1.4478547854785473E-2</v>
      </c>
      <c r="B56" s="6">
        <f>IF('Cleaned MLB Stats Dataset'!A248="Pre-Moneyball",'Cleaned MLB Stats Dataset'!AD248,NA())</f>
        <v>0.14190759075907594</v>
      </c>
      <c r="C56" s="6">
        <f>IF('Cleaned MLB Stats Dataset'!A56="Moneyball era", 'Cleaned MLB Stats Dataset'!AB56, NA())</f>
        <v>1.9958115183246083E-2</v>
      </c>
      <c r="D56" s="6">
        <f>IF('Cleaned MLB Stats Dataset'!A56="Moneyball era", 'Cleaned MLB Stats Dataset'!AD56, NA())</f>
        <v>0.19480104712041885</v>
      </c>
    </row>
    <row r="57" spans="1:4" x14ac:dyDescent="0.2">
      <c r="A57" s="6">
        <f>IF('Cleaned MLB Stats Dataset'!A249="Pre-Moneyball",'Cleaned MLB Stats Dataset'!AB249,NA())</f>
        <v>4.2796208530805679E-2</v>
      </c>
      <c r="B57" s="6">
        <f>IF('Cleaned MLB Stats Dataset'!A249="Pre-Moneyball",'Cleaned MLB Stats Dataset'!AD249,NA())</f>
        <v>0.10380568720379152</v>
      </c>
      <c r="C57" s="6">
        <f>IF('Cleaned MLB Stats Dataset'!A57="Moneyball era", 'Cleaned MLB Stats Dataset'!AB57, NA())</f>
        <v>8.1898395721925143E-2</v>
      </c>
      <c r="D57" s="6">
        <f>IF('Cleaned MLB Stats Dataset'!A57="Moneyball era", 'Cleaned MLB Stats Dataset'!AD57, NA())</f>
        <v>0.16184491978609628</v>
      </c>
    </row>
    <row r="58" spans="1:4" x14ac:dyDescent="0.2">
      <c r="A58" s="6">
        <f>IF('Cleaned MLB Stats Dataset'!A250="Pre-Moneyball",'Cleaned MLB Stats Dataset'!AB250,NA())</f>
        <v>3.0075268817204293E-2</v>
      </c>
      <c r="B58" s="6">
        <f>IF('Cleaned MLB Stats Dataset'!A250="Pre-Moneyball",'Cleaned MLB Stats Dataset'!AD250,NA())</f>
        <v>-1.7419354838709711E-3</v>
      </c>
      <c r="C58" s="6">
        <f>IF('Cleaned MLB Stats Dataset'!A58="Moneyball era", 'Cleaned MLB Stats Dataset'!AB58, NA())</f>
        <v>3.4187808896210869E-2</v>
      </c>
      <c r="D58" s="6">
        <f>IF('Cleaned MLB Stats Dataset'!A58="Moneyball era", 'Cleaned MLB Stats Dataset'!AD58, NA())</f>
        <v>0.17767051070840195</v>
      </c>
    </row>
    <row r="59" spans="1:4" x14ac:dyDescent="0.2">
      <c r="A59" s="6">
        <f>IF('Cleaned MLB Stats Dataset'!A251="Pre-Moneyball",'Cleaned MLB Stats Dataset'!AB251,NA())</f>
        <v>1.9334728033472803E-2</v>
      </c>
      <c r="B59" s="6">
        <f>IF('Cleaned MLB Stats Dataset'!A251="Pre-Moneyball",'Cleaned MLB Stats Dataset'!AD251,NA())</f>
        <v>0.12693305439330543</v>
      </c>
      <c r="C59" s="6">
        <f>IF('Cleaned MLB Stats Dataset'!A59="Moneyball era", 'Cleaned MLB Stats Dataset'!AB59, NA())</f>
        <v>2.6322580645161298E-2</v>
      </c>
      <c r="D59" s="6">
        <f>IF('Cleaned MLB Stats Dataset'!A59="Moneyball era", 'Cleaned MLB Stats Dataset'!AD59, NA())</f>
        <v>0.10292668621700879</v>
      </c>
    </row>
    <row r="60" spans="1:4" x14ac:dyDescent="0.2">
      <c r="A60" s="6">
        <f>IF('Cleaned MLB Stats Dataset'!A252="Pre-Moneyball",'Cleaned MLB Stats Dataset'!AB252,NA())</f>
        <v>3.6198807157057644E-2</v>
      </c>
      <c r="B60" s="6">
        <f>IF('Cleaned MLB Stats Dataset'!A252="Pre-Moneyball",'Cleaned MLB Stats Dataset'!AD252,NA())</f>
        <v>0.14556461232604373</v>
      </c>
      <c r="C60" s="6">
        <f>IF('Cleaned MLB Stats Dataset'!A60="Moneyball era", 'Cleaned MLB Stats Dataset'!AB60, NA())</f>
        <v>4.826765799256505E-2</v>
      </c>
      <c r="D60" s="6">
        <f>IF('Cleaned MLB Stats Dataset'!A60="Moneyball era", 'Cleaned MLB Stats Dataset'!AD60, NA())</f>
        <v>0.15277323420074357</v>
      </c>
    </row>
    <row r="61" spans="1:4" x14ac:dyDescent="0.2">
      <c r="A61" s="6">
        <f>IF('Cleaned MLB Stats Dataset'!A253="Pre-Moneyball",'Cleaned MLB Stats Dataset'!AB253,NA())</f>
        <v>4.1562197092083975E-2</v>
      </c>
      <c r="B61" s="6">
        <f>IF('Cleaned MLB Stats Dataset'!A253="Pre-Moneyball",'Cleaned MLB Stats Dataset'!AD253,NA())</f>
        <v>8.1807754442649483E-2</v>
      </c>
      <c r="C61" s="6">
        <f>IF('Cleaned MLB Stats Dataset'!A61="Moneyball era", 'Cleaned MLB Stats Dataset'!AB61, NA())</f>
        <v>3.6509337860780977E-2</v>
      </c>
      <c r="D61" s="6">
        <f>IF('Cleaned MLB Stats Dataset'!A61="Moneyball era", 'Cleaned MLB Stats Dataset'!AD61, NA())</f>
        <v>0.12389813242784381</v>
      </c>
    </row>
    <row r="62" spans="1:4" x14ac:dyDescent="0.2">
      <c r="A62" s="6">
        <f>IF('Cleaned MLB Stats Dataset'!A254="Pre-Moneyball",'Cleaned MLB Stats Dataset'!AB254,NA())</f>
        <v>7.1604770017035746E-2</v>
      </c>
      <c r="B62" s="6">
        <f>IF('Cleaned MLB Stats Dataset'!A254="Pre-Moneyball",'Cleaned MLB Stats Dataset'!AD254,NA())</f>
        <v>0.25783816013628619</v>
      </c>
      <c r="C62" s="6">
        <f>IF('Cleaned MLB Stats Dataset'!A62="Moneyball era", 'Cleaned MLB Stats Dataset'!AB62, NA())</f>
        <v>-6.5149700598802762E-3</v>
      </c>
      <c r="D62" s="6">
        <f>IF('Cleaned MLB Stats Dataset'!A62="Moneyball era", 'Cleaned MLB Stats Dataset'!AD62, NA())</f>
        <v>-3.6758483033932143E-2</v>
      </c>
    </row>
    <row r="63" spans="1:4" x14ac:dyDescent="0.2">
      <c r="A63" s="6">
        <f>IF('Cleaned MLB Stats Dataset'!A255="Pre-Moneyball",'Cleaned MLB Stats Dataset'!AB255,NA())</f>
        <v>1.7048780487804893E-2</v>
      </c>
      <c r="B63" s="6">
        <f>IF('Cleaned MLB Stats Dataset'!A255="Pre-Moneyball",'Cleaned MLB Stats Dataset'!AD255,NA())</f>
        <v>0.14397560975609763</v>
      </c>
      <c r="C63" s="6">
        <f>IF('Cleaned MLB Stats Dataset'!A63="Moneyball era", 'Cleaned MLB Stats Dataset'!AB63, NA())</f>
        <v>8.1732851985559241E-3</v>
      </c>
      <c r="D63" s="6">
        <f>IF('Cleaned MLB Stats Dataset'!A63="Moneyball era", 'Cleaned MLB Stats Dataset'!AD63, NA())</f>
        <v>0.10227075812274372</v>
      </c>
    </row>
    <row r="64" spans="1:4" x14ac:dyDescent="0.2">
      <c r="A64" s="6">
        <f>IF('Cleaned MLB Stats Dataset'!A256="Pre-Moneyball",'Cleaned MLB Stats Dataset'!AB256,NA())</f>
        <v>4.7126394052044607E-2</v>
      </c>
      <c r="B64" s="6">
        <f>IF('Cleaned MLB Stats Dataset'!A256="Pre-Moneyball",'Cleaned MLB Stats Dataset'!AD256,NA())</f>
        <v>9.7869888475836497E-2</v>
      </c>
      <c r="C64" s="6">
        <f>IF('Cleaned MLB Stats Dataset'!A64="Moneyball era", 'Cleaned MLB Stats Dataset'!AB64, NA())</f>
        <v>3.5069632495164427E-2</v>
      </c>
      <c r="D64" s="6">
        <f>IF('Cleaned MLB Stats Dataset'!A64="Moneyball era", 'Cleaned MLB Stats Dataset'!AD64, NA())</f>
        <v>9.0230174081237902E-2</v>
      </c>
    </row>
    <row r="65" spans="1:4" x14ac:dyDescent="0.2">
      <c r="A65" s="6">
        <f>IF('Cleaned MLB Stats Dataset'!A257="Pre-Moneyball",'Cleaned MLB Stats Dataset'!AB257,NA())</f>
        <v>6.8954468802698121E-2</v>
      </c>
      <c r="B65" s="6">
        <f>IF('Cleaned MLB Stats Dataset'!A257="Pre-Moneyball",'Cleaned MLB Stats Dataset'!AD257,NA())</f>
        <v>4.3607082630691407E-2</v>
      </c>
      <c r="C65" s="6">
        <f>IF('Cleaned MLB Stats Dataset'!A65="Moneyball era", 'Cleaned MLB Stats Dataset'!AB65, NA())</f>
        <v>4.5893653516294985E-2</v>
      </c>
      <c r="D65" s="6">
        <f>IF('Cleaned MLB Stats Dataset'!A65="Moneyball era", 'Cleaned MLB Stats Dataset'!AD65, NA())</f>
        <v>0.22193996569468272</v>
      </c>
    </row>
    <row r="66" spans="1:4" x14ac:dyDescent="0.2">
      <c r="A66" s="6">
        <f>IF('Cleaned MLB Stats Dataset'!A258="Pre-Moneyball",'Cleaned MLB Stats Dataset'!AB258,NA())</f>
        <v>5.3325635103926072E-2</v>
      </c>
      <c r="B66" s="6">
        <f>IF('Cleaned MLB Stats Dataset'!A258="Pre-Moneyball",'Cleaned MLB Stats Dataset'!AD258,NA())</f>
        <v>0.25036489607390305</v>
      </c>
      <c r="C66" s="6">
        <f>IF('Cleaned MLB Stats Dataset'!A66="Moneyball era", 'Cleaned MLB Stats Dataset'!AB66, NA())</f>
        <v>4.274127310061604E-2</v>
      </c>
      <c r="D66" s="6">
        <f>IF('Cleaned MLB Stats Dataset'!A66="Moneyball era", 'Cleaned MLB Stats Dataset'!AD66, NA())</f>
        <v>0.13693429158110881</v>
      </c>
    </row>
    <row r="67" spans="1:4" x14ac:dyDescent="0.2">
      <c r="A67" s="6">
        <f>IF('Cleaned MLB Stats Dataset'!A259="Pre-Moneyball",'Cleaned MLB Stats Dataset'!AB259,NA())</f>
        <v>-1.6102040816326546E-2</v>
      </c>
      <c r="B67" s="6">
        <f>IF('Cleaned MLB Stats Dataset'!A259="Pre-Moneyball",'Cleaned MLB Stats Dataset'!AD259,NA())</f>
        <v>-3.7094191522762943E-2</v>
      </c>
      <c r="C67" s="6">
        <f>IF('Cleaned MLB Stats Dataset'!A67="Moneyball era", 'Cleaned MLB Stats Dataset'!AB67, NA())</f>
        <v>3.5500831946755407E-2</v>
      </c>
      <c r="D67" s="6">
        <f>IF('Cleaned MLB Stats Dataset'!A67="Moneyball era", 'Cleaned MLB Stats Dataset'!AD67, NA())</f>
        <v>0.18499334442595677</v>
      </c>
    </row>
    <row r="68" spans="1:4" x14ac:dyDescent="0.2">
      <c r="A68" s="6">
        <f>IF('Cleaned MLB Stats Dataset'!A260="Pre-Moneyball",'Cleaned MLB Stats Dataset'!AB260,NA())</f>
        <v>4.8518518518518516E-2</v>
      </c>
      <c r="B68" s="6">
        <f>IF('Cleaned MLB Stats Dataset'!A260="Pre-Moneyball",'Cleaned MLB Stats Dataset'!AD260,NA())</f>
        <v>0.11674074074074076</v>
      </c>
      <c r="C68" s="6">
        <f>IF('Cleaned MLB Stats Dataset'!A68="Moneyball era", 'Cleaned MLB Stats Dataset'!AB68, NA())</f>
        <v>7.0595505617977505E-2</v>
      </c>
      <c r="D68" s="6">
        <f>IF('Cleaned MLB Stats Dataset'!A68="Moneyball era", 'Cleaned MLB Stats Dataset'!AD68, NA())</f>
        <v>8.0404494382022462E-2</v>
      </c>
    </row>
    <row r="69" spans="1:4" x14ac:dyDescent="0.2">
      <c r="A69" s="6">
        <f>IF('Cleaned MLB Stats Dataset'!A261="Pre-Moneyball",'Cleaned MLB Stats Dataset'!AB261,NA())</f>
        <v>6.3333333333333297E-2</v>
      </c>
      <c r="B69" s="6">
        <f>IF('Cleaned MLB Stats Dataset'!A261="Pre-Moneyball",'Cleaned MLB Stats Dataset'!AD261,NA())</f>
        <v>0.2100588235294118</v>
      </c>
      <c r="C69" s="6">
        <f>IF('Cleaned MLB Stats Dataset'!A69="Moneyball era", 'Cleaned MLB Stats Dataset'!AB69, NA())</f>
        <v>5.7685039370078739E-2</v>
      </c>
      <c r="D69" s="6">
        <f>IF('Cleaned MLB Stats Dataset'!A69="Moneyball era", 'Cleaned MLB Stats Dataset'!AD69, NA())</f>
        <v>0.13318110236220476</v>
      </c>
    </row>
    <row r="70" spans="1:4" x14ac:dyDescent="0.2">
      <c r="A70" s="6">
        <f>IF('Cleaned MLB Stats Dataset'!A262="Pre-Moneyball",'Cleaned MLB Stats Dataset'!AB262,NA())</f>
        <v>6.6380255941499045E-2</v>
      </c>
      <c r="B70" s="6">
        <f>IF('Cleaned MLB Stats Dataset'!A262="Pre-Moneyball",'Cleaned MLB Stats Dataset'!AD262,NA())</f>
        <v>0.13607129798903111</v>
      </c>
      <c r="C70" s="6">
        <f>IF('Cleaned MLB Stats Dataset'!A70="Moneyball era", 'Cleaned MLB Stats Dataset'!AB70, NA())</f>
        <v>4.199656357388315E-2</v>
      </c>
      <c r="D70" s="6">
        <f>IF('Cleaned MLB Stats Dataset'!A70="Moneyball era", 'Cleaned MLB Stats Dataset'!AD70, NA())</f>
        <v>9.8927835051546398E-2</v>
      </c>
    </row>
    <row r="71" spans="1:4" x14ac:dyDescent="0.2">
      <c r="A71" s="6">
        <f>IF('Cleaned MLB Stats Dataset'!A263="Pre-Moneyball",'Cleaned MLB Stats Dataset'!AB263,NA())</f>
        <v>5.1131447587354384E-2</v>
      </c>
      <c r="B71" s="6">
        <f>IF('Cleaned MLB Stats Dataset'!A263="Pre-Moneyball",'Cleaned MLB Stats Dataset'!AD263,NA())</f>
        <v>0.12373211314475868</v>
      </c>
      <c r="C71" s="6">
        <f>IF('Cleaned MLB Stats Dataset'!A71="Moneyball era", 'Cleaned MLB Stats Dataset'!AB71, NA())</f>
        <v>3.7242236024844722E-2</v>
      </c>
      <c r="D71" s="6">
        <f>IF('Cleaned MLB Stats Dataset'!A71="Moneyball era", 'Cleaned MLB Stats Dataset'!AD71, NA())</f>
        <v>0.15553416149068328</v>
      </c>
    </row>
    <row r="72" spans="1:4" x14ac:dyDescent="0.2">
      <c r="A72" s="6">
        <f>IF('Cleaned MLB Stats Dataset'!A264="Pre-Moneyball",'Cleaned MLB Stats Dataset'!AB264,NA())</f>
        <v>5.6688969258589517E-2</v>
      </c>
      <c r="B72" s="6">
        <f>IF('Cleaned MLB Stats Dataset'!A264="Pre-Moneyball",'Cleaned MLB Stats Dataset'!AD264,NA())</f>
        <v>9.4562386980108493E-2</v>
      </c>
      <c r="C72" s="6">
        <f>IF('Cleaned MLB Stats Dataset'!A72="Moneyball era", 'Cleaned MLB Stats Dataset'!AB72, NA())</f>
        <v>1.7738351254480256E-2</v>
      </c>
      <c r="D72" s="6">
        <f>IF('Cleaned MLB Stats Dataset'!A72="Moneyball era", 'Cleaned MLB Stats Dataset'!AD72, NA())</f>
        <v>0.20420071684587809</v>
      </c>
    </row>
    <row r="73" spans="1:4" x14ac:dyDescent="0.2">
      <c r="A73" s="6">
        <f>IF('Cleaned MLB Stats Dataset'!A265="Pre-Moneyball",'Cleaned MLB Stats Dataset'!AB265,NA())</f>
        <v>5.2268206039076337E-2</v>
      </c>
      <c r="B73" s="6">
        <f>IF('Cleaned MLB Stats Dataset'!A265="Pre-Moneyball",'Cleaned MLB Stats Dataset'!AD265,NA())</f>
        <v>9.8859680284191842E-2</v>
      </c>
      <c r="C73" s="6">
        <f>IF('Cleaned MLB Stats Dataset'!A73="Moneyball era", 'Cleaned MLB Stats Dataset'!AB73, NA())</f>
        <v>4.7144249512670544E-2</v>
      </c>
      <c r="D73" s="6">
        <f>IF('Cleaned MLB Stats Dataset'!A73="Moneyball era", 'Cleaned MLB Stats Dataset'!AD73, NA())</f>
        <v>0.20918713450292392</v>
      </c>
    </row>
    <row r="74" spans="1:4" x14ac:dyDescent="0.2">
      <c r="A74" s="6">
        <f>IF('Cleaned MLB Stats Dataset'!A266="Pre-Moneyball",'Cleaned MLB Stats Dataset'!AB266,NA())</f>
        <v>3.237539432176656E-2</v>
      </c>
      <c r="B74" s="6">
        <f>IF('Cleaned MLB Stats Dataset'!A266="Pre-Moneyball",'Cleaned MLB Stats Dataset'!AD266,NA())</f>
        <v>4.1990536277602519E-2</v>
      </c>
      <c r="C74" s="6">
        <f>IF('Cleaned MLB Stats Dataset'!A74="Moneyball era", 'Cleaned MLB Stats Dataset'!AB74, NA())</f>
        <v>0.13172192513368985</v>
      </c>
      <c r="D74" s="6">
        <f>IF('Cleaned MLB Stats Dataset'!A74="Moneyball era", 'Cleaned MLB Stats Dataset'!AD74, NA())</f>
        <v>0.32731550802139037</v>
      </c>
    </row>
    <row r="75" spans="1:4" x14ac:dyDescent="0.2">
      <c r="A75" s="6">
        <f>IF('Cleaned MLB Stats Dataset'!A267="Pre-Moneyball",'Cleaned MLB Stats Dataset'!AB267,NA())</f>
        <v>5.5243523316062138E-2</v>
      </c>
      <c r="B75" s="6">
        <f>IF('Cleaned MLB Stats Dataset'!A267="Pre-Moneyball",'Cleaned MLB Stats Dataset'!AD267,NA())</f>
        <v>9.295336787564773E-2</v>
      </c>
      <c r="C75" s="6">
        <f>IF('Cleaned MLB Stats Dataset'!A75="Moneyball era", 'Cleaned MLB Stats Dataset'!AB75, NA())</f>
        <v>1.538626609442062E-2</v>
      </c>
      <c r="D75" s="6">
        <f>IF('Cleaned MLB Stats Dataset'!A75="Moneyball era", 'Cleaned MLB Stats Dataset'!AD75, NA())</f>
        <v>6.6665236051502097E-2</v>
      </c>
    </row>
    <row r="76" spans="1:4" x14ac:dyDescent="0.2">
      <c r="A76" s="6">
        <f>IF('Cleaned MLB Stats Dataset'!A268="Pre-Moneyball",'Cleaned MLB Stats Dataset'!AB268,NA())</f>
        <v>3.4187808896210869E-2</v>
      </c>
      <c r="B76" s="6">
        <f>IF('Cleaned MLB Stats Dataset'!A268="Pre-Moneyball",'Cleaned MLB Stats Dataset'!AD268,NA())</f>
        <v>8.0413509060955513E-2</v>
      </c>
      <c r="C76" s="6">
        <f>IF('Cleaned MLB Stats Dataset'!A76="Moneyball era", 'Cleaned MLB Stats Dataset'!AB76, NA())</f>
        <v>5.6964749536178083E-2</v>
      </c>
      <c r="D76" s="6">
        <f>IF('Cleaned MLB Stats Dataset'!A76="Moneyball era", 'Cleaned MLB Stats Dataset'!AD76, NA())</f>
        <v>0.12203339517625239</v>
      </c>
    </row>
    <row r="77" spans="1:4" x14ac:dyDescent="0.2">
      <c r="A77" s="6">
        <f>IF('Cleaned MLB Stats Dataset'!A269="Pre-Moneyball",'Cleaned MLB Stats Dataset'!AB269,NA())</f>
        <v>6.3731092436974779E-2</v>
      </c>
      <c r="B77" s="6">
        <f>IF('Cleaned MLB Stats Dataset'!A269="Pre-Moneyball",'Cleaned MLB Stats Dataset'!AD269,NA())</f>
        <v>0.43644537815126055</v>
      </c>
      <c r="C77" s="6">
        <f>IF('Cleaned MLB Stats Dataset'!A77="Moneyball era", 'Cleaned MLB Stats Dataset'!AB77, NA())</f>
        <v>0.10207335907335907</v>
      </c>
      <c r="D77" s="6">
        <f>IF('Cleaned MLB Stats Dataset'!A77="Moneyball era", 'Cleaned MLB Stats Dataset'!AD77, NA())</f>
        <v>0.23020463320463314</v>
      </c>
    </row>
    <row r="78" spans="1:4" x14ac:dyDescent="0.2">
      <c r="A78" s="6">
        <f>IF('Cleaned MLB Stats Dataset'!A270="Pre-Moneyball",'Cleaned MLB Stats Dataset'!AB270,NA())</f>
        <v>4.623283082077051E-2</v>
      </c>
      <c r="B78" s="6">
        <f>IF('Cleaned MLB Stats Dataset'!A270="Pre-Moneyball",'Cleaned MLB Stats Dataset'!AD270,NA())</f>
        <v>6.5087102177554479E-2</v>
      </c>
      <c r="C78" s="6">
        <f>IF('Cleaned MLB Stats Dataset'!A78="Moneyball era", 'Cleaned MLB Stats Dataset'!AB78, NA())</f>
        <v>8.3095238095238111E-2</v>
      </c>
      <c r="D78" s="6">
        <f>IF('Cleaned MLB Stats Dataset'!A78="Moneyball era", 'Cleaned MLB Stats Dataset'!AD78, NA())</f>
        <v>0.14861904761904765</v>
      </c>
    </row>
    <row r="79" spans="1:4" x14ac:dyDescent="0.2">
      <c r="A79" s="6">
        <f>IF('Cleaned MLB Stats Dataset'!A271="Pre-Moneyball",'Cleaned MLB Stats Dataset'!AB271,NA())</f>
        <v>6.8113924050632879E-2</v>
      </c>
      <c r="B79" s="6">
        <f>IF('Cleaned MLB Stats Dataset'!A271="Pre-Moneyball",'Cleaned MLB Stats Dataset'!AD271,NA())</f>
        <v>0.15985352622061483</v>
      </c>
      <c r="C79" s="6">
        <f>IF('Cleaned MLB Stats Dataset'!A79="Moneyball era", 'Cleaned MLB Stats Dataset'!AB79, NA())</f>
        <v>5.8659192825112116E-2</v>
      </c>
      <c r="D79" s="6">
        <f>IF('Cleaned MLB Stats Dataset'!A79="Moneyball era", 'Cleaned MLB Stats Dataset'!AD79, NA())</f>
        <v>0.14435874439461882</v>
      </c>
    </row>
    <row r="80" spans="1:4" x14ac:dyDescent="0.2">
      <c r="A80" s="6">
        <f>IF('Cleaned MLB Stats Dataset'!A272="Pre-Moneyball",'Cleaned MLB Stats Dataset'!AB272,NA())</f>
        <v>7.7272727272726938E-3</v>
      </c>
      <c r="B80" s="6">
        <f>IF('Cleaned MLB Stats Dataset'!A272="Pre-Moneyball",'Cleaned MLB Stats Dataset'!AD272,NA())</f>
        <v>9.2621564482029406E-3</v>
      </c>
      <c r="C80" s="6">
        <f>IF('Cleaned MLB Stats Dataset'!A80="Moneyball era", 'Cleaned MLB Stats Dataset'!AB80, NA())</f>
        <v>1.9961471103327466E-2</v>
      </c>
      <c r="D80" s="6">
        <f>IF('Cleaned MLB Stats Dataset'!A80="Moneyball era", 'Cleaned MLB Stats Dataset'!AD80, NA())</f>
        <v>8.9880910683012238E-2</v>
      </c>
    </row>
    <row r="81" spans="1:4" x14ac:dyDescent="0.2">
      <c r="A81" s="6">
        <f>IF('Cleaned MLB Stats Dataset'!A273="Pre-Moneyball",'Cleaned MLB Stats Dataset'!AB273,NA())</f>
        <v>9.9197183098591546E-2</v>
      </c>
      <c r="B81" s="6">
        <f>IF('Cleaned MLB Stats Dataset'!A273="Pre-Moneyball",'Cleaned MLB Stats Dataset'!AD273,NA())</f>
        <v>0.30107042253521127</v>
      </c>
      <c r="C81" s="6">
        <f>IF('Cleaned MLB Stats Dataset'!A81="Moneyball era", 'Cleaned MLB Stats Dataset'!AB81, NA())</f>
        <v>4.8274368231046916E-2</v>
      </c>
      <c r="D81" s="6">
        <f>IF('Cleaned MLB Stats Dataset'!A81="Moneyball era", 'Cleaned MLB Stats Dataset'!AD81, NA())</f>
        <v>0.15078700361010827</v>
      </c>
    </row>
    <row r="82" spans="1:4" x14ac:dyDescent="0.2">
      <c r="A82" s="6">
        <f>IF('Cleaned MLB Stats Dataset'!A274="Pre-Moneyball",'Cleaned MLB Stats Dataset'!AB274,NA())</f>
        <v>3.203030303030302E-2</v>
      </c>
      <c r="B82" s="6">
        <f>IF('Cleaned MLB Stats Dataset'!A274="Pre-Moneyball",'Cleaned MLB Stats Dataset'!AD274,NA())</f>
        <v>0.10188516746411486</v>
      </c>
      <c r="C82" s="6">
        <f>IF('Cleaned MLB Stats Dataset'!A82="Moneyball era", 'Cleaned MLB Stats Dataset'!AB82, NA())</f>
        <v>3.0282430213464662E-2</v>
      </c>
      <c r="D82" s="6">
        <f>IF('Cleaned MLB Stats Dataset'!A82="Moneyball era", 'Cleaned MLB Stats Dataset'!AD82, NA())</f>
        <v>0.14686042692939244</v>
      </c>
    </row>
    <row r="83" spans="1:4" x14ac:dyDescent="0.2">
      <c r="A83" s="6">
        <f>IF('Cleaned MLB Stats Dataset'!A275="Pre-Moneyball",'Cleaned MLB Stats Dataset'!AB275,NA())</f>
        <v>3.0819935691318301E-2</v>
      </c>
      <c r="B83" s="6">
        <f>IF('Cleaned MLB Stats Dataset'!A275="Pre-Moneyball",'Cleaned MLB Stats Dataset'!AD275,NA())</f>
        <v>7.1276527331189665E-2</v>
      </c>
      <c r="C83" s="6">
        <f>IF('Cleaned MLB Stats Dataset'!A83="Moneyball era", 'Cleaned MLB Stats Dataset'!AB83, NA())</f>
        <v>5.6503311258278122E-2</v>
      </c>
      <c r="D83" s="6">
        <f>IF('Cleaned MLB Stats Dataset'!A83="Moneyball era", 'Cleaned MLB Stats Dataset'!AD83, NA())</f>
        <v>0.12335761589403976</v>
      </c>
    </row>
    <row r="84" spans="1:4" x14ac:dyDescent="0.2">
      <c r="A84" s="6">
        <f>IF('Cleaned MLB Stats Dataset'!A276="Pre-Moneyball",'Cleaned MLB Stats Dataset'!AB276,NA())</f>
        <v>8.9164383561643801E-2</v>
      </c>
      <c r="B84" s="6">
        <f>IF('Cleaned MLB Stats Dataset'!A276="Pre-Moneyball",'Cleaned MLB Stats Dataset'!AD276,NA())</f>
        <v>0.21118003913894329</v>
      </c>
      <c r="C84" s="6">
        <f>IF('Cleaned MLB Stats Dataset'!A84="Moneyball era", 'Cleaned MLB Stats Dataset'!AB84, NA())</f>
        <v>5.5098039215686345E-3</v>
      </c>
      <c r="D84" s="6">
        <f>IF('Cleaned MLB Stats Dataset'!A84="Moneyball era", 'Cleaned MLB Stats Dataset'!AD84, NA())</f>
        <v>0.16211764705882353</v>
      </c>
    </row>
    <row r="85" spans="1:4" x14ac:dyDescent="0.2">
      <c r="A85" s="6">
        <f>IF('Cleaned MLB Stats Dataset'!A277="Pre-Moneyball",'Cleaned MLB Stats Dataset'!AB277,NA())</f>
        <v>3.7262569832402226E-2</v>
      </c>
      <c r="B85" s="6">
        <f>IF('Cleaned MLB Stats Dataset'!A277="Pre-Moneyball",'Cleaned MLB Stats Dataset'!AD277,NA())</f>
        <v>0.12910800744878953</v>
      </c>
      <c r="C85" s="6">
        <f>IF('Cleaned MLB Stats Dataset'!A85="Moneyball era", 'Cleaned MLB Stats Dataset'!AB85, NA())</f>
        <v>2.2888888888888848E-2</v>
      </c>
      <c r="D85" s="6">
        <f>IF('Cleaned MLB Stats Dataset'!A85="Moneyball era", 'Cleaned MLB Stats Dataset'!AD85, NA())</f>
        <v>0.10348148148148145</v>
      </c>
    </row>
    <row r="86" spans="1:4" x14ac:dyDescent="0.2">
      <c r="A86" s="6">
        <f>IF('Cleaned MLB Stats Dataset'!A278="Pre-Moneyball",'Cleaned MLB Stats Dataset'!AB278,NA())</f>
        <v>1.2643678160919603E-3</v>
      </c>
      <c r="B86" s="6">
        <f>IF('Cleaned MLB Stats Dataset'!A278="Pre-Moneyball",'Cleaned MLB Stats Dataset'!AD278,NA())</f>
        <v>0.10013793103448282</v>
      </c>
      <c r="C86" s="6">
        <f>IF('Cleaned MLB Stats Dataset'!A86="Moneyball era", 'Cleaned MLB Stats Dataset'!AB86, NA())</f>
        <v>5.3976744186046532E-2</v>
      </c>
      <c r="D86" s="6">
        <f>IF('Cleaned MLB Stats Dataset'!A86="Moneyball era", 'Cleaned MLB Stats Dataset'!AD86, NA())</f>
        <v>0.11795348837209296</v>
      </c>
    </row>
    <row r="87" spans="1:4" x14ac:dyDescent="0.2">
      <c r="A87" s="6">
        <f>IF('Cleaned MLB Stats Dataset'!A279="Pre-Moneyball",'Cleaned MLB Stats Dataset'!AB279,NA())</f>
        <v>5.0854700854700563E-3</v>
      </c>
      <c r="B87" s="6">
        <f>IF('Cleaned MLB Stats Dataset'!A279="Pre-Moneyball",'Cleaned MLB Stats Dataset'!AD279,NA())</f>
        <v>0.11152991452991445</v>
      </c>
      <c r="C87" s="6">
        <f>IF('Cleaned MLB Stats Dataset'!A87="Moneyball era", 'Cleaned MLB Stats Dataset'!AB87, NA())</f>
        <v>2.2225402504472247E-2</v>
      </c>
      <c r="D87" s="6">
        <f>IF('Cleaned MLB Stats Dataset'!A87="Moneyball era", 'Cleaned MLB Stats Dataset'!AD87, NA())</f>
        <v>0.10572808586762078</v>
      </c>
    </row>
    <row r="88" spans="1:4" x14ac:dyDescent="0.2">
      <c r="A88" s="6">
        <f>IF('Cleaned MLB Stats Dataset'!A280="Pre-Moneyball",'Cleaned MLB Stats Dataset'!AB280,NA())</f>
        <v>3.6536231884057968E-2</v>
      </c>
      <c r="B88" s="6">
        <f>IF('Cleaned MLB Stats Dataset'!A280="Pre-Moneyball",'Cleaned MLB Stats Dataset'!AD280,NA())</f>
        <v>0.1886956521739131</v>
      </c>
      <c r="C88" s="6">
        <f>IF('Cleaned MLB Stats Dataset'!A88="Moneyball era", 'Cleaned MLB Stats Dataset'!AB88, NA())</f>
        <v>8.5151515151514756E-3</v>
      </c>
      <c r="D88" s="6">
        <f>IF('Cleaned MLB Stats Dataset'!A88="Moneyball era", 'Cleaned MLB Stats Dataset'!AD88, NA())</f>
        <v>7.3212121212121228E-2</v>
      </c>
    </row>
    <row r="89" spans="1:4" x14ac:dyDescent="0.2">
      <c r="A89" s="6">
        <f>IF('Cleaned MLB Stats Dataset'!A281="Pre-Moneyball",'Cleaned MLB Stats Dataset'!AB281,NA())</f>
        <v>5.0887850467289719E-2</v>
      </c>
      <c r="B89" s="6">
        <f>IF('Cleaned MLB Stats Dataset'!A281="Pre-Moneyball",'Cleaned MLB Stats Dataset'!AD281,NA())</f>
        <v>7.1766355140186866E-2</v>
      </c>
      <c r="C89" s="6">
        <f>IF('Cleaned MLB Stats Dataset'!A89="Moneyball era", 'Cleaned MLB Stats Dataset'!AB89, NA())</f>
        <v>2.9762575452716267E-2</v>
      </c>
      <c r="D89" s="6">
        <f>IF('Cleaned MLB Stats Dataset'!A89="Moneyball era", 'Cleaned MLB Stats Dataset'!AD89, NA())</f>
        <v>6.6933601609657944E-2</v>
      </c>
    </row>
    <row r="90" spans="1:4" x14ac:dyDescent="0.2">
      <c r="A90" s="6">
        <f>IF('Cleaned MLB Stats Dataset'!A282="Pre-Moneyball",'Cleaned MLB Stats Dataset'!AB282,NA())</f>
        <v>3.4989150090415921E-2</v>
      </c>
      <c r="B90" s="6">
        <f>IF('Cleaned MLB Stats Dataset'!A282="Pre-Moneyball",'Cleaned MLB Stats Dataset'!AD282,NA())</f>
        <v>6.5820976491862582E-2</v>
      </c>
      <c r="C90" s="6">
        <f>IF('Cleaned MLB Stats Dataset'!A90="Moneyball era", 'Cleaned MLB Stats Dataset'!AB90, NA())</f>
        <v>5.8495575221239049E-3</v>
      </c>
      <c r="D90" s="6">
        <f>IF('Cleaned MLB Stats Dataset'!A90="Moneyball era", 'Cleaned MLB Stats Dataset'!AD90, NA())</f>
        <v>0.101787610619469</v>
      </c>
    </row>
    <row r="91" spans="1:4" x14ac:dyDescent="0.2">
      <c r="A91" s="6">
        <f>IF('Cleaned MLB Stats Dataset'!A283="Pre-Moneyball",'Cleaned MLB Stats Dataset'!AB283,NA())</f>
        <v>4.4278350515463916E-2</v>
      </c>
      <c r="B91" s="6">
        <f>IF('Cleaned MLB Stats Dataset'!A283="Pre-Moneyball",'Cleaned MLB Stats Dataset'!AD283,NA())</f>
        <v>0.2138384879725086</v>
      </c>
      <c r="C91" s="6">
        <f>IF('Cleaned MLB Stats Dataset'!A91="Moneyball era", 'Cleaned MLB Stats Dataset'!AB91, NA())</f>
        <v>-1.4036144578313259E-2</v>
      </c>
      <c r="D91" s="6">
        <f>IF('Cleaned MLB Stats Dataset'!A91="Moneyball era", 'Cleaned MLB Stats Dataset'!AD91, NA())</f>
        <v>0.12210843373493974</v>
      </c>
    </row>
    <row r="92" spans="1:4" x14ac:dyDescent="0.2">
      <c r="A92" s="6">
        <f>IF('Cleaned MLB Stats Dataset'!A284="Pre-Moneyball",'Cleaned MLB Stats Dataset'!AB284,NA())</f>
        <v>4.6811980033277856E-2</v>
      </c>
      <c r="B92" s="6">
        <f>IF('Cleaned MLB Stats Dataset'!A284="Pre-Moneyball",'Cleaned MLB Stats Dataset'!AD284,NA())</f>
        <v>0.12742096505823625</v>
      </c>
      <c r="C92" s="6">
        <f>IF('Cleaned MLB Stats Dataset'!A92="Moneyball era", 'Cleaned MLB Stats Dataset'!AB92, NA())</f>
        <v>4.9666666666666637E-2</v>
      </c>
      <c r="D92" s="6">
        <f>IF('Cleaned MLB Stats Dataset'!A92="Moneyball era", 'Cleaned MLB Stats Dataset'!AD92, NA())</f>
        <v>9.1999999999999971E-2</v>
      </c>
    </row>
    <row r="93" spans="1:4" x14ac:dyDescent="0.2">
      <c r="A93" s="6">
        <f>IF('Cleaned MLB Stats Dataset'!A285="Pre-Moneyball",'Cleaned MLB Stats Dataset'!AB285,NA())</f>
        <v>2.7466403162055342E-2</v>
      </c>
      <c r="B93" s="6">
        <f>IF('Cleaned MLB Stats Dataset'!A285="Pre-Moneyball",'Cleaned MLB Stats Dataset'!AD285,NA())</f>
        <v>0.16007509881422927</v>
      </c>
      <c r="C93" s="6">
        <f>IF('Cleaned MLB Stats Dataset'!A93="Moneyball era", 'Cleaned MLB Stats Dataset'!AB93, NA())</f>
        <v>4.7999999999999987E-2</v>
      </c>
      <c r="D93" s="6">
        <f>IF('Cleaned MLB Stats Dataset'!A93="Moneyball era", 'Cleaned MLB Stats Dataset'!AD93, NA())</f>
        <v>0.16999999999999998</v>
      </c>
    </row>
    <row r="94" spans="1:4" x14ac:dyDescent="0.2">
      <c r="A94" s="6">
        <f>IF('Cleaned MLB Stats Dataset'!A286="Pre-Moneyball",'Cleaned MLB Stats Dataset'!AB286,NA())</f>
        <v>1.3538904899135451E-2</v>
      </c>
      <c r="B94" s="6">
        <f>IF('Cleaned MLB Stats Dataset'!A286="Pre-Moneyball",'Cleaned MLB Stats Dataset'!AD286,NA())</f>
        <v>-7.7060518731988437E-2</v>
      </c>
      <c r="C94" s="6">
        <f>IF('Cleaned MLB Stats Dataset'!A94="Moneyball era", 'Cleaned MLB Stats Dataset'!AB94, NA())</f>
        <v>7.1016835016834978E-2</v>
      </c>
      <c r="D94" s="6">
        <f>IF('Cleaned MLB Stats Dataset'!A94="Moneyball era", 'Cleaned MLB Stats Dataset'!AD94, NA())</f>
        <v>0.24261616161616167</v>
      </c>
    </row>
    <row r="95" spans="1:4" x14ac:dyDescent="0.2">
      <c r="A95" s="6">
        <f>IF('Cleaned MLB Stats Dataset'!A287="Pre-Moneyball",'Cleaned MLB Stats Dataset'!AB287,NA())</f>
        <v>6.3258302583025838E-2</v>
      </c>
      <c r="B95" s="6">
        <f>IF('Cleaned MLB Stats Dataset'!A287="Pre-Moneyball",'Cleaned MLB Stats Dataset'!AD287,NA())</f>
        <v>0.13450553505535062</v>
      </c>
      <c r="C95" s="6">
        <f>IF('Cleaned MLB Stats Dataset'!A95="Moneyball era", 'Cleaned MLB Stats Dataset'!AB95, NA())</f>
        <v>4.6229508196721281E-2</v>
      </c>
      <c r="D95" s="6">
        <f>IF('Cleaned MLB Stats Dataset'!A95="Moneyball era", 'Cleaned MLB Stats Dataset'!AD95, NA())</f>
        <v>0.14813114754098355</v>
      </c>
    </row>
    <row r="96" spans="1:4" x14ac:dyDescent="0.2">
      <c r="A96" s="6">
        <f>IF('Cleaned MLB Stats Dataset'!A288="Pre-Moneyball",'Cleaned MLB Stats Dataset'!AB288,NA())</f>
        <v>4.9849816849816819E-2</v>
      </c>
      <c r="B96" s="6">
        <f>IF('Cleaned MLB Stats Dataset'!A288="Pre-Moneyball",'Cleaned MLB Stats Dataset'!AD288,NA())</f>
        <v>0.27347619047619048</v>
      </c>
      <c r="C96" s="6">
        <f>IF('Cleaned MLB Stats Dataset'!A96="Moneyball era", 'Cleaned MLB Stats Dataset'!AB96, NA())</f>
        <v>8.0849056603773561E-2</v>
      </c>
      <c r="D96" s="6">
        <f>IF('Cleaned MLB Stats Dataset'!A96="Moneyball era", 'Cleaned MLB Stats Dataset'!AD96, NA())</f>
        <v>0.14405660377358487</v>
      </c>
    </row>
    <row r="97" spans="1:4" x14ac:dyDescent="0.2">
      <c r="A97" s="6">
        <f>IF('Cleaned MLB Stats Dataset'!A289="Pre-Moneyball",'Cleaned MLB Stats Dataset'!AB289,NA())</f>
        <v>2.4353383458646627E-2</v>
      </c>
      <c r="B97" s="6">
        <f>IF('Cleaned MLB Stats Dataset'!A289="Pre-Moneyball",'Cleaned MLB Stats Dataset'!AD289,NA())</f>
        <v>0.16558646616541356</v>
      </c>
      <c r="C97" s="6">
        <f>IF('Cleaned MLB Stats Dataset'!A97="Moneyball era", 'Cleaned MLB Stats Dataset'!AB97, NA())</f>
        <v>6.7965844402277042E-2</v>
      </c>
      <c r="D97" s="6">
        <f>IF('Cleaned MLB Stats Dataset'!A97="Moneyball era", 'Cleaned MLB Stats Dataset'!AD97, NA())</f>
        <v>8.2436432637571111E-2</v>
      </c>
    </row>
    <row r="98" spans="1:4" x14ac:dyDescent="0.2">
      <c r="A98" s="6">
        <f>IF('Cleaned MLB Stats Dataset'!A290="Pre-Moneyball",'Cleaned MLB Stats Dataset'!AB290,NA())</f>
        <v>3.9364548494983276E-2</v>
      </c>
      <c r="B98" s="6">
        <f>IF('Cleaned MLB Stats Dataset'!A290="Pre-Moneyball",'Cleaned MLB Stats Dataset'!AD290,NA())</f>
        <v>0.10310033444816052</v>
      </c>
      <c r="C98" s="6">
        <f>IF('Cleaned MLB Stats Dataset'!A98="Moneyball era", 'Cleaned MLB Stats Dataset'!AB98, NA())</f>
        <v>8.0013888888888884E-2</v>
      </c>
      <c r="D98" s="6">
        <f>IF('Cleaned MLB Stats Dataset'!A98="Moneyball era", 'Cleaned MLB Stats Dataset'!AD98, NA())</f>
        <v>0.12540277777777781</v>
      </c>
    </row>
    <row r="99" spans="1:4" x14ac:dyDescent="0.2">
      <c r="A99" s="6">
        <f>IF('Cleaned MLB Stats Dataset'!A291="Pre-Moneyball",'Cleaned MLB Stats Dataset'!AB291,NA())</f>
        <v>2.7372881355932188E-2</v>
      </c>
      <c r="B99" s="6">
        <f>IF('Cleaned MLB Stats Dataset'!A291="Pre-Moneyball",'Cleaned MLB Stats Dataset'!AD291,NA())</f>
        <v>7.5813559322033874E-2</v>
      </c>
      <c r="C99" s="6">
        <f>IF('Cleaned MLB Stats Dataset'!A99="Moneyball era", 'Cleaned MLB Stats Dataset'!AB99, NA())</f>
        <v>4.3769771528998247E-2</v>
      </c>
      <c r="D99" s="6">
        <f>IF('Cleaned MLB Stats Dataset'!A99="Moneyball era", 'Cleaned MLB Stats Dataset'!AD99, NA())</f>
        <v>0.16690509666080844</v>
      </c>
    </row>
    <row r="100" spans="1:4" x14ac:dyDescent="0.2">
      <c r="A100" s="6">
        <f>IF('Cleaned MLB Stats Dataset'!A292="Pre-Moneyball",'Cleaned MLB Stats Dataset'!AB292,NA())</f>
        <v>4.4210526315789478E-2</v>
      </c>
      <c r="B100" s="6">
        <f>IF('Cleaned MLB Stats Dataset'!A292="Pre-Moneyball",'Cleaned MLB Stats Dataset'!AD292,NA())</f>
        <v>9.2807017543859449E-3</v>
      </c>
      <c r="C100" s="6">
        <f>IF('Cleaned MLB Stats Dataset'!A100="Moneyball era", 'Cleaned MLB Stats Dataset'!AB100, NA())</f>
        <v>6.3511839708561002E-2</v>
      </c>
      <c r="D100" s="6">
        <f>IF('Cleaned MLB Stats Dataset'!A100="Moneyball era", 'Cleaned MLB Stats Dataset'!AD100, NA())</f>
        <v>0.19812932604735883</v>
      </c>
    </row>
    <row r="101" spans="1:4" x14ac:dyDescent="0.2">
      <c r="A101" s="6">
        <f>IF('Cleaned MLB Stats Dataset'!A293="Pre-Moneyball",'Cleaned MLB Stats Dataset'!AB293,NA())</f>
        <v>7.7107438016528917E-2</v>
      </c>
      <c r="B101" s="6">
        <f>IF('Cleaned MLB Stats Dataset'!A293="Pre-Moneyball",'Cleaned MLB Stats Dataset'!AD293,NA())</f>
        <v>0.22966666666666663</v>
      </c>
      <c r="C101" s="6">
        <f>IF('Cleaned MLB Stats Dataset'!A101="Moneyball era", 'Cleaned MLB Stats Dataset'!AB101, NA())</f>
        <v>4.6715670436187406E-2</v>
      </c>
      <c r="D101" s="6">
        <f>IF('Cleaned MLB Stats Dataset'!A101="Moneyball era", 'Cleaned MLB Stats Dataset'!AD101, NA())</f>
        <v>9.7807754442649442E-2</v>
      </c>
    </row>
    <row r="102" spans="1:4" x14ac:dyDescent="0.2">
      <c r="A102" s="6">
        <f>IF('Cleaned MLB Stats Dataset'!A294="Pre-Moneyball",'Cleaned MLB Stats Dataset'!AB294,NA())</f>
        <v>-2.5006289308176111E-2</v>
      </c>
      <c r="B102" s="6">
        <f>IF('Cleaned MLB Stats Dataset'!A294="Pre-Moneyball",'Cleaned MLB Stats Dataset'!AD294,NA())</f>
        <v>-6.641299790356392E-2</v>
      </c>
      <c r="C102" s="6">
        <f>IF('Cleaned MLB Stats Dataset'!A102="Moneyball era", 'Cleaned MLB Stats Dataset'!AB102, NA())</f>
        <v>2.759802306425041E-2</v>
      </c>
      <c r="D102" s="6">
        <f>IF('Cleaned MLB Stats Dataset'!A102="Moneyball era", 'Cleaned MLB Stats Dataset'!AD102, NA())</f>
        <v>0.11942009884678745</v>
      </c>
    </row>
    <row r="103" spans="1:4" x14ac:dyDescent="0.2">
      <c r="A103" s="6">
        <f>IF('Cleaned MLB Stats Dataset'!A295="Pre-Moneyball",'Cleaned MLB Stats Dataset'!AB295,NA())</f>
        <v>4.0631229235880362E-2</v>
      </c>
      <c r="B103" s="6">
        <f>IF('Cleaned MLB Stats Dataset'!A295="Pre-Moneyball",'Cleaned MLB Stats Dataset'!AD295,NA())</f>
        <v>0.19592358803986715</v>
      </c>
      <c r="C103" s="6">
        <f>IF('Cleaned MLB Stats Dataset'!A103="Moneyball era", 'Cleaned MLB Stats Dataset'!AB103, NA())</f>
        <v>6.4075471698113173E-2</v>
      </c>
      <c r="D103" s="6">
        <f>IF('Cleaned MLB Stats Dataset'!A103="Moneyball era", 'Cleaned MLB Stats Dataset'!AD103, NA())</f>
        <v>0.1430377358490566</v>
      </c>
    </row>
    <row r="104" spans="1:4" x14ac:dyDescent="0.2">
      <c r="A104" s="6">
        <f>IF('Cleaned MLB Stats Dataset'!A296="Pre-Moneyball",'Cleaned MLB Stats Dataset'!AB296,NA())</f>
        <v>9.4510791366906433E-2</v>
      </c>
      <c r="B104" s="6">
        <f>IF('Cleaned MLB Stats Dataset'!A296="Pre-Moneyball",'Cleaned MLB Stats Dataset'!AD296,NA())</f>
        <v>0.21948920863309357</v>
      </c>
      <c r="C104" s="6">
        <f>IF('Cleaned MLB Stats Dataset'!A104="Moneyball era", 'Cleaned MLB Stats Dataset'!AB104, NA())</f>
        <v>4.3184162062615106E-2</v>
      </c>
      <c r="D104" s="6">
        <f>IF('Cleaned MLB Stats Dataset'!A104="Moneyball era", 'Cleaned MLB Stats Dataset'!AD104, NA())</f>
        <v>7.2138121546961309E-2</v>
      </c>
    </row>
    <row r="105" spans="1:4" x14ac:dyDescent="0.2">
      <c r="A105" s="6">
        <f>IF('Cleaned MLB Stats Dataset'!A297="Pre-Moneyball",'Cleaned MLB Stats Dataset'!AB297,NA())</f>
        <v>6.6419580419580404E-2</v>
      </c>
      <c r="B105" s="6">
        <f>IF('Cleaned MLB Stats Dataset'!A297="Pre-Moneyball",'Cleaned MLB Stats Dataset'!AD297,NA())</f>
        <v>0.17789510489510491</v>
      </c>
      <c r="C105" s="6">
        <f>IF('Cleaned MLB Stats Dataset'!A105="Moneyball era", 'Cleaned MLB Stats Dataset'!AB105, NA())</f>
        <v>5.9626617375231061E-2</v>
      </c>
      <c r="D105" s="6">
        <f>IF('Cleaned MLB Stats Dataset'!A105="Moneyball era", 'Cleaned MLB Stats Dataset'!AD105, NA())</f>
        <v>9.9560073937153437E-2</v>
      </c>
    </row>
    <row r="106" spans="1:4" x14ac:dyDescent="0.2">
      <c r="A106" s="6">
        <f>IF('Cleaned MLB Stats Dataset'!A298="Pre-Moneyball",'Cleaned MLB Stats Dataset'!AB298,NA())</f>
        <v>3.9836065573770452E-2</v>
      </c>
      <c r="B106" s="6">
        <f>IF('Cleaned MLB Stats Dataset'!A298="Pre-Moneyball",'Cleaned MLB Stats Dataset'!AD298,NA())</f>
        <v>3.8409836065573744E-2</v>
      </c>
      <c r="C106" s="6">
        <f>IF('Cleaned MLB Stats Dataset'!A106="Moneyball era", 'Cleaned MLB Stats Dataset'!AB106, NA())</f>
        <v>-1.2743718592964859E-2</v>
      </c>
      <c r="D106" s="6">
        <f>IF('Cleaned MLB Stats Dataset'!A106="Moneyball era", 'Cleaned MLB Stats Dataset'!AD106, NA())</f>
        <v>3.3261306532663348E-2</v>
      </c>
    </row>
    <row r="107" spans="1:4" x14ac:dyDescent="0.2">
      <c r="A107" s="6">
        <f>IF('Cleaned MLB Stats Dataset'!A299="Pre-Moneyball",'Cleaned MLB Stats Dataset'!AB299,NA())</f>
        <v>5.9899371069182361E-2</v>
      </c>
      <c r="B107" s="6">
        <f>IF('Cleaned MLB Stats Dataset'!A299="Pre-Moneyball",'Cleaned MLB Stats Dataset'!AD299,NA())</f>
        <v>0.14532704402515723</v>
      </c>
      <c r="C107" s="6">
        <f>IF('Cleaned MLB Stats Dataset'!A107="Moneyball era", 'Cleaned MLB Stats Dataset'!AB107, NA())</f>
        <v>4.3028880866425978E-2</v>
      </c>
      <c r="D107" s="6">
        <f>IF('Cleaned MLB Stats Dataset'!A107="Moneyball era", 'Cleaned MLB Stats Dataset'!AD107, NA())</f>
        <v>9.497472924187722E-2</v>
      </c>
    </row>
    <row r="108" spans="1:4" x14ac:dyDescent="0.2">
      <c r="A108" s="6">
        <f>IF('Cleaned MLB Stats Dataset'!A300="Pre-Moneyball",'Cleaned MLB Stats Dataset'!AB300,NA())</f>
        <v>8.171573604060911E-2</v>
      </c>
      <c r="B108" s="6">
        <f>IF('Cleaned MLB Stats Dataset'!A300="Pre-Moneyball",'Cleaned MLB Stats Dataset'!AD300,NA())</f>
        <v>0.18659898477157361</v>
      </c>
      <c r="C108" s="6">
        <f>IF('Cleaned MLB Stats Dataset'!A108="Moneyball era", 'Cleaned MLB Stats Dataset'!AB108, NA())</f>
        <v>7.7260726072607144E-3</v>
      </c>
      <c r="D108" s="6">
        <f>IF('Cleaned MLB Stats Dataset'!A108="Moneyball era", 'Cleaned MLB Stats Dataset'!AD108, NA())</f>
        <v>3.9603960396039639E-5</v>
      </c>
    </row>
    <row r="109" spans="1:4" x14ac:dyDescent="0.2">
      <c r="A109" s="6">
        <f>IF('Cleaned MLB Stats Dataset'!A301="Pre-Moneyball",'Cleaned MLB Stats Dataset'!AB301,NA())</f>
        <v>8.3383458646616504E-2</v>
      </c>
      <c r="B109" s="6">
        <f>IF('Cleaned MLB Stats Dataset'!A301="Pre-Moneyball",'Cleaned MLB Stats Dataset'!AD301,NA())</f>
        <v>0.30532330827067672</v>
      </c>
      <c r="C109" s="6">
        <f>IF('Cleaned MLB Stats Dataset'!A109="Moneyball era", 'Cleaned MLB Stats Dataset'!AB109, NA())</f>
        <v>6.8353293413173644E-2</v>
      </c>
      <c r="D109" s="6">
        <f>IF('Cleaned MLB Stats Dataset'!A109="Moneyball era", 'Cleaned MLB Stats Dataset'!AD109, NA())</f>
        <v>0.15189820359281436</v>
      </c>
    </row>
    <row r="110" spans="1:4" x14ac:dyDescent="0.2">
      <c r="A110" s="6">
        <f>IF('Cleaned MLB Stats Dataset'!A302="Pre-Moneyball",'Cleaned MLB Stats Dataset'!AB302,NA())</f>
        <v>4.9516407599309142E-2</v>
      </c>
      <c r="B110" s="6">
        <f>IF('Cleaned MLB Stats Dataset'!A302="Pre-Moneyball",'Cleaned MLB Stats Dataset'!AD302,NA())</f>
        <v>3.2775474956822093E-2</v>
      </c>
      <c r="C110" s="6">
        <f>IF('Cleaned MLB Stats Dataset'!A110="Moneyball era", 'Cleaned MLB Stats Dataset'!AB110, NA())</f>
        <v>5.0176470588235267E-2</v>
      </c>
      <c r="D110" s="6">
        <f>IF('Cleaned MLB Stats Dataset'!A110="Moneyball era", 'Cleaned MLB Stats Dataset'!AD110, NA())</f>
        <v>0.13817647058823529</v>
      </c>
    </row>
    <row r="111" spans="1:4" x14ac:dyDescent="0.2">
      <c r="A111" s="6">
        <f>IF('Cleaned MLB Stats Dataset'!A303="Pre-Moneyball",'Cleaned MLB Stats Dataset'!AB303,NA())</f>
        <v>3.2370786516853933E-2</v>
      </c>
      <c r="B111" s="6">
        <f>IF('Cleaned MLB Stats Dataset'!A303="Pre-Moneyball",'Cleaned MLB Stats Dataset'!AD303,NA())</f>
        <v>0.14090636704119847</v>
      </c>
      <c r="C111" s="6">
        <f>IF('Cleaned MLB Stats Dataset'!A111="Moneyball era", 'Cleaned MLB Stats Dataset'!AB111, NA())</f>
        <v>2.323024054982803E-3</v>
      </c>
      <c r="D111" s="6">
        <f>IF('Cleaned MLB Stats Dataset'!A111="Moneyball era", 'Cleaned MLB Stats Dataset'!AD111, NA())</f>
        <v>-4.9106529209621552E-3</v>
      </c>
    </row>
    <row r="112" spans="1:4" x14ac:dyDescent="0.2">
      <c r="A112" s="6">
        <f>IF('Cleaned MLB Stats Dataset'!A304="Pre-Moneyball",'Cleaned MLB Stats Dataset'!AB304,NA())</f>
        <v>7.080705009276439E-2</v>
      </c>
      <c r="B112" s="6">
        <f>IF('Cleaned MLB Stats Dataset'!A304="Pre-Moneyball",'Cleaned MLB Stats Dataset'!AD304,NA())</f>
        <v>0.27417996289424862</v>
      </c>
      <c r="C112" s="6">
        <f>IF('Cleaned MLB Stats Dataset'!A112="Moneyball era", 'Cleaned MLB Stats Dataset'!AB112, NA())</f>
        <v>3.0817184643510021E-2</v>
      </c>
      <c r="D112" s="6">
        <f>IF('Cleaned MLB Stats Dataset'!A112="Moneyball era", 'Cleaned MLB Stats Dataset'!AD112, NA())</f>
        <v>4.9287020109688995E-3</v>
      </c>
    </row>
    <row r="113" spans="1:4" x14ac:dyDescent="0.2">
      <c r="A113" s="6">
        <f>IF('Cleaned MLB Stats Dataset'!A305="Pre-Moneyball",'Cleaned MLB Stats Dataset'!AB305,NA())</f>
        <v>9.74361233480176E-2</v>
      </c>
      <c r="B113" s="6">
        <f>IF('Cleaned MLB Stats Dataset'!A305="Pre-Moneyball",'Cleaned MLB Stats Dataset'!AD305,NA())</f>
        <v>0.2099559471365639</v>
      </c>
      <c r="C113" s="6">
        <f>IF('Cleaned MLB Stats Dataset'!A113="Moneyball era", 'Cleaned MLB Stats Dataset'!AB113, NA())</f>
        <v>-6.5934065934081243E-5</v>
      </c>
      <c r="D113" s="6">
        <f>IF('Cleaned MLB Stats Dataset'!A113="Moneyball era", 'Cleaned MLB Stats Dataset'!AD113, NA())</f>
        <v>1.5956043956043942E-2</v>
      </c>
    </row>
    <row r="114" spans="1:4" x14ac:dyDescent="0.2">
      <c r="A114" s="6">
        <f>IF('Cleaned MLB Stats Dataset'!A306="Pre-Moneyball",'Cleaned MLB Stats Dataset'!AB306,NA())</f>
        <v>7.5008756567425561E-2</v>
      </c>
      <c r="B114" s="6">
        <f>IF('Cleaned MLB Stats Dataset'!A306="Pre-Moneyball",'Cleaned MLB Stats Dataset'!AD306,NA())</f>
        <v>0.22674781085814361</v>
      </c>
      <c r="C114" s="6">
        <f>IF('Cleaned MLB Stats Dataset'!A114="Moneyball era", 'Cleaned MLB Stats Dataset'!AB114, NA())</f>
        <v>7.1467153284671514E-2</v>
      </c>
      <c r="D114" s="6">
        <f>IF('Cleaned MLB Stats Dataset'!A114="Moneyball era", 'Cleaned MLB Stats Dataset'!AD114, NA())</f>
        <v>0.2192627737226277</v>
      </c>
    </row>
    <row r="115" spans="1:4" x14ac:dyDescent="0.2">
      <c r="A115" s="6">
        <f>IF('Cleaned MLB Stats Dataset'!A307="Pre-Moneyball",'Cleaned MLB Stats Dataset'!AB307,NA())</f>
        <v>4.1316430020283956E-2</v>
      </c>
      <c r="B115" s="6">
        <f>IF('Cleaned MLB Stats Dataset'!A307="Pre-Moneyball",'Cleaned MLB Stats Dataset'!AD307,NA())</f>
        <v>0.18949087221095334</v>
      </c>
      <c r="C115" s="6">
        <f>IF('Cleaned MLB Stats Dataset'!A115="Moneyball era", 'Cleaned MLB Stats Dataset'!AB115, NA())</f>
        <v>5.5880308880308871E-2</v>
      </c>
      <c r="D115" s="6">
        <f>IF('Cleaned MLB Stats Dataset'!A115="Moneyball era", 'Cleaned MLB Stats Dataset'!AD115, NA())</f>
        <v>0.16770656370656367</v>
      </c>
    </row>
    <row r="116" spans="1:4" x14ac:dyDescent="0.2">
      <c r="A116" s="6">
        <f>IF('Cleaned MLB Stats Dataset'!A308="Pre-Moneyball",'Cleaned MLB Stats Dataset'!AB308,NA())</f>
        <v>6.1123152709359585E-2</v>
      </c>
      <c r="B116" s="6">
        <f>IF('Cleaned MLB Stats Dataset'!A308="Pre-Moneyball",'Cleaned MLB Stats Dataset'!AD308,NA())</f>
        <v>0.26101313628899842</v>
      </c>
      <c r="C116" s="6">
        <f>IF('Cleaned MLB Stats Dataset'!A116="Moneyball era", 'Cleaned MLB Stats Dataset'!AB116, NA())</f>
        <v>3.395184135977336E-2</v>
      </c>
      <c r="D116" s="6">
        <f>IF('Cleaned MLB Stats Dataset'!A116="Moneyball era", 'Cleaned MLB Stats Dataset'!AD116, NA())</f>
        <v>0.11374787535410757</v>
      </c>
    </row>
    <row r="117" spans="1:4" x14ac:dyDescent="0.2">
      <c r="A117" s="6">
        <f>IF('Cleaned MLB Stats Dataset'!A309="Pre-Moneyball",'Cleaned MLB Stats Dataset'!AB309,NA())</f>
        <v>1.5666666666666662E-2</v>
      </c>
      <c r="B117" s="6">
        <f>IF('Cleaned MLB Stats Dataset'!A309="Pre-Moneyball",'Cleaned MLB Stats Dataset'!AD309,NA())</f>
        <v>-6.6666666666666541E-3</v>
      </c>
      <c r="C117" s="6">
        <f>IF('Cleaned MLB Stats Dataset'!A117="Moneyball era", 'Cleaned MLB Stats Dataset'!AB117, NA())</f>
        <v>7.4499197431781683E-2</v>
      </c>
      <c r="D117" s="6">
        <f>IF('Cleaned MLB Stats Dataset'!A117="Moneyball era", 'Cleaned MLB Stats Dataset'!AD117, NA())</f>
        <v>5.1146067415730356E-2</v>
      </c>
    </row>
    <row r="118" spans="1:4" x14ac:dyDescent="0.2">
      <c r="A118" s="6">
        <f>IF('Cleaned MLB Stats Dataset'!A310="Pre-Moneyball",'Cleaned MLB Stats Dataset'!AB310,NA())</f>
        <v>3.7543520309477718E-2</v>
      </c>
      <c r="B118" s="6">
        <f>IF('Cleaned MLB Stats Dataset'!A310="Pre-Moneyball",'Cleaned MLB Stats Dataset'!AD310,NA())</f>
        <v>0.18808704061895548</v>
      </c>
      <c r="C118" s="6">
        <f>IF('Cleaned MLB Stats Dataset'!A118="Moneyball era", 'Cleaned MLB Stats Dataset'!AB118, NA())</f>
        <v>2.4592592592592555E-2</v>
      </c>
      <c r="D118" s="6">
        <f>IF('Cleaned MLB Stats Dataset'!A118="Moneyball era", 'Cleaned MLB Stats Dataset'!AD118, NA())</f>
        <v>4.5518518518518514E-2</v>
      </c>
    </row>
    <row r="119" spans="1:4" x14ac:dyDescent="0.2">
      <c r="A119" s="6">
        <f>IF('Cleaned MLB Stats Dataset'!A311="Pre-Moneyball",'Cleaned MLB Stats Dataset'!AB311,NA())</f>
        <v>4.7220543806646531E-2</v>
      </c>
      <c r="B119" s="6">
        <f>IF('Cleaned MLB Stats Dataset'!A311="Pre-Moneyball",'Cleaned MLB Stats Dataset'!AD311,NA())</f>
        <v>1.8619335347432042E-2</v>
      </c>
      <c r="C119" s="6">
        <f>IF('Cleaned MLB Stats Dataset'!A119="Moneyball era", 'Cleaned MLB Stats Dataset'!AB119, NA())</f>
        <v>1.2984917043740551E-2</v>
      </c>
      <c r="D119" s="6">
        <f>IF('Cleaned MLB Stats Dataset'!A119="Moneyball era", 'Cleaned MLB Stats Dataset'!AD119, NA())</f>
        <v>-3.3467571644042238E-2</v>
      </c>
    </row>
    <row r="120" spans="1:4" x14ac:dyDescent="0.2">
      <c r="A120" s="6">
        <f>IF('Cleaned MLB Stats Dataset'!A312="Pre-Moneyball",'Cleaned MLB Stats Dataset'!AB312,NA())</f>
        <v>2.9296296296296265E-2</v>
      </c>
      <c r="B120" s="6">
        <f>IF('Cleaned MLB Stats Dataset'!A312="Pre-Moneyball",'Cleaned MLB Stats Dataset'!AD312,NA())</f>
        <v>0.15844107744107744</v>
      </c>
      <c r="C120" s="6">
        <f>IF('Cleaned MLB Stats Dataset'!A120="Moneyball era", 'Cleaned MLB Stats Dataset'!AB120, NA())</f>
        <v>9.4747747747747746E-2</v>
      </c>
      <c r="D120" s="6">
        <f>IF('Cleaned MLB Stats Dataset'!A120="Moneyball era", 'Cleaned MLB Stats Dataset'!AD120, NA())</f>
        <v>0.24003603603603607</v>
      </c>
    </row>
    <row r="121" spans="1:4" x14ac:dyDescent="0.2">
      <c r="A121" s="6">
        <f>IF('Cleaned MLB Stats Dataset'!A313="Pre-Moneyball",'Cleaned MLB Stats Dataset'!AB313,NA())</f>
        <v>8.1249999999999933E-3</v>
      </c>
      <c r="B121" s="6">
        <f>IF('Cleaned MLB Stats Dataset'!A313="Pre-Moneyball",'Cleaned MLB Stats Dataset'!AD313,NA())</f>
        <v>3.862500000000002E-2</v>
      </c>
      <c r="C121" s="6">
        <f>IF('Cleaned MLB Stats Dataset'!A121="Moneyball era", 'Cleaned MLB Stats Dataset'!AB121, NA())</f>
        <v>4.6765650080256793E-2</v>
      </c>
      <c r="D121" s="6">
        <f>IF('Cleaned MLB Stats Dataset'!A121="Moneyball era", 'Cleaned MLB Stats Dataset'!AD121, NA())</f>
        <v>0.13390529695024078</v>
      </c>
    </row>
    <row r="122" spans="1:4" x14ac:dyDescent="0.2">
      <c r="A122" s="6">
        <f>IF('Cleaned MLB Stats Dataset'!A314="Pre-Moneyball",'Cleaned MLB Stats Dataset'!AB314,NA())</f>
        <v>3.3412698412698394E-2</v>
      </c>
      <c r="B122" s="6">
        <f>IF('Cleaned MLB Stats Dataset'!A314="Pre-Moneyball",'Cleaned MLB Stats Dataset'!AD314,NA())</f>
        <v>3.5095238095238068E-2</v>
      </c>
      <c r="C122" s="6">
        <f>IF('Cleaned MLB Stats Dataset'!A122="Moneyball era", 'Cleaned MLB Stats Dataset'!AB122, NA())</f>
        <v>5.4378716744913902E-2</v>
      </c>
      <c r="D122" s="6">
        <f>IF('Cleaned MLB Stats Dataset'!A122="Moneyball era", 'Cleaned MLB Stats Dataset'!AD122, NA())</f>
        <v>2.9269170579029724E-2</v>
      </c>
    </row>
    <row r="123" spans="1:4" x14ac:dyDescent="0.2">
      <c r="A123" s="6">
        <f>IF('Cleaned MLB Stats Dataset'!A315="Pre-Moneyball",'Cleaned MLB Stats Dataset'!AB315,NA())</f>
        <v>2.9186991869918355E-3</v>
      </c>
      <c r="B123" s="6">
        <f>IF('Cleaned MLB Stats Dataset'!A315="Pre-Moneyball",'Cleaned MLB Stats Dataset'!AD315,NA())</f>
        <v>-1.7373983739837395E-2</v>
      </c>
      <c r="C123" s="6">
        <f>IF('Cleaned MLB Stats Dataset'!A123="Moneyball era", 'Cleaned MLB Stats Dataset'!AB123, NA())</f>
        <v>2.6379471228615836E-2</v>
      </c>
      <c r="D123" s="6">
        <f>IF('Cleaned MLB Stats Dataset'!A123="Moneyball era", 'Cleaned MLB Stats Dataset'!AD123, NA())</f>
        <v>4.3228615863141528E-2</v>
      </c>
    </row>
    <row r="124" spans="1:4" x14ac:dyDescent="0.2">
      <c r="A124" s="6">
        <f>IF('Cleaned MLB Stats Dataset'!A316="Pre-Moneyball",'Cleaned MLB Stats Dataset'!AB316,NA())</f>
        <v>2.9573643410852724E-2</v>
      </c>
      <c r="B124" s="6">
        <f>IF('Cleaned MLB Stats Dataset'!A316="Pre-Moneyball",'Cleaned MLB Stats Dataset'!AD316,NA())</f>
        <v>6.9868217054263548E-2</v>
      </c>
      <c r="C124" s="6">
        <f>IF('Cleaned MLB Stats Dataset'!A124="Moneyball era", 'Cleaned MLB Stats Dataset'!AB124, NA())</f>
        <v>5.7599681020733651E-2</v>
      </c>
      <c r="D124" s="6">
        <f>IF('Cleaned MLB Stats Dataset'!A124="Moneyball era", 'Cleaned MLB Stats Dataset'!AD124, NA())</f>
        <v>0.14523923444976072</v>
      </c>
    </row>
    <row r="125" spans="1:4" x14ac:dyDescent="0.2">
      <c r="A125" s="6">
        <f>IF('Cleaned MLB Stats Dataset'!A317="Pre-Moneyball",'Cleaned MLB Stats Dataset'!AB317,NA())</f>
        <v>1.6312925170067993E-2</v>
      </c>
      <c r="B125" s="6">
        <f>IF('Cleaned MLB Stats Dataset'!A317="Pre-Moneyball",'Cleaned MLB Stats Dataset'!AD317,NA())</f>
        <v>-1.6326530612244539E-3</v>
      </c>
      <c r="C125" s="6">
        <f>IF('Cleaned MLB Stats Dataset'!A125="Moneyball era", 'Cleaned MLB Stats Dataset'!AB125, NA())</f>
        <v>5.3571428571428548E-2</v>
      </c>
      <c r="D125" s="6">
        <f>IF('Cleaned MLB Stats Dataset'!A125="Moneyball era", 'Cleaned MLB Stats Dataset'!AD125, NA())</f>
        <v>0.15528571428571425</v>
      </c>
    </row>
    <row r="126" spans="1:4" x14ac:dyDescent="0.2">
      <c r="A126" s="6">
        <f>IF('Cleaned MLB Stats Dataset'!A318="Pre-Moneyball",'Cleaned MLB Stats Dataset'!AB318,NA())</f>
        <v>4.2499999999999982E-2</v>
      </c>
      <c r="B126" s="6">
        <f>IF('Cleaned MLB Stats Dataset'!A318="Pre-Moneyball",'Cleaned MLB Stats Dataset'!AD318,NA())</f>
        <v>0.10725000000000001</v>
      </c>
      <c r="C126" s="6">
        <f>IF('Cleaned MLB Stats Dataset'!A126="Moneyball era", 'Cleaned MLB Stats Dataset'!AB126, NA())</f>
        <v>-1.2936507936507941E-2</v>
      </c>
      <c r="D126" s="6">
        <f>IF('Cleaned MLB Stats Dataset'!A126="Moneyball era", 'Cleaned MLB Stats Dataset'!AD126, NA())</f>
        <v>-2.1746031746032179E-3</v>
      </c>
    </row>
    <row r="127" spans="1:4" x14ac:dyDescent="0.2">
      <c r="A127" s="6">
        <f>IF('Cleaned MLB Stats Dataset'!A319="Pre-Moneyball",'Cleaned MLB Stats Dataset'!AB319,NA())</f>
        <v>2.7520661157024784E-2</v>
      </c>
      <c r="B127" s="6">
        <f>IF('Cleaned MLB Stats Dataset'!A319="Pre-Moneyball",'Cleaned MLB Stats Dataset'!AD319,NA())</f>
        <v>6.3603305785123965E-2</v>
      </c>
      <c r="C127" s="6">
        <f>IF('Cleaned MLB Stats Dataset'!A127="Moneyball era", 'Cleaned MLB Stats Dataset'!AB127, NA())</f>
        <v>2.5330922242314646E-2</v>
      </c>
      <c r="D127" s="6">
        <f>IF('Cleaned MLB Stats Dataset'!A127="Moneyball era", 'Cleaned MLB Stats Dataset'!AD127, NA())</f>
        <v>9.2754068716094096E-2</v>
      </c>
    </row>
    <row r="128" spans="1:4" x14ac:dyDescent="0.2">
      <c r="A128" s="6">
        <f>IF('Cleaned MLB Stats Dataset'!A320="Pre-Moneyball",'Cleaned MLB Stats Dataset'!AB320,NA())</f>
        <v>1.7603305785123924E-2</v>
      </c>
      <c r="B128" s="6">
        <f>IF('Cleaned MLB Stats Dataset'!A320="Pre-Moneyball",'Cleaned MLB Stats Dataset'!AD320,NA())</f>
        <v>-1.2123966942148734E-2</v>
      </c>
      <c r="C128" s="6">
        <f>IF('Cleaned MLB Stats Dataset'!A128="Moneyball era", 'Cleaned MLB Stats Dataset'!AB128, NA())</f>
        <v>2.7828282828282813E-2</v>
      </c>
      <c r="D128" s="6">
        <f>IF('Cleaned MLB Stats Dataset'!A128="Moneyball era", 'Cleaned MLB Stats Dataset'!AD128, NA())</f>
        <v>4.1969696969696935E-2</v>
      </c>
    </row>
    <row r="129" spans="1:4" x14ac:dyDescent="0.2">
      <c r="A129" s="6">
        <f>IF('Cleaned MLB Stats Dataset'!A321="Pre-Moneyball",'Cleaned MLB Stats Dataset'!AB321,NA())</f>
        <v>5.3569536423841047E-2</v>
      </c>
      <c r="B129" s="6">
        <f>IF('Cleaned MLB Stats Dataset'!A321="Pre-Moneyball",'Cleaned MLB Stats Dataset'!AD321,NA())</f>
        <v>7.3066225165562937E-2</v>
      </c>
      <c r="C129" s="6">
        <f>IF('Cleaned MLB Stats Dataset'!A129="Moneyball era", 'Cleaned MLB Stats Dataset'!AB129, NA())</f>
        <v>2.3923753665689163E-2</v>
      </c>
      <c r="D129" s="6">
        <f>IF('Cleaned MLB Stats Dataset'!A129="Moneyball era", 'Cleaned MLB Stats Dataset'!AD129, NA())</f>
        <v>8.0533724340175972E-2</v>
      </c>
    </row>
    <row r="130" spans="1:4" x14ac:dyDescent="0.2">
      <c r="A130" s="6">
        <f>IF('Cleaned MLB Stats Dataset'!A322="Pre-Moneyball",'Cleaned MLB Stats Dataset'!AB322,NA())</f>
        <v>3.8447552447552436E-2</v>
      </c>
      <c r="B130" s="6">
        <f>IF('Cleaned MLB Stats Dataset'!A322="Pre-Moneyball",'Cleaned MLB Stats Dataset'!AD322,NA())</f>
        <v>4.5027972027972041E-2</v>
      </c>
      <c r="C130" s="6">
        <f>IF('Cleaned MLB Stats Dataset'!A130="Moneyball era", 'Cleaned MLB Stats Dataset'!AB130, NA())</f>
        <v>3.3782324058919788E-2</v>
      </c>
      <c r="D130" s="6">
        <f>IF('Cleaned MLB Stats Dataset'!A130="Moneyball era", 'Cleaned MLB Stats Dataset'!AD130, NA())</f>
        <v>0.10973486088379708</v>
      </c>
    </row>
    <row r="131" spans="1:4" x14ac:dyDescent="0.2">
      <c r="A131" s="6">
        <f>IF('Cleaned MLB Stats Dataset'!A323="Pre-Moneyball",'Cleaned MLB Stats Dataset'!AB323,NA())</f>
        <v>0.1079954337899543</v>
      </c>
      <c r="B131" s="6">
        <f>IF('Cleaned MLB Stats Dataset'!A323="Pre-Moneyball",'Cleaned MLB Stats Dataset'!AD323,NA())</f>
        <v>0.27604566210045661</v>
      </c>
      <c r="C131" s="6">
        <f>IF('Cleaned MLB Stats Dataset'!A131="Moneyball era", 'Cleaned MLB Stats Dataset'!AB131, NA())</f>
        <v>2.3642140468227435E-2</v>
      </c>
      <c r="D131" s="6">
        <f>IF('Cleaned MLB Stats Dataset'!A131="Moneyball era", 'Cleaned MLB Stats Dataset'!AD131, NA())</f>
        <v>4.4548494983277509E-3</v>
      </c>
    </row>
    <row r="132" spans="1:4" x14ac:dyDescent="0.2">
      <c r="A132" s="6">
        <f>IF('Cleaned MLB Stats Dataset'!A324="Pre-Moneyball",'Cleaned MLB Stats Dataset'!AB324,NA())</f>
        <v>5.2146422628951417E-3</v>
      </c>
      <c r="B132" s="6">
        <f>IF('Cleaned MLB Stats Dataset'!A324="Pre-Moneyball",'Cleaned MLB Stats Dataset'!AD324,NA())</f>
        <v>-3.0648918469217967E-2</v>
      </c>
      <c r="C132" s="6">
        <f>IF('Cleaned MLB Stats Dataset'!A132="Moneyball era", 'Cleaned MLB Stats Dataset'!AB132, NA())</f>
        <v>5.0178631051752909E-2</v>
      </c>
      <c r="D132" s="6">
        <f>IF('Cleaned MLB Stats Dataset'!A132="Moneyball era", 'Cleaned MLB Stats Dataset'!AD132, NA())</f>
        <v>5.6098497495826349E-2</v>
      </c>
    </row>
    <row r="133" spans="1:4" x14ac:dyDescent="0.2">
      <c r="A133" s="6">
        <f>IF('Cleaned MLB Stats Dataset'!A325="Pre-Moneyball",'Cleaned MLB Stats Dataset'!AB325,NA())</f>
        <v>5.2893805309734476E-2</v>
      </c>
      <c r="B133" s="6">
        <f>IF('Cleaned MLB Stats Dataset'!A325="Pre-Moneyball",'Cleaned MLB Stats Dataset'!AD325,NA())</f>
        <v>0.19608849557522129</v>
      </c>
      <c r="C133" s="6">
        <f>IF('Cleaned MLB Stats Dataset'!A133="Moneyball era", 'Cleaned MLB Stats Dataset'!AB133, NA())</f>
        <v>6.2901234567901254E-2</v>
      </c>
      <c r="D133" s="6">
        <f>IF('Cleaned MLB Stats Dataset'!A133="Moneyball era", 'Cleaned MLB Stats Dataset'!AD133, NA())</f>
        <v>0.20611111111111113</v>
      </c>
    </row>
    <row r="134" spans="1:4" x14ac:dyDescent="0.2">
      <c r="A134" s="6">
        <f>IF('Cleaned MLB Stats Dataset'!A326="Pre-Moneyball",'Cleaned MLB Stats Dataset'!AB326,NA())</f>
        <v>6.0666666666666647E-2</v>
      </c>
      <c r="B134" s="6">
        <f>IF('Cleaned MLB Stats Dataset'!A326="Pre-Moneyball",'Cleaned MLB Stats Dataset'!AD326,NA())</f>
        <v>0.12433333333333335</v>
      </c>
      <c r="C134" s="6">
        <f>IF('Cleaned MLB Stats Dataset'!A134="Moneyball era", 'Cleaned MLB Stats Dataset'!AB134, NA())</f>
        <v>4.6675977653631295E-2</v>
      </c>
      <c r="D134" s="6">
        <f>IF('Cleaned MLB Stats Dataset'!A134="Moneyball era", 'Cleaned MLB Stats Dataset'!AD134, NA())</f>
        <v>0.14476163873370573</v>
      </c>
    </row>
    <row r="135" spans="1:4" x14ac:dyDescent="0.2">
      <c r="A135" s="6">
        <f>IF('Cleaned MLB Stats Dataset'!A327="Pre-Moneyball",'Cleaned MLB Stats Dataset'!AB327,NA())</f>
        <v>4.6628701594533029E-2</v>
      </c>
      <c r="B135" s="6">
        <f>IF('Cleaned MLB Stats Dataset'!A327="Pre-Moneyball",'Cleaned MLB Stats Dataset'!AD327,NA())</f>
        <v>0.11586332574031893</v>
      </c>
      <c r="C135" s="6">
        <f>IF('Cleaned MLB Stats Dataset'!A135="Moneyball era", 'Cleaned MLB Stats Dataset'!AB135, NA())</f>
        <v>4.9725490196078415E-2</v>
      </c>
      <c r="D135" s="6">
        <f>IF('Cleaned MLB Stats Dataset'!A135="Moneyball era", 'Cleaned MLB Stats Dataset'!AD135, NA())</f>
        <v>9.6151515151515154E-2</v>
      </c>
    </row>
    <row r="136" spans="1:4" x14ac:dyDescent="0.2">
      <c r="A136" s="6">
        <f>IF('Cleaned MLB Stats Dataset'!A328="Pre-Moneyball",'Cleaned MLB Stats Dataset'!AB328,NA())</f>
        <v>7.4504885993485315E-2</v>
      </c>
      <c r="B136" s="6">
        <f>IF('Cleaned MLB Stats Dataset'!A328="Pre-Moneyball",'Cleaned MLB Stats Dataset'!AD328,NA())</f>
        <v>0.17583387622149843</v>
      </c>
      <c r="C136" s="6">
        <f>IF('Cleaned MLB Stats Dataset'!A136="Moneyball era", 'Cleaned MLB Stats Dataset'!AB136, NA())</f>
        <v>3.6335570469798628E-2</v>
      </c>
      <c r="D136" s="6">
        <f>IF('Cleaned MLB Stats Dataset'!A136="Moneyball era", 'Cleaned MLB Stats Dataset'!AD136, NA())</f>
        <v>-8.281879194630859E-3</v>
      </c>
    </row>
    <row r="137" spans="1:4" x14ac:dyDescent="0.2">
      <c r="A137" s="6">
        <f>IF('Cleaned MLB Stats Dataset'!A329="Pre-Moneyball",'Cleaned MLB Stats Dataset'!AB329,NA())</f>
        <v>6.097623089983023E-2</v>
      </c>
      <c r="B137" s="6">
        <f>IF('Cleaned MLB Stats Dataset'!A329="Pre-Moneyball",'Cleaned MLB Stats Dataset'!AD329,NA())</f>
        <v>8.9359932088285188E-2</v>
      </c>
      <c r="C137" s="6">
        <f>IF('Cleaned MLB Stats Dataset'!A137="Moneyball era", 'Cleaned MLB Stats Dataset'!AB137, NA())</f>
        <v>6.6192052980132421E-2</v>
      </c>
      <c r="D137" s="6">
        <f>IF('Cleaned MLB Stats Dataset'!A137="Moneyball era", 'Cleaned MLB Stats Dataset'!AD137, NA())</f>
        <v>0.15625827814569537</v>
      </c>
    </row>
    <row r="138" spans="1:4" x14ac:dyDescent="0.2">
      <c r="A138" s="6">
        <f>IF('Cleaned MLB Stats Dataset'!A330="Pre-Moneyball",'Cleaned MLB Stats Dataset'!AB330,NA())</f>
        <v>6.6761006289308145E-2</v>
      </c>
      <c r="B138" s="6">
        <f>IF('Cleaned MLB Stats Dataset'!A330="Pre-Moneyball",'Cleaned MLB Stats Dataset'!AD330,NA())</f>
        <v>0.10643396226415092</v>
      </c>
      <c r="C138" s="6">
        <f>IF('Cleaned MLB Stats Dataset'!A138="Moneyball era", 'Cleaned MLB Stats Dataset'!AB138, NA())</f>
        <v>7.2384858044164002E-2</v>
      </c>
      <c r="D138" s="6">
        <f>IF('Cleaned MLB Stats Dataset'!A138="Moneyball era", 'Cleaned MLB Stats Dataset'!AD138, NA())</f>
        <v>4.7299684542586762E-2</v>
      </c>
    </row>
    <row r="139" spans="1:4" x14ac:dyDescent="0.2">
      <c r="A139" s="6">
        <f>IF('Cleaned MLB Stats Dataset'!A331="Pre-Moneyball",'Cleaned MLB Stats Dataset'!AB331,NA())</f>
        <v>-5.1818181818181763E-3</v>
      </c>
      <c r="B139" s="6">
        <f>IF('Cleaned MLB Stats Dataset'!A331="Pre-Moneyball",'Cleaned MLB Stats Dataset'!AD331,NA())</f>
        <v>4.8181818181818326E-3</v>
      </c>
      <c r="C139" s="6">
        <f>IF('Cleaned MLB Stats Dataset'!A139="Moneyball era", 'Cleaned MLB Stats Dataset'!AB139, NA())</f>
        <v>9.1405228758169921E-2</v>
      </c>
      <c r="D139" s="6">
        <f>IF('Cleaned MLB Stats Dataset'!A139="Moneyball era", 'Cleaned MLB Stats Dataset'!AD139, NA())</f>
        <v>0.11133986928104578</v>
      </c>
    </row>
    <row r="140" spans="1:4" x14ac:dyDescent="0.2">
      <c r="A140" s="6">
        <f>IF('Cleaned MLB Stats Dataset'!A332="Pre-Moneyball",'Cleaned MLB Stats Dataset'!AB332,NA())</f>
        <v>9.7976406533575311E-2</v>
      </c>
      <c r="B140" s="6">
        <f>IF('Cleaned MLB Stats Dataset'!A332="Pre-Moneyball",'Cleaned MLB Stats Dataset'!AD332,NA())</f>
        <v>0.19591107078039927</v>
      </c>
      <c r="C140" s="6">
        <f>IF('Cleaned MLB Stats Dataset'!A140="Moneyball era", 'Cleaned MLB Stats Dataset'!AB140, NA())</f>
        <v>6.104958677685951E-2</v>
      </c>
      <c r="D140" s="6">
        <f>IF('Cleaned MLB Stats Dataset'!A140="Moneyball era", 'Cleaned MLB Stats Dataset'!AD140, NA())</f>
        <v>0.11970247933884293</v>
      </c>
    </row>
    <row r="141" spans="1:4" x14ac:dyDescent="0.2">
      <c r="A141" s="6">
        <f>IF('Cleaned MLB Stats Dataset'!A333="Pre-Moneyball",'Cleaned MLB Stats Dataset'!AB333,NA())</f>
        <v>-3.2204724409449215E-3</v>
      </c>
      <c r="B141" s="6">
        <f>IF('Cleaned MLB Stats Dataset'!A333="Pre-Moneyball",'Cleaned MLB Stats Dataset'!AD333,NA())</f>
        <v>-6.2669291338582678E-2</v>
      </c>
      <c r="C141" s="6">
        <f>IF('Cleaned MLB Stats Dataset'!A141="Moneyball era", 'Cleaned MLB Stats Dataset'!AB141, NA())</f>
        <v>5.8253012048192776E-2</v>
      </c>
      <c r="D141" s="6">
        <f>IF('Cleaned MLB Stats Dataset'!A141="Moneyball era", 'Cleaned MLB Stats Dataset'!AD141, NA())</f>
        <v>0.12339931153184158</v>
      </c>
    </row>
    <row r="142" spans="1:4" x14ac:dyDescent="0.2">
      <c r="A142" s="6">
        <f>IF('Cleaned MLB Stats Dataset'!A334="Pre-Moneyball",'Cleaned MLB Stats Dataset'!AB334,NA())</f>
        <v>5.8231292517006761E-2</v>
      </c>
      <c r="B142" s="6">
        <f>IF('Cleaned MLB Stats Dataset'!A334="Pre-Moneyball",'Cleaned MLB Stats Dataset'!AD334,NA())</f>
        <v>0.10021088435374154</v>
      </c>
      <c r="C142" s="6">
        <f>IF('Cleaned MLB Stats Dataset'!A142="Moneyball era", 'Cleaned MLB Stats Dataset'!AB142, NA())</f>
        <v>2.331942215088284E-2</v>
      </c>
      <c r="D142" s="6">
        <f>IF('Cleaned MLB Stats Dataset'!A142="Moneyball era", 'Cleaned MLB Stats Dataset'!AD142, NA())</f>
        <v>1.2991974317817012E-2</v>
      </c>
    </row>
    <row r="143" spans="1:4" x14ac:dyDescent="0.2">
      <c r="A143" s="6">
        <f>IF('Cleaned MLB Stats Dataset'!A335="Pre-Moneyball",'Cleaned MLB Stats Dataset'!AB335,NA())</f>
        <v>6.5524271844660198E-2</v>
      </c>
      <c r="B143" s="6">
        <f>IF('Cleaned MLB Stats Dataset'!A335="Pre-Moneyball",'Cleaned MLB Stats Dataset'!AD335,NA())</f>
        <v>8.1000000000000016E-2</v>
      </c>
      <c r="C143" s="6">
        <f>IF('Cleaned MLB Stats Dataset'!A143="Moneyball era", 'Cleaned MLB Stats Dataset'!AB143, NA())</f>
        <v>2.068941979522182E-2</v>
      </c>
      <c r="D143" s="6">
        <f>IF('Cleaned MLB Stats Dataset'!A143="Moneyball era", 'Cleaned MLB Stats Dataset'!AD143, NA())</f>
        <v>-2.697610921501703E-2</v>
      </c>
    </row>
    <row r="144" spans="1:4" x14ac:dyDescent="0.2">
      <c r="A144" s="6">
        <f>IF('Cleaned MLB Stats Dataset'!A336="Pre-Moneyball",'Cleaned MLB Stats Dataset'!AB336,NA())</f>
        <v>4.0880829015544018E-2</v>
      </c>
      <c r="B144" s="6">
        <f>IF('Cleaned MLB Stats Dataset'!A336="Pre-Moneyball",'Cleaned MLB Stats Dataset'!AD336,NA())</f>
        <v>0.12949395509499134</v>
      </c>
      <c r="C144" s="6">
        <f>IF('Cleaned MLB Stats Dataset'!A144="Moneyball era", 'Cleaned MLB Stats Dataset'!AB144, NA())</f>
        <v>5.1047021943573634E-2</v>
      </c>
      <c r="D144" s="6">
        <f>IF('Cleaned MLB Stats Dataset'!A144="Moneyball era", 'Cleaned MLB Stats Dataset'!AD144, NA())</f>
        <v>0.11875235109717869</v>
      </c>
    </row>
    <row r="145" spans="1:4" x14ac:dyDescent="0.2">
      <c r="A145" s="6">
        <f>IF('Cleaned MLB Stats Dataset'!A337="Pre-Moneyball",'Cleaned MLB Stats Dataset'!AB337,NA())</f>
        <v>3.5845528455284548E-2</v>
      </c>
      <c r="B145" s="6">
        <f>IF('Cleaned MLB Stats Dataset'!A337="Pre-Moneyball",'Cleaned MLB Stats Dataset'!AD337,NA())</f>
        <v>3.2186991869918691E-2</v>
      </c>
      <c r="C145" s="6">
        <f>IF('Cleaned MLB Stats Dataset'!A145="Moneyball era", 'Cleaned MLB Stats Dataset'!AB145, NA())</f>
        <v>6.1251830161054177E-2</v>
      </c>
      <c r="D145" s="6">
        <f>IF('Cleaned MLB Stats Dataset'!A145="Moneyball era", 'Cleaned MLB Stats Dataset'!AD145, NA())</f>
        <v>2.398975109809659E-2</v>
      </c>
    </row>
    <row r="146" spans="1:4" x14ac:dyDescent="0.2">
      <c r="A146" s="6">
        <f>IF('Cleaned MLB Stats Dataset'!A338="Pre-Moneyball",'Cleaned MLB Stats Dataset'!AB338,NA())</f>
        <v>4.2771309771309773E-2</v>
      </c>
      <c r="B146" s="6">
        <f>IF('Cleaned MLB Stats Dataset'!A338="Pre-Moneyball",'Cleaned MLB Stats Dataset'!AD338,NA())</f>
        <v>3.6222453222453266E-2</v>
      </c>
      <c r="C146" s="6">
        <f>IF('Cleaned MLB Stats Dataset'!A146="Moneyball era", 'Cleaned MLB Stats Dataset'!AB146, NA())</f>
        <v>3.8375809935205174E-2</v>
      </c>
      <c r="D146" s="6">
        <f>IF('Cleaned MLB Stats Dataset'!A146="Moneyball era", 'Cleaned MLB Stats Dataset'!AD146, NA())</f>
        <v>0.14903455723542119</v>
      </c>
    </row>
    <row r="147" spans="1:4" x14ac:dyDescent="0.2">
      <c r="A147" s="6">
        <f>IF('Cleaned MLB Stats Dataset'!A339="Pre-Moneyball",'Cleaned MLB Stats Dataset'!AB339,NA())</f>
        <v>5.6913043478260872E-2</v>
      </c>
      <c r="B147" s="6">
        <f>IF('Cleaned MLB Stats Dataset'!A339="Pre-Moneyball",'Cleaned MLB Stats Dataset'!AD339,NA())</f>
        <v>4.7391304347826346E-3</v>
      </c>
      <c r="C147" s="6">
        <f>IF('Cleaned MLB Stats Dataset'!A147="Moneyball era", 'Cleaned MLB Stats Dataset'!AB147, NA())</f>
        <v>4.0281345565749249E-2</v>
      </c>
      <c r="D147" s="6">
        <f>IF('Cleaned MLB Stats Dataset'!A147="Moneyball era", 'Cleaned MLB Stats Dataset'!AD147, NA())</f>
        <v>9.629051987767584E-2</v>
      </c>
    </row>
    <row r="148" spans="1:4" x14ac:dyDescent="0.2">
      <c r="A148" s="6">
        <f>IF('Cleaned MLB Stats Dataset'!A340="Pre-Moneyball",'Cleaned MLB Stats Dataset'!AB340,NA())</f>
        <v>3.6122448979591826E-2</v>
      </c>
      <c r="B148" s="6">
        <f>IF('Cleaned MLB Stats Dataset'!A340="Pre-Moneyball",'Cleaned MLB Stats Dataset'!AD340,NA())</f>
        <v>2.7530612244897945E-2</v>
      </c>
      <c r="C148" s="6">
        <f>IF('Cleaned MLB Stats Dataset'!A148="Moneyball era", 'Cleaned MLB Stats Dataset'!AB148, NA())</f>
        <v>5.7705882352941162E-2</v>
      </c>
      <c r="D148" s="6">
        <f>IF('Cleaned MLB Stats Dataset'!A148="Moneyball era", 'Cleaned MLB Stats Dataset'!AD148, NA())</f>
        <v>-8.8823529411765079E-3</v>
      </c>
    </row>
    <row r="149" spans="1:4" x14ac:dyDescent="0.2">
      <c r="A149" s="6">
        <f>IF('Cleaned MLB Stats Dataset'!A341="Pre-Moneyball",'Cleaned MLB Stats Dataset'!AB341,NA())</f>
        <v>4.2020460358056233E-2</v>
      </c>
      <c r="B149" s="6">
        <f>IF('Cleaned MLB Stats Dataset'!A341="Pre-Moneyball",'Cleaned MLB Stats Dataset'!AD341,NA())</f>
        <v>0.22305882352941181</v>
      </c>
      <c r="C149" s="6">
        <f>IF('Cleaned MLB Stats Dataset'!A149="Moneyball era", 'Cleaned MLB Stats Dataset'!AB149, NA())</f>
        <v>9.5025210084033584E-2</v>
      </c>
      <c r="D149" s="6">
        <f>IF('Cleaned MLB Stats Dataset'!A149="Moneyball era", 'Cleaned MLB Stats Dataset'!AD149, NA())</f>
        <v>0.17195798319327732</v>
      </c>
    </row>
    <row r="150" spans="1:4" x14ac:dyDescent="0.2">
      <c r="A150" s="6">
        <f>IF('Cleaned MLB Stats Dataset'!A342="Pre-Moneyball",'Cleaned MLB Stats Dataset'!AB342,NA())</f>
        <v>6.9361445783132525E-2</v>
      </c>
      <c r="B150" s="6">
        <f>IF('Cleaned MLB Stats Dataset'!A342="Pre-Moneyball",'Cleaned MLB Stats Dataset'!AD342,NA())</f>
        <v>0.15033734939759041</v>
      </c>
      <c r="C150" s="6">
        <f>IF('Cleaned MLB Stats Dataset'!A150="Moneyball era", 'Cleaned MLB Stats Dataset'!AB150, NA())</f>
        <v>0.10046469248291573</v>
      </c>
      <c r="D150" s="6">
        <f>IF('Cleaned MLB Stats Dataset'!A150="Moneyball era", 'Cleaned MLB Stats Dataset'!AD150, NA())</f>
        <v>0.15803189066059226</v>
      </c>
    </row>
    <row r="151" spans="1:4" x14ac:dyDescent="0.2">
      <c r="A151" s="6">
        <f>IF('Cleaned MLB Stats Dataset'!A343="Pre-Moneyball",'Cleaned MLB Stats Dataset'!AB343,NA())</f>
        <v>5.1548387096774173E-2</v>
      </c>
      <c r="B151" s="6">
        <f>IF('Cleaned MLB Stats Dataset'!A343="Pre-Moneyball",'Cleaned MLB Stats Dataset'!AD343,NA())</f>
        <v>7.4935483870967767E-2</v>
      </c>
      <c r="C151" s="6">
        <f>IF('Cleaned MLB Stats Dataset'!A151="Moneyball era", 'Cleaned MLB Stats Dataset'!AB151, NA())</f>
        <v>8.4705882352941186E-3</v>
      </c>
      <c r="D151" s="6">
        <f>IF('Cleaned MLB Stats Dataset'!A151="Moneyball era", 'Cleaned MLB Stats Dataset'!AD151, NA())</f>
        <v>0.14170588235294118</v>
      </c>
    </row>
    <row r="152" spans="1:4" x14ac:dyDescent="0.2">
      <c r="A152" s="6">
        <f>IF('Cleaned MLB Stats Dataset'!A344="Pre-Moneyball",'Cleaned MLB Stats Dataset'!AB344,NA())</f>
        <v>6.0483771251931995E-2</v>
      </c>
      <c r="B152" s="6">
        <f>IF('Cleaned MLB Stats Dataset'!A344="Pre-Moneyball",'Cleaned MLB Stats Dataset'!AD344,NA())</f>
        <v>8.0386398763523936E-3</v>
      </c>
      <c r="C152" s="6">
        <f>IF('Cleaned MLB Stats Dataset'!A152="Moneyball era", 'Cleaned MLB Stats Dataset'!AB152, NA())</f>
        <v>9.8951747088186215E-3</v>
      </c>
      <c r="D152" s="6">
        <f>IF('Cleaned MLB Stats Dataset'!A152="Moneyball era", 'Cleaned MLB Stats Dataset'!AD152, NA())</f>
        <v>3.6612312811980019E-2</v>
      </c>
    </row>
    <row r="153" spans="1:4" x14ac:dyDescent="0.2">
      <c r="A153" s="6">
        <f>IF('Cleaned MLB Stats Dataset'!A345="Pre-Moneyball",'Cleaned MLB Stats Dataset'!AB345,NA())</f>
        <v>4.5315315315315297E-2</v>
      </c>
      <c r="B153" s="6">
        <f>IF('Cleaned MLB Stats Dataset'!A345="Pre-Moneyball",'Cleaned MLB Stats Dataset'!AD345,NA())</f>
        <v>3.5459459459459497E-2</v>
      </c>
      <c r="C153" s="6">
        <f>IF('Cleaned MLB Stats Dataset'!A153="Moneyball era", 'Cleaned MLB Stats Dataset'!AB153, NA())</f>
        <v>6.2488817891373782E-2</v>
      </c>
      <c r="D153" s="6">
        <f>IF('Cleaned MLB Stats Dataset'!A153="Moneyball era", 'Cleaned MLB Stats Dataset'!AD153, NA())</f>
        <v>0.13054632587859427</v>
      </c>
    </row>
    <row r="154" spans="1:4" x14ac:dyDescent="0.2">
      <c r="A154" s="6">
        <f>IF('Cleaned MLB Stats Dataset'!A346="Pre-Moneyball",'Cleaned MLB Stats Dataset'!AB346,NA())</f>
        <v>2.7872340425531883E-2</v>
      </c>
      <c r="B154" s="6">
        <f>IF('Cleaned MLB Stats Dataset'!A346="Pre-Moneyball",'Cleaned MLB Stats Dataset'!AD346,NA())</f>
        <v>0.13973114119922631</v>
      </c>
      <c r="C154" s="6">
        <f>IF('Cleaned MLB Stats Dataset'!A154="Moneyball era", 'Cleaned MLB Stats Dataset'!AB154, NA())</f>
        <v>7.0601307189542495E-2</v>
      </c>
      <c r="D154" s="6">
        <f>IF('Cleaned MLB Stats Dataset'!A154="Moneyball era", 'Cleaned MLB Stats Dataset'!AD154, NA())</f>
        <v>0.1700392156862745</v>
      </c>
    </row>
    <row r="155" spans="1:4" x14ac:dyDescent="0.2">
      <c r="A155" s="6">
        <f>IF('Cleaned MLB Stats Dataset'!A347="Pre-Moneyball",'Cleaned MLB Stats Dataset'!AB347,NA())</f>
        <v>2.2310463121783863E-2</v>
      </c>
      <c r="B155" s="6">
        <f>IF('Cleaned MLB Stats Dataset'!A347="Pre-Moneyball",'Cleaned MLB Stats Dataset'!AD347,NA())</f>
        <v>-1.3759862778730703E-2</v>
      </c>
      <c r="C155" s="6">
        <f>IF('Cleaned MLB Stats Dataset'!A155="Moneyball era", 'Cleaned MLB Stats Dataset'!AB155, NA())</f>
        <v>5.475468483816015E-2</v>
      </c>
      <c r="D155" s="6">
        <f>IF('Cleaned MLB Stats Dataset'!A155="Moneyball era", 'Cleaned MLB Stats Dataset'!AD155, NA())</f>
        <v>0.19325212947189097</v>
      </c>
    </row>
    <row r="156" spans="1:4" x14ac:dyDescent="0.2">
      <c r="A156" s="6">
        <f>IF('Cleaned MLB Stats Dataset'!A348="Pre-Moneyball",'Cleaned MLB Stats Dataset'!AB348,NA())</f>
        <v>-7.5897035881435371E-3</v>
      </c>
      <c r="B156" s="6">
        <f>IF('Cleaned MLB Stats Dataset'!A348="Pre-Moneyball",'Cleaned MLB Stats Dataset'!AD348,NA())</f>
        <v>1.6656786271450841E-2</v>
      </c>
      <c r="C156" s="6">
        <f>IF('Cleaned MLB Stats Dataset'!A156="Moneyball era", 'Cleaned MLB Stats Dataset'!AB156, NA())</f>
        <v>9.1509433962264075E-3</v>
      </c>
      <c r="D156" s="6">
        <f>IF('Cleaned MLB Stats Dataset'!A156="Moneyball era", 'Cleaned MLB Stats Dataset'!AD156, NA())</f>
        <v>-5.9088050314465457E-2</v>
      </c>
    </row>
    <row r="157" spans="1:4" x14ac:dyDescent="0.2">
      <c r="A157" s="6">
        <f>IF('Cleaned MLB Stats Dataset'!A349="Pre-Moneyball",'Cleaned MLB Stats Dataset'!AB349,NA())</f>
        <v>3.0469483568075106E-2</v>
      </c>
      <c r="B157" s="6">
        <f>IF('Cleaned MLB Stats Dataset'!A349="Pre-Moneyball",'Cleaned MLB Stats Dataset'!AD349,NA())</f>
        <v>4.5613458528951489E-2</v>
      </c>
      <c r="C157" s="6">
        <f>IF('Cleaned MLB Stats Dataset'!A157="Moneyball era", 'Cleaned MLB Stats Dataset'!AB157, NA())</f>
        <v>7.7025641025641023E-2</v>
      </c>
      <c r="D157" s="6">
        <f>IF('Cleaned MLB Stats Dataset'!A157="Moneyball era", 'Cleaned MLB Stats Dataset'!AD157, NA())</f>
        <v>0.32671794871794874</v>
      </c>
    </row>
    <row r="158" spans="1:4" x14ac:dyDescent="0.2">
      <c r="A158" s="6">
        <f>IF('Cleaned MLB Stats Dataset'!A350="Pre-Moneyball",'Cleaned MLB Stats Dataset'!AB350,NA())</f>
        <v>0.10872704714640197</v>
      </c>
      <c r="B158" s="6">
        <f>IF('Cleaned MLB Stats Dataset'!A350="Pre-Moneyball",'Cleaned MLB Stats Dataset'!AD350,NA())</f>
        <v>0.3820074441687345</v>
      </c>
      <c r="C158" s="6">
        <f>IF('Cleaned MLB Stats Dataset'!A158="Moneyball era", 'Cleaned MLB Stats Dataset'!AB158, NA())</f>
        <v>8.3032448377581114E-2</v>
      </c>
      <c r="D158" s="6">
        <f>IF('Cleaned MLB Stats Dataset'!A158="Moneyball era", 'Cleaned MLB Stats Dataset'!AD158, NA())</f>
        <v>7.6784660766961998E-3</v>
      </c>
    </row>
    <row r="159" spans="1:4" x14ac:dyDescent="0.2">
      <c r="A159" s="6">
        <f>IF('Cleaned MLB Stats Dataset'!A351="Pre-Moneyball",'Cleaned MLB Stats Dataset'!AB351,NA())</f>
        <v>3.6785714285714255E-2</v>
      </c>
      <c r="B159" s="6">
        <f>IF('Cleaned MLB Stats Dataset'!A351="Pre-Moneyball",'Cleaned MLB Stats Dataset'!AD351,NA())</f>
        <v>-4.0500000000000036E-2</v>
      </c>
      <c r="C159" s="6">
        <f>IF('Cleaned MLB Stats Dataset'!A159="Moneyball era", 'Cleaned MLB Stats Dataset'!AB159, NA())</f>
        <v>9.0112676056337992E-2</v>
      </c>
      <c r="D159" s="6">
        <f>IF('Cleaned MLB Stats Dataset'!A159="Moneyball era", 'Cleaned MLB Stats Dataset'!AD159, NA())</f>
        <v>4.6788732394366206E-2</v>
      </c>
    </row>
    <row r="160" spans="1:4" x14ac:dyDescent="0.2">
      <c r="A160" s="6">
        <f>IF('Cleaned MLB Stats Dataset'!A352="Pre-Moneyball",'Cleaned MLB Stats Dataset'!AB352,NA())</f>
        <v>5.0104166666666672E-2</v>
      </c>
      <c r="B160" s="6">
        <f>IF('Cleaned MLB Stats Dataset'!A352="Pre-Moneyball",'Cleaned MLB Stats Dataset'!AD352,NA())</f>
        <v>4.2312499999999975E-2</v>
      </c>
      <c r="C160" s="6">
        <f>IF('Cleaned MLB Stats Dataset'!A160="Moneyball era", 'Cleaned MLB Stats Dataset'!AB160, NA())</f>
        <v>0.10320076481835561</v>
      </c>
      <c r="D160" s="6">
        <f>IF('Cleaned MLB Stats Dataset'!A160="Moneyball era", 'Cleaned MLB Stats Dataset'!AD160, NA())</f>
        <v>0.16899808795411092</v>
      </c>
    </row>
    <row r="161" spans="1:4" x14ac:dyDescent="0.2">
      <c r="A161" s="6">
        <f>IF('Cleaned MLB Stats Dataset'!A353="Pre-Moneyball",'Cleaned MLB Stats Dataset'!AB353,NA())</f>
        <v>8.5710982658959545E-2</v>
      </c>
      <c r="B161" s="6">
        <f>IF('Cleaned MLB Stats Dataset'!A353="Pre-Moneyball",'Cleaned MLB Stats Dataset'!AD353,NA())</f>
        <v>2.9647398843930639E-2</v>
      </c>
      <c r="C161" s="6">
        <f>IF('Cleaned MLB Stats Dataset'!A161="Moneyball era", 'Cleaned MLB Stats Dataset'!AB161, NA())</f>
        <v>2.9935483870967727E-2</v>
      </c>
      <c r="D161" s="6">
        <f>IF('Cleaned MLB Stats Dataset'!A161="Moneyball era", 'Cleaned MLB Stats Dataset'!AD161, NA())</f>
        <v>2.7161290322580689E-2</v>
      </c>
    </row>
    <row r="162" spans="1:4" x14ac:dyDescent="0.2">
      <c r="A162" s="6">
        <f>IF('Cleaned MLB Stats Dataset'!A354="Pre-Moneyball",'Cleaned MLB Stats Dataset'!AB354,NA())</f>
        <v>4.3131313131313131E-2</v>
      </c>
      <c r="B162" s="6">
        <f>IF('Cleaned MLB Stats Dataset'!A354="Pre-Moneyball",'Cleaned MLB Stats Dataset'!AD354,NA())</f>
        <v>5.0373737373737348E-2</v>
      </c>
      <c r="C162" s="6">
        <f>IF('Cleaned MLB Stats Dataset'!A162="Moneyball era", 'Cleaned MLB Stats Dataset'!AB162, NA())</f>
        <v>9.4490566037735813E-2</v>
      </c>
      <c r="D162" s="6">
        <f>IF('Cleaned MLB Stats Dataset'!A162="Moneyball era", 'Cleaned MLB Stats Dataset'!AD162, NA())</f>
        <v>0.20750257289879931</v>
      </c>
    </row>
    <row r="163" spans="1:4" x14ac:dyDescent="0.2">
      <c r="A163" s="6">
        <f>IF('Cleaned MLB Stats Dataset'!A355="Pre-Moneyball",'Cleaned MLB Stats Dataset'!AB355,NA())</f>
        <v>7.1530054644808716E-2</v>
      </c>
      <c r="B163" s="6">
        <f>IF('Cleaned MLB Stats Dataset'!A355="Pre-Moneyball",'Cleaned MLB Stats Dataset'!AD355,NA())</f>
        <v>6.507103825136612E-2</v>
      </c>
      <c r="C163" s="6">
        <f>IF('Cleaned MLB Stats Dataset'!A163="Moneyball era", 'Cleaned MLB Stats Dataset'!AB163, NA())</f>
        <v>4.0687885010266933E-2</v>
      </c>
      <c r="D163" s="6">
        <f>IF('Cleaned MLB Stats Dataset'!A163="Moneyball era", 'Cleaned MLB Stats Dataset'!AD163, NA())</f>
        <v>0.16157494866529776</v>
      </c>
    </row>
    <row r="164" spans="1:4" x14ac:dyDescent="0.2">
      <c r="A164" s="6">
        <f>IF('Cleaned MLB Stats Dataset'!A356="Pre-Moneyball",'Cleaned MLB Stats Dataset'!AB356,NA())</f>
        <v>8.6142857142857132E-2</v>
      </c>
      <c r="B164" s="6">
        <f>IF('Cleaned MLB Stats Dataset'!A356="Pre-Moneyball",'Cleaned MLB Stats Dataset'!AD356,NA())</f>
        <v>0.16938345864661658</v>
      </c>
      <c r="C164" s="6">
        <f>IF('Cleaned MLB Stats Dataset'!A164="Moneyball era", 'Cleaned MLB Stats Dataset'!AB164, NA())</f>
        <v>6.0489291598023021E-2</v>
      </c>
      <c r="D164" s="6">
        <f>IF('Cleaned MLB Stats Dataset'!A164="Moneyball era", 'Cleaned MLB Stats Dataset'!AD164, NA())</f>
        <v>0.11989456342668864</v>
      </c>
    </row>
    <row r="165" spans="1:4" x14ac:dyDescent="0.2">
      <c r="A165" s="6">
        <f>IF('Cleaned MLB Stats Dataset'!A357="Pre-Moneyball",'Cleaned MLB Stats Dataset'!AB357,NA())</f>
        <v>-7.5328083989501526E-3</v>
      </c>
      <c r="B165" s="6">
        <f>IF('Cleaned MLB Stats Dataset'!A357="Pre-Moneyball",'Cleaned MLB Stats Dataset'!AD357,NA())</f>
        <v>-7.4918635170603654E-2</v>
      </c>
      <c r="C165" s="6">
        <f>IF('Cleaned MLB Stats Dataset'!A165="Moneyball era", 'Cleaned MLB Stats Dataset'!AB165, NA())</f>
        <v>1.2469897209985314E-2</v>
      </c>
      <c r="D165" s="6">
        <f>IF('Cleaned MLB Stats Dataset'!A165="Moneyball era", 'Cleaned MLB Stats Dataset'!AD165, NA())</f>
        <v>-1.5609397944199577E-3</v>
      </c>
    </row>
    <row r="166" spans="1:4" x14ac:dyDescent="0.2">
      <c r="A166" s="6">
        <f>IF('Cleaned MLB Stats Dataset'!A358="Pre-Moneyball",'Cleaned MLB Stats Dataset'!AB358,NA())</f>
        <v>5.4937027707808561E-2</v>
      </c>
      <c r="B166" s="6">
        <f>IF('Cleaned MLB Stats Dataset'!A358="Pre-Moneyball",'Cleaned MLB Stats Dataset'!AD358,NA())</f>
        <v>6.4664987405541552E-2</v>
      </c>
      <c r="C166" s="6">
        <f>IF('Cleaned MLB Stats Dataset'!A166="Moneyball era", 'Cleaned MLB Stats Dataset'!AB166, NA())</f>
        <v>6.5811881188118815E-2</v>
      </c>
      <c r="D166" s="6">
        <f>IF('Cleaned MLB Stats Dataset'!A166="Moneyball era", 'Cleaned MLB Stats Dataset'!AD166, NA())</f>
        <v>8.1227722772277189E-2</v>
      </c>
    </row>
    <row r="167" spans="1:4" x14ac:dyDescent="0.2">
      <c r="A167" s="6">
        <f>IF('Cleaned MLB Stats Dataset'!A359="Pre-Moneyball",'Cleaned MLB Stats Dataset'!AB359,NA())</f>
        <v>4.137724550898203E-2</v>
      </c>
      <c r="B167" s="6">
        <f>IF('Cleaned MLB Stats Dataset'!A359="Pre-Moneyball",'Cleaned MLB Stats Dataset'!AD359,NA())</f>
        <v>-3.7778443113772431E-2</v>
      </c>
      <c r="C167" s="6">
        <f>IF('Cleaned MLB Stats Dataset'!A167="Moneyball era", 'Cleaned MLB Stats Dataset'!AB167, NA())</f>
        <v>5.1705128205128181E-2</v>
      </c>
      <c r="D167" s="6">
        <f>IF('Cleaned MLB Stats Dataset'!A167="Moneyball era", 'Cleaned MLB Stats Dataset'!AD167, NA())</f>
        <v>2.0102564102564113E-2</v>
      </c>
    </row>
    <row r="168" spans="1:4" x14ac:dyDescent="0.2">
      <c r="A168" s="6">
        <f>IF('Cleaned MLB Stats Dataset'!A360="Pre-Moneyball",'Cleaned MLB Stats Dataset'!AB360,NA())</f>
        <v>6.2844574780058615E-2</v>
      </c>
      <c r="B168" s="6">
        <f>IF('Cleaned MLB Stats Dataset'!A360="Pre-Moneyball",'Cleaned MLB Stats Dataset'!AD360,NA())</f>
        <v>5.2472140762463371E-2</v>
      </c>
      <c r="C168" s="6">
        <f>IF('Cleaned MLB Stats Dataset'!A168="Moneyball era", 'Cleaned MLB Stats Dataset'!AB168, NA())</f>
        <v>5.3655913978494785E-3</v>
      </c>
      <c r="D168" s="6">
        <f>IF('Cleaned MLB Stats Dataset'!A168="Moneyball era", 'Cleaned MLB Stats Dataset'!AD168, NA())</f>
        <v>-6.1064516129032298E-2</v>
      </c>
    </row>
    <row r="169" spans="1:4" x14ac:dyDescent="0.2">
      <c r="A169" s="6">
        <f>IF('Cleaned MLB Stats Dataset'!A361="Pre-Moneyball",'Cleaned MLB Stats Dataset'!AB361,NA())</f>
        <v>4.7183123877917399E-2</v>
      </c>
      <c r="B169" s="6">
        <f>IF('Cleaned MLB Stats Dataset'!A361="Pre-Moneyball",'Cleaned MLB Stats Dataset'!AD361,NA())</f>
        <v>3.5423698384201119E-2</v>
      </c>
      <c r="C169" s="6">
        <f>IF('Cleaned MLB Stats Dataset'!A169="Moneyball era", 'Cleaned MLB Stats Dataset'!AB169, NA())</f>
        <v>9.47140439932318E-2</v>
      </c>
      <c r="D169" s="6">
        <f>IF('Cleaned MLB Stats Dataset'!A169="Moneyball era", 'Cleaned MLB Stats Dataset'!AD169, NA())</f>
        <v>0.24466666666666664</v>
      </c>
    </row>
    <row r="170" spans="1:4" x14ac:dyDescent="0.2">
      <c r="A170" s="6">
        <f>IF('Cleaned MLB Stats Dataset'!A362="Pre-Moneyball",'Cleaned MLB Stats Dataset'!AB362,NA())</f>
        <v>5.9915824915824922E-2</v>
      </c>
      <c r="B170" s="6">
        <f>IF('Cleaned MLB Stats Dataset'!A362="Pre-Moneyball",'Cleaned MLB Stats Dataset'!AD362,NA())</f>
        <v>7.1747474747474727E-2</v>
      </c>
      <c r="C170" s="6">
        <f>IF('Cleaned MLB Stats Dataset'!A170="Moneyball era", 'Cleaned MLB Stats Dataset'!AB170, NA())</f>
        <v>4.8223858615611181E-2</v>
      </c>
      <c r="D170" s="6">
        <f>IF('Cleaned MLB Stats Dataset'!A170="Moneyball era", 'Cleaned MLB Stats Dataset'!AD170, NA())</f>
        <v>1.3935198821796779E-2</v>
      </c>
    </row>
    <row r="171" spans="1:4" x14ac:dyDescent="0.2">
      <c r="A171" s="6">
        <f>IF('Cleaned MLB Stats Dataset'!A363="Pre-Moneyball",'Cleaned MLB Stats Dataset'!AB363,NA())</f>
        <v>0.10462162162162159</v>
      </c>
      <c r="B171" s="6">
        <f>IF('Cleaned MLB Stats Dataset'!A363="Pre-Moneyball",'Cleaned MLB Stats Dataset'!AD363,NA())</f>
        <v>0.12829729729729727</v>
      </c>
      <c r="C171" s="6">
        <f>IF('Cleaned MLB Stats Dataset'!A171="Moneyball era", 'Cleaned MLB Stats Dataset'!AB171, NA())</f>
        <v>5.6041811846689882E-2</v>
      </c>
      <c r="D171" s="6">
        <f>IF('Cleaned MLB Stats Dataset'!A171="Moneyball era", 'Cleaned MLB Stats Dataset'!AD171, NA())</f>
        <v>0.12403832752613236</v>
      </c>
    </row>
    <row r="172" spans="1:4" x14ac:dyDescent="0.2">
      <c r="A172" s="6">
        <f>IF('Cleaned MLB Stats Dataset'!A364="Pre-Moneyball",'Cleaned MLB Stats Dataset'!AB364,NA())</f>
        <v>0.12379474940334129</v>
      </c>
      <c r="B172" s="6">
        <f>IF('Cleaned MLB Stats Dataset'!A364="Pre-Moneyball",'Cleaned MLB Stats Dataset'!AD364,NA())</f>
        <v>0.14401909307875899</v>
      </c>
      <c r="C172" s="6">
        <f>IF('Cleaned MLB Stats Dataset'!A172="Moneyball era", 'Cleaned MLB Stats Dataset'!AB172, NA())</f>
        <v>4.3168634064080946E-2</v>
      </c>
      <c r="D172" s="6">
        <f>IF('Cleaned MLB Stats Dataset'!A172="Moneyball era", 'Cleaned MLB Stats Dataset'!AD172, NA())</f>
        <v>9.2784148397976385E-2</v>
      </c>
    </row>
    <row r="173" spans="1:4" x14ac:dyDescent="0.2">
      <c r="A173" s="6">
        <f>IF('Cleaned MLB Stats Dataset'!A365="Pre-Moneyball",'Cleaned MLB Stats Dataset'!AB365,NA())</f>
        <v>5.50412147505423E-2</v>
      </c>
      <c r="B173" s="6">
        <f>IF('Cleaned MLB Stats Dataset'!A365="Pre-Moneyball",'Cleaned MLB Stats Dataset'!AD365,NA())</f>
        <v>8.1084598698481558E-2</v>
      </c>
      <c r="C173" s="6">
        <f>IF('Cleaned MLB Stats Dataset'!A173="Moneyball era", 'Cleaned MLB Stats Dataset'!AB173, NA())</f>
        <v>5.330215827338125E-2</v>
      </c>
      <c r="D173" s="6">
        <f>IF('Cleaned MLB Stats Dataset'!A173="Moneyball era", 'Cleaned MLB Stats Dataset'!AD173, NA())</f>
        <v>-1.6172661870503591E-2</v>
      </c>
    </row>
    <row r="174" spans="1:4" x14ac:dyDescent="0.2">
      <c r="A174" s="6">
        <f>IF('Cleaned MLB Stats Dataset'!A366="Pre-Moneyball",'Cleaned MLB Stats Dataset'!AB366,NA())</f>
        <v>0.10122429906542052</v>
      </c>
      <c r="B174" s="6">
        <f>IF('Cleaned MLB Stats Dataset'!A366="Pre-Moneyball",'Cleaned MLB Stats Dataset'!AD366,NA())</f>
        <v>6.7112149532710275E-2</v>
      </c>
      <c r="C174" s="6">
        <f>IF('Cleaned MLB Stats Dataset'!A174="Moneyball era", 'Cleaned MLB Stats Dataset'!AB174, NA())</f>
        <v>6.594923857868018E-2</v>
      </c>
      <c r="D174" s="6">
        <f>IF('Cleaned MLB Stats Dataset'!A174="Moneyball era", 'Cleaned MLB Stats Dataset'!AD174, NA())</f>
        <v>0.19013705583756352</v>
      </c>
    </row>
    <row r="175" spans="1:4" x14ac:dyDescent="0.2">
      <c r="A175" s="6">
        <f>IF('Cleaned MLB Stats Dataset'!A367="Pre-Moneyball",'Cleaned MLB Stats Dataset'!AB367,NA())</f>
        <v>1.1777777777777776E-2</v>
      </c>
      <c r="B175" s="6">
        <f>IF('Cleaned MLB Stats Dataset'!A367="Pre-Moneyball",'Cleaned MLB Stats Dataset'!AD367,NA())</f>
        <v>-3.1111111111111089E-2</v>
      </c>
      <c r="C175" s="6">
        <f>IF('Cleaned MLB Stats Dataset'!A175="Moneyball era", 'Cleaned MLB Stats Dataset'!AB175, NA())</f>
        <v>6.5464788732394363E-2</v>
      </c>
      <c r="D175" s="6">
        <f>IF('Cleaned MLB Stats Dataset'!A175="Moneyball era", 'Cleaned MLB Stats Dataset'!AD175, NA())</f>
        <v>0.24045070422535214</v>
      </c>
    </row>
    <row r="176" spans="1:4" x14ac:dyDescent="0.2">
      <c r="A176" s="6"/>
      <c r="B176" s="6"/>
      <c r="C176" s="6">
        <f>IF('Cleaned MLB Stats Dataset'!A176="Moneyball era", 'Cleaned MLB Stats Dataset'!AB176, NA())</f>
        <v>7.0450980392156859E-2</v>
      </c>
      <c r="D176" s="6">
        <f>IF('Cleaned MLB Stats Dataset'!A176="Moneyball era", 'Cleaned MLB Stats Dataset'!AD176, NA())</f>
        <v>6.5627450980392132E-2</v>
      </c>
    </row>
    <row r="177" spans="1:4" x14ac:dyDescent="0.2">
      <c r="A177" s="6"/>
      <c r="B177" s="6"/>
      <c r="C177" s="6">
        <f>IF('Cleaned MLB Stats Dataset'!A177="Moneyball era", 'Cleaned MLB Stats Dataset'!AB177, NA())</f>
        <v>1.6039370078740123E-2</v>
      </c>
      <c r="D177" s="6">
        <f>IF('Cleaned MLB Stats Dataset'!A177="Moneyball era", 'Cleaned MLB Stats Dataset'!AD177, NA())</f>
        <v>-7.1370078740157494E-2</v>
      </c>
    </row>
    <row r="178" spans="1:4" x14ac:dyDescent="0.2">
      <c r="A178" s="6"/>
      <c r="B178" s="6"/>
      <c r="C178" s="6">
        <f>IF('Cleaned MLB Stats Dataset'!A178="Moneyball era", 'Cleaned MLB Stats Dataset'!AB178, NA())</f>
        <v>4.649562682215741E-2</v>
      </c>
      <c r="D178" s="6">
        <f>IF('Cleaned MLB Stats Dataset'!A178="Moneyball era", 'Cleaned MLB Stats Dataset'!AD178, NA())</f>
        <v>-2.9702623906705528E-2</v>
      </c>
    </row>
    <row r="179" spans="1:4" x14ac:dyDescent="0.2">
      <c r="A179" s="6"/>
      <c r="B179" s="6"/>
      <c r="C179" s="6">
        <f>IF('Cleaned MLB Stats Dataset'!A179="Moneyball era", 'Cleaned MLB Stats Dataset'!AB179, NA())</f>
        <v>4.6412573673870305E-2</v>
      </c>
      <c r="D179" s="6">
        <f>IF('Cleaned MLB Stats Dataset'!A179="Moneyball era", 'Cleaned MLB Stats Dataset'!AD179, NA())</f>
        <v>4.7548133595284869E-2</v>
      </c>
    </row>
    <row r="180" spans="1:4" x14ac:dyDescent="0.2">
      <c r="A180" s="6"/>
      <c r="B180" s="6"/>
      <c r="C180" s="6">
        <f>IF('Cleaned MLB Stats Dataset'!A180="Moneyball era", 'Cleaned MLB Stats Dataset'!AB180, NA())</f>
        <v>9.2870229007633587E-2</v>
      </c>
      <c r="D180" s="6">
        <f>IF('Cleaned MLB Stats Dataset'!A180="Moneyball era", 'Cleaned MLB Stats Dataset'!AD180, NA())</f>
        <v>0.23667175572519089</v>
      </c>
    </row>
    <row r="181" spans="1:4" x14ac:dyDescent="0.2">
      <c r="A181" s="6"/>
      <c r="B181" s="6"/>
      <c r="C181" s="6">
        <f>IF('Cleaned MLB Stats Dataset'!A181="Moneyball era", 'Cleaned MLB Stats Dataset'!AB181, NA())</f>
        <v>0.10615909090909087</v>
      </c>
      <c r="D181" s="6">
        <f>IF('Cleaned MLB Stats Dataset'!A181="Moneyball era", 'Cleaned MLB Stats Dataset'!AD181, NA())</f>
        <v>2.6545454545454539E-2</v>
      </c>
    </row>
    <row r="182" spans="1:4" x14ac:dyDescent="0.2">
      <c r="A182" s="6"/>
      <c r="B182" s="6"/>
      <c r="C182" s="6">
        <f>IF('Cleaned MLB Stats Dataset'!A182="Moneyball era", 'Cleaned MLB Stats Dataset'!AB182, NA())</f>
        <v>6.5861111111111093E-2</v>
      </c>
      <c r="D182" s="6">
        <f>IF('Cleaned MLB Stats Dataset'!A182="Moneyball era", 'Cleaned MLB Stats Dataset'!AD182, NA())</f>
        <v>0.18216666666666664</v>
      </c>
    </row>
    <row r="183" spans="1:4" x14ac:dyDescent="0.2">
      <c r="A183" s="6"/>
      <c r="B183" s="6"/>
      <c r="C183" s="6">
        <f>IF('Cleaned MLB Stats Dataset'!A183="Moneyball era", 'Cleaned MLB Stats Dataset'!AB183, NA())</f>
        <v>6.6494037478705248E-2</v>
      </c>
      <c r="D183" s="6">
        <f>IF('Cleaned MLB Stats Dataset'!A183="Moneyball era", 'Cleaned MLB Stats Dataset'!AD183, NA())</f>
        <v>5.8408858603066438E-2</v>
      </c>
    </row>
    <row r="184" spans="1:4" x14ac:dyDescent="0.2">
      <c r="A184" s="6"/>
      <c r="B184" s="6"/>
      <c r="C184" s="6">
        <f>IF('Cleaned MLB Stats Dataset'!A184="Moneyball era", 'Cleaned MLB Stats Dataset'!AB184, NA())</f>
        <v>5.3307692307692278E-2</v>
      </c>
      <c r="D184" s="6">
        <f>IF('Cleaned MLB Stats Dataset'!A184="Moneyball era", 'Cleaned MLB Stats Dataset'!AD184, NA())</f>
        <v>0.14638461538461539</v>
      </c>
    </row>
    <row r="185" spans="1:4" x14ac:dyDescent="0.2">
      <c r="A185" s="6"/>
      <c r="B185" s="6"/>
      <c r="C185" s="6">
        <f>IF('Cleaned MLB Stats Dataset'!A185="Moneyball era", 'Cleaned MLB Stats Dataset'!AB185, NA())</f>
        <v>6.4358208955223872E-2</v>
      </c>
      <c r="D185" s="6">
        <f>IF('Cleaned MLB Stats Dataset'!A185="Moneyball era", 'Cleaned MLB Stats Dataset'!AD185, NA())</f>
        <v>3.5492537313432881E-2</v>
      </c>
    </row>
    <row r="186" spans="1:4" x14ac:dyDescent="0.2">
      <c r="A186" s="6"/>
      <c r="B186" s="6"/>
      <c r="C186" s="6">
        <f>IF('Cleaned MLB Stats Dataset'!A186="Moneyball era", 'Cleaned MLB Stats Dataset'!AB186, NA())</f>
        <v>6.1841121495327112E-2</v>
      </c>
      <c r="D186" s="6">
        <f>IF('Cleaned MLB Stats Dataset'!A186="Moneyball era", 'Cleaned MLB Stats Dataset'!AD186, NA())</f>
        <v>0.23902803738317763</v>
      </c>
    </row>
    <row r="187" spans="1:4" x14ac:dyDescent="0.2">
      <c r="A187" s="6"/>
      <c r="B187" s="6"/>
      <c r="C187" s="6">
        <f>IF('Cleaned MLB Stats Dataset'!A187="Moneyball era", 'Cleaned MLB Stats Dataset'!AB187, NA())</f>
        <v>6.5081081081081071E-2</v>
      </c>
      <c r="D187" s="6">
        <f>IF('Cleaned MLB Stats Dataset'!A187="Moneyball era", 'Cleaned MLB Stats Dataset'!AD187, NA())</f>
        <v>0.22909459459459464</v>
      </c>
    </row>
    <row r="188" spans="1:4" x14ac:dyDescent="0.2">
      <c r="A188" s="6"/>
      <c r="B188" s="6"/>
      <c r="C188" s="6">
        <f>IF('Cleaned MLB Stats Dataset'!A188="Moneyball era", 'Cleaned MLB Stats Dataset'!AB188, NA())</f>
        <v>6.2186830015313943E-2</v>
      </c>
      <c r="D188" s="6">
        <f>IF('Cleaned MLB Stats Dataset'!A188="Moneyball era", 'Cleaned MLB Stats Dataset'!AD188, NA())</f>
        <v>7.7108728943338478E-2</v>
      </c>
    </row>
    <row r="189" spans="1:4" x14ac:dyDescent="0.2">
      <c r="A189" s="6"/>
      <c r="B189" s="6"/>
      <c r="C189" s="6">
        <f>IF('Cleaned MLB Stats Dataset'!A189="Moneyball era", 'Cleaned MLB Stats Dataset'!AB189, NA())</f>
        <v>3.1139293139293145E-2</v>
      </c>
      <c r="D189" s="6">
        <f>IF('Cleaned MLB Stats Dataset'!A189="Moneyball era", 'Cleaned MLB Stats Dataset'!AD189, NA())</f>
        <v>-3.5463617463617425E-2</v>
      </c>
    </row>
    <row r="190" spans="1:4" x14ac:dyDescent="0.2">
      <c r="A190" s="6"/>
      <c r="B190" s="6"/>
      <c r="C190" s="6">
        <f>IF('Cleaned MLB Stats Dataset'!A190="Moneyball era", 'Cleaned MLB Stats Dataset'!AB190, NA())</f>
        <v>4.9359374999999983E-2</v>
      </c>
      <c r="D190" s="6">
        <f>IF('Cleaned MLB Stats Dataset'!A190="Moneyball era", 'Cleaned MLB Stats Dataset'!AD190, NA())</f>
        <v>-4.2656249999999951E-3</v>
      </c>
    </row>
    <row r="191" spans="1:4" x14ac:dyDescent="0.2">
      <c r="A191" s="6"/>
      <c r="B191" s="6"/>
      <c r="C191" s="6">
        <f>IF('Cleaned MLB Stats Dataset'!A191="Moneyball era", 'Cleaned MLB Stats Dataset'!AB191, NA())</f>
        <v>9.5930294906166225E-2</v>
      </c>
      <c r="D191" s="6">
        <f>IF('Cleaned MLB Stats Dataset'!A191="Moneyball era", 'Cleaned MLB Stats Dataset'!AD191, NA())</f>
        <v>0.38433243967828418</v>
      </c>
    </row>
    <row r="192" spans="1:4" x14ac:dyDescent="0.2">
      <c r="A192" s="6"/>
      <c r="B192" s="6"/>
      <c r="C192" s="6">
        <f>IF('Cleaned MLB Stats Dataset'!A192="Moneyball era", 'Cleaned MLB Stats Dataset'!AB192, NA())</f>
        <v>2.965079365079365E-2</v>
      </c>
      <c r="D192" s="6">
        <f>IF('Cleaned MLB Stats Dataset'!A192="Moneyball era", 'Cleaned MLB Stats Dataset'!AD192, NA())</f>
        <v>-2.3761904761904762E-2</v>
      </c>
    </row>
    <row r="193" spans="1:4" x14ac:dyDescent="0.2">
      <c r="A193" s="6"/>
      <c r="B193" s="6"/>
      <c r="C193" s="6">
        <f>IF('Cleaned MLB Stats Dataset'!A193="Moneyball era", 'Cleaned MLB Stats Dataset'!AB193, NA())</f>
        <v>7.271550255536624E-2</v>
      </c>
      <c r="D193" s="6">
        <f>IF('Cleaned MLB Stats Dataset'!A193="Moneyball era", 'Cleaned MLB Stats Dataset'!AD193, NA())</f>
        <v>3.5262350936967668E-2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BA48-B83D-794D-8CB2-F90A6F00BD04}">
  <dimension ref="A1:D193"/>
  <sheetViews>
    <sheetView zoomScale="67" workbookViewId="0">
      <selection activeCell="L9" sqref="L9"/>
    </sheetView>
  </sheetViews>
  <sheetFormatPr baseColWidth="10" defaultRowHeight="16" x14ac:dyDescent="0.2"/>
  <cols>
    <col min="1" max="1" width="10" bestFit="1" customWidth="1"/>
    <col min="2" max="2" width="14" bestFit="1" customWidth="1"/>
    <col min="3" max="3" width="14.6640625" bestFit="1" customWidth="1"/>
    <col min="4" max="4" width="17.5" bestFit="1" customWidth="1"/>
  </cols>
  <sheetData>
    <row r="1" spans="1:4" x14ac:dyDescent="0.2">
      <c r="A1" t="s">
        <v>359</v>
      </c>
      <c r="B1" t="s">
        <v>356</v>
      </c>
      <c r="C1" t="s">
        <v>357</v>
      </c>
      <c r="D1" t="s">
        <v>358</v>
      </c>
    </row>
    <row r="2" spans="1:4" x14ac:dyDescent="0.2">
      <c r="A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0.15180722891566265</v>
      </c>
      <c r="B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0.15180722891566265</v>
      </c>
      <c r="C2" s="12">
        <f>Cleaned_MLB_Stats_Dataset__1[[#This Row],[Strikeouts]]/(Cleaned_MLB_Stats_Dataset__1[[#This Row],[At Bats]]+Cleaned_MLB_Stats_Dataset__1[[#This Row],[Walks]])</f>
        <v>0.30637254901960786</v>
      </c>
      <c r="D2" s="12">
        <f>Cleaned_MLB_Stats_Dataset__1[[#This Row],[Strikeouts]]/(Cleaned_MLB_Stats_Dataset__1[[#This Row],[At Bats]]+Cleaned_MLB_Stats_Dataset__1[[#This Row],[Walks]])</f>
        <v>0.30637254901960786</v>
      </c>
    </row>
    <row r="3" spans="1:4" x14ac:dyDescent="0.2">
      <c r="A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0.12312312312312312</v>
      </c>
      <c r="B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0.12312312312312312</v>
      </c>
      <c r="C3" s="13">
        <f>Cleaned_MLB_Stats_Dataset__1[[#This Row],[Strikeouts]]/(Cleaned_MLB_Stats_Dataset__1[[#This Row],[At Bats]]+Cleaned_MLB_Stats_Dataset__1[[#This Row],[Walks]])</f>
        <v>0.30335365853658536</v>
      </c>
      <c r="D3" s="13">
        <f>Cleaned_MLB_Stats_Dataset__1[[#This Row],[Strikeouts]]/(Cleaned_MLB_Stats_Dataset__1[[#This Row],[At Bats]]+Cleaned_MLB_Stats_Dataset__1[[#This Row],[Walks]])</f>
        <v>0.30335365853658536</v>
      </c>
    </row>
    <row r="4" spans="1:4" x14ac:dyDescent="0.2">
      <c r="A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0.11834319526627218</v>
      </c>
      <c r="B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0.11834319526627218</v>
      </c>
      <c r="C4" s="12">
        <f>Cleaned_MLB_Stats_Dataset__1[[#This Row],[Strikeouts]]/(Cleaned_MLB_Stats_Dataset__1[[#This Row],[At Bats]]+Cleaned_MLB_Stats_Dataset__1[[#This Row],[Walks]])</f>
        <v>0.29061102831594637</v>
      </c>
      <c r="D4" s="12">
        <f>Cleaned_MLB_Stats_Dataset__1[[#This Row],[Strikeouts]]/(Cleaned_MLB_Stats_Dataset__1[[#This Row],[At Bats]]+Cleaned_MLB_Stats_Dataset__1[[#This Row],[Walks]])</f>
        <v>0.29061102831594637</v>
      </c>
    </row>
    <row r="5" spans="1:4" x14ac:dyDescent="0.2">
      <c r="A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9.6997690531177835E-2</v>
      </c>
      <c r="B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9.6997690531177835E-2</v>
      </c>
      <c r="C5" s="13">
        <f>Cleaned_MLB_Stats_Dataset__1[[#This Row],[Strikeouts]]/(Cleaned_MLB_Stats_Dataset__1[[#This Row],[At Bats]]+Cleaned_MLB_Stats_Dataset__1[[#This Row],[Walks]])</f>
        <v>0.27314814814814814</v>
      </c>
      <c r="D5" s="13">
        <f>Cleaned_MLB_Stats_Dataset__1[[#This Row],[Strikeouts]]/(Cleaned_MLB_Stats_Dataset__1[[#This Row],[At Bats]]+Cleaned_MLB_Stats_Dataset__1[[#This Row],[Walks]])</f>
        <v>0.27314814814814814</v>
      </c>
    </row>
    <row r="6" spans="1:4" x14ac:dyDescent="0.2">
      <c r="A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0.16586921850079744</v>
      </c>
      <c r="B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0.16586921850079744</v>
      </c>
      <c r="C6" s="12">
        <f>Cleaned_MLB_Stats_Dataset__1[[#This Row],[Strikeouts]]/(Cleaned_MLB_Stats_Dataset__1[[#This Row],[At Bats]]+Cleaned_MLB_Stats_Dataset__1[[#This Row],[Walks]])</f>
        <v>0.27228525121555913</v>
      </c>
      <c r="D6" s="12">
        <f>Cleaned_MLB_Stats_Dataset__1[[#This Row],[Strikeouts]]/(Cleaned_MLB_Stats_Dataset__1[[#This Row],[At Bats]]+Cleaned_MLB_Stats_Dataset__1[[#This Row],[Walks]])</f>
        <v>0.27228525121555913</v>
      </c>
    </row>
    <row r="7" spans="1:4" x14ac:dyDescent="0.2">
      <c r="A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0.10366826156299841</v>
      </c>
      <c r="B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0.10366826156299841</v>
      </c>
      <c r="C7" s="13">
        <f>Cleaned_MLB_Stats_Dataset__1[[#This Row],[Strikeouts]]/(Cleaned_MLB_Stats_Dataset__1[[#This Row],[At Bats]]+Cleaned_MLB_Stats_Dataset__1[[#This Row],[Walks]])</f>
        <v>0.26045016077170419</v>
      </c>
      <c r="D7" s="13">
        <f>Cleaned_MLB_Stats_Dataset__1[[#This Row],[Strikeouts]]/(Cleaned_MLB_Stats_Dataset__1[[#This Row],[At Bats]]+Cleaned_MLB_Stats_Dataset__1[[#This Row],[Walks]])</f>
        <v>0.26045016077170419</v>
      </c>
    </row>
    <row r="8" spans="1:4" x14ac:dyDescent="0.2">
      <c r="A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0.16246056782334384</v>
      </c>
      <c r="B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0.16246056782334384</v>
      </c>
      <c r="C8" s="12">
        <f>Cleaned_MLB_Stats_Dataset__1[[#This Row],[Strikeouts]]/(Cleaned_MLB_Stats_Dataset__1[[#This Row],[At Bats]]+Cleaned_MLB_Stats_Dataset__1[[#This Row],[Walks]])</f>
        <v>0.25919999999999999</v>
      </c>
      <c r="D8" s="12">
        <f>Cleaned_MLB_Stats_Dataset__1[[#This Row],[Strikeouts]]/(Cleaned_MLB_Stats_Dataset__1[[#This Row],[At Bats]]+Cleaned_MLB_Stats_Dataset__1[[#This Row],[Walks]])</f>
        <v>0.25919999999999999</v>
      </c>
    </row>
    <row r="9" spans="1:4" x14ac:dyDescent="0.2">
      <c r="A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0.10858995137763371</v>
      </c>
      <c r="B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0.10858995137763371</v>
      </c>
      <c r="C9" s="13">
        <f>Cleaned_MLB_Stats_Dataset__1[[#This Row],[Strikeouts]]/(Cleaned_MLB_Stats_Dataset__1[[#This Row],[At Bats]]+Cleaned_MLB_Stats_Dataset__1[[#This Row],[Walks]])</f>
        <v>0.25779967159277506</v>
      </c>
      <c r="D9" s="13">
        <f>Cleaned_MLB_Stats_Dataset__1[[#This Row],[Strikeouts]]/(Cleaned_MLB_Stats_Dataset__1[[#This Row],[At Bats]]+Cleaned_MLB_Stats_Dataset__1[[#This Row],[Walks]])</f>
        <v>0.25779967159277506</v>
      </c>
    </row>
    <row r="10" spans="1:4" x14ac:dyDescent="0.2">
      <c r="A1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0.1426470588235294</v>
      </c>
      <c r="B1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0.1426470588235294</v>
      </c>
      <c r="C10" s="12">
        <f>Cleaned_MLB_Stats_Dataset__1[[#This Row],[Strikeouts]]/(Cleaned_MLB_Stats_Dataset__1[[#This Row],[At Bats]]+Cleaned_MLB_Stats_Dataset__1[[#This Row],[Walks]])</f>
        <v>0.25299401197604793</v>
      </c>
      <c r="D10" s="12">
        <f>Cleaned_MLB_Stats_Dataset__1[[#This Row],[Strikeouts]]/(Cleaned_MLB_Stats_Dataset__1[[#This Row],[At Bats]]+Cleaned_MLB_Stats_Dataset__1[[#This Row],[Walks]])</f>
        <v>0.25299401197604793</v>
      </c>
    </row>
    <row r="11" spans="1:4" x14ac:dyDescent="0.2">
      <c r="A1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0.16903914590747332</v>
      </c>
      <c r="B1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0.16903914590747332</v>
      </c>
      <c r="C11" s="13">
        <f>Cleaned_MLB_Stats_Dataset__1[[#This Row],[Strikeouts]]/(Cleaned_MLB_Stats_Dataset__1[[#This Row],[At Bats]]+Cleaned_MLB_Stats_Dataset__1[[#This Row],[Walks]])</f>
        <v>0.24910394265232974</v>
      </c>
      <c r="D11" s="13">
        <f>Cleaned_MLB_Stats_Dataset__1[[#This Row],[Strikeouts]]/(Cleaned_MLB_Stats_Dataset__1[[#This Row],[At Bats]]+Cleaned_MLB_Stats_Dataset__1[[#This Row],[Walks]])</f>
        <v>0.24910394265232974</v>
      </c>
    </row>
    <row r="12" spans="1:4" x14ac:dyDescent="0.2">
      <c r="A1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0.10820895522388059</v>
      </c>
      <c r="B1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0.10820895522388059</v>
      </c>
      <c r="C12" s="12">
        <f>Cleaned_MLB_Stats_Dataset__1[[#This Row],[Strikeouts]]/(Cleaned_MLB_Stats_Dataset__1[[#This Row],[At Bats]]+Cleaned_MLB_Stats_Dataset__1[[#This Row],[Walks]])</f>
        <v>0.24906367041198502</v>
      </c>
      <c r="D12" s="12">
        <f>Cleaned_MLB_Stats_Dataset__1[[#This Row],[Strikeouts]]/(Cleaned_MLB_Stats_Dataset__1[[#This Row],[At Bats]]+Cleaned_MLB_Stats_Dataset__1[[#This Row],[Walks]])</f>
        <v>0.24906367041198502</v>
      </c>
    </row>
    <row r="13" spans="1:4" x14ac:dyDescent="0.2">
      <c r="A1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0.10790273556231003</v>
      </c>
      <c r="B1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0.10790273556231003</v>
      </c>
      <c r="C13" s="13">
        <f>Cleaned_MLB_Stats_Dataset__1[[#This Row],[Strikeouts]]/(Cleaned_MLB_Stats_Dataset__1[[#This Row],[At Bats]]+Cleaned_MLB_Stats_Dataset__1[[#This Row],[Walks]])</f>
        <v>0.24542682926829268</v>
      </c>
      <c r="D13" s="13">
        <f>Cleaned_MLB_Stats_Dataset__1[[#This Row],[Strikeouts]]/(Cleaned_MLB_Stats_Dataset__1[[#This Row],[At Bats]]+Cleaned_MLB_Stats_Dataset__1[[#This Row],[Walks]])</f>
        <v>0.24542682926829268</v>
      </c>
    </row>
    <row r="14" spans="1:4" x14ac:dyDescent="0.2">
      <c r="A1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0.14074074074074075</v>
      </c>
      <c r="B1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0.14074074074074075</v>
      </c>
      <c r="C14" s="12">
        <f>Cleaned_MLB_Stats_Dataset__1[[#This Row],[Strikeouts]]/(Cleaned_MLB_Stats_Dataset__1[[#This Row],[At Bats]]+Cleaned_MLB_Stats_Dataset__1[[#This Row],[Walks]])</f>
        <v>0.24394785847299813</v>
      </c>
      <c r="D14" s="12">
        <f>Cleaned_MLB_Stats_Dataset__1[[#This Row],[Strikeouts]]/(Cleaned_MLB_Stats_Dataset__1[[#This Row],[At Bats]]+Cleaned_MLB_Stats_Dataset__1[[#This Row],[Walks]])</f>
        <v>0.24394785847299813</v>
      </c>
    </row>
    <row r="15" spans="1:4" x14ac:dyDescent="0.2">
      <c r="A1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0.15340909090909091</v>
      </c>
      <c r="B1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0.15340909090909091</v>
      </c>
      <c r="C15" s="13">
        <f>Cleaned_MLB_Stats_Dataset__1[[#This Row],[Strikeouts]]/(Cleaned_MLB_Stats_Dataset__1[[#This Row],[At Bats]]+Cleaned_MLB_Stats_Dataset__1[[#This Row],[Walks]])</f>
        <v>0.24236641221374045</v>
      </c>
      <c r="D15" s="13">
        <f>Cleaned_MLB_Stats_Dataset__1[[#This Row],[Strikeouts]]/(Cleaned_MLB_Stats_Dataset__1[[#This Row],[At Bats]]+Cleaned_MLB_Stats_Dataset__1[[#This Row],[Walks]])</f>
        <v>0.24236641221374045</v>
      </c>
    </row>
    <row r="16" spans="1:4" x14ac:dyDescent="0.2">
      <c r="A1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0.11730205278592376</v>
      </c>
      <c r="B1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0.11730205278592376</v>
      </c>
      <c r="C16" s="12">
        <f>Cleaned_MLB_Stats_Dataset__1[[#This Row],[Strikeouts]]/(Cleaned_MLB_Stats_Dataset__1[[#This Row],[At Bats]]+Cleaned_MLB_Stats_Dataset__1[[#This Row],[Walks]])</f>
        <v>0.23520710059171598</v>
      </c>
      <c r="D16" s="12">
        <f>Cleaned_MLB_Stats_Dataset__1[[#This Row],[Strikeouts]]/(Cleaned_MLB_Stats_Dataset__1[[#This Row],[At Bats]]+Cleaned_MLB_Stats_Dataset__1[[#This Row],[Walks]])</f>
        <v>0.23520710059171598</v>
      </c>
    </row>
    <row r="17" spans="1:4" x14ac:dyDescent="0.2">
      <c r="A1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8.3743842364532015E-2</v>
      </c>
      <c r="B1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8.3743842364532015E-2</v>
      </c>
      <c r="C17" s="13">
        <f>Cleaned_MLB_Stats_Dataset__1[[#This Row],[Strikeouts]]/(Cleaned_MLB_Stats_Dataset__1[[#This Row],[At Bats]]+Cleaned_MLB_Stats_Dataset__1[[#This Row],[Walks]])</f>
        <v>0.23217247097844113</v>
      </c>
      <c r="D17" s="13">
        <f>Cleaned_MLB_Stats_Dataset__1[[#This Row],[Strikeouts]]/(Cleaned_MLB_Stats_Dataset__1[[#This Row],[At Bats]]+Cleaned_MLB_Stats_Dataset__1[[#This Row],[Walks]])</f>
        <v>0.23217247097844113</v>
      </c>
    </row>
    <row r="18" spans="1:4" x14ac:dyDescent="0.2">
      <c r="A1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0.16176470588235295</v>
      </c>
      <c r="B1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0.16176470588235295</v>
      </c>
      <c r="C18" s="12">
        <f>Cleaned_MLB_Stats_Dataset__1[[#This Row],[Strikeouts]]/(Cleaned_MLB_Stats_Dataset__1[[#This Row],[At Bats]]+Cleaned_MLB_Stats_Dataset__1[[#This Row],[Walks]])</f>
        <v>0.23214285714285715</v>
      </c>
      <c r="D18" s="12">
        <f>Cleaned_MLB_Stats_Dataset__1[[#This Row],[Strikeouts]]/(Cleaned_MLB_Stats_Dataset__1[[#This Row],[At Bats]]+Cleaned_MLB_Stats_Dataset__1[[#This Row],[Walks]])</f>
        <v>0.23214285714285715</v>
      </c>
    </row>
    <row r="19" spans="1:4" x14ac:dyDescent="0.2">
      <c r="A1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0.12581699346405228</v>
      </c>
      <c r="B1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0.12581699346405228</v>
      </c>
      <c r="C19" s="13">
        <f>Cleaned_MLB_Stats_Dataset__1[[#This Row],[Strikeouts]]/(Cleaned_MLB_Stats_Dataset__1[[#This Row],[At Bats]]+Cleaned_MLB_Stats_Dataset__1[[#This Row],[Walks]])</f>
        <v>0.22988505747126436</v>
      </c>
      <c r="D19" s="13">
        <f>Cleaned_MLB_Stats_Dataset__1[[#This Row],[Strikeouts]]/(Cleaned_MLB_Stats_Dataset__1[[#This Row],[At Bats]]+Cleaned_MLB_Stats_Dataset__1[[#This Row],[Walks]])</f>
        <v>0.22988505747126436</v>
      </c>
    </row>
    <row r="20" spans="1:4" x14ac:dyDescent="0.2">
      <c r="A2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0.17693836978131214</v>
      </c>
      <c r="B2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0.17693836978131214</v>
      </c>
      <c r="C20" s="12">
        <f>Cleaned_MLB_Stats_Dataset__1[[#This Row],[Strikeouts]]/(Cleaned_MLB_Stats_Dataset__1[[#This Row],[At Bats]]+Cleaned_MLB_Stats_Dataset__1[[#This Row],[Walks]])</f>
        <v>0.22672064777327935</v>
      </c>
      <c r="D20" s="12">
        <f>Cleaned_MLB_Stats_Dataset__1[[#This Row],[Strikeouts]]/(Cleaned_MLB_Stats_Dataset__1[[#This Row],[At Bats]]+Cleaned_MLB_Stats_Dataset__1[[#This Row],[Walks]])</f>
        <v>0.22672064777327935</v>
      </c>
    </row>
    <row r="21" spans="1:4" x14ac:dyDescent="0.2">
      <c r="A2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0.10511756569847856</v>
      </c>
      <c r="B2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0.10511756569847856</v>
      </c>
      <c r="C21" s="13">
        <f>Cleaned_MLB_Stats_Dataset__1[[#This Row],[Strikeouts]]/(Cleaned_MLB_Stats_Dataset__1[[#This Row],[At Bats]]+Cleaned_MLB_Stats_Dataset__1[[#This Row],[Walks]])</f>
        <v>0.22408963585434175</v>
      </c>
      <c r="D21" s="13">
        <f>Cleaned_MLB_Stats_Dataset__1[[#This Row],[Strikeouts]]/(Cleaned_MLB_Stats_Dataset__1[[#This Row],[At Bats]]+Cleaned_MLB_Stats_Dataset__1[[#This Row],[Walks]])</f>
        <v>0.22408963585434175</v>
      </c>
    </row>
    <row r="22" spans="1:4" x14ac:dyDescent="0.2">
      <c r="A2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0.12149532710280374</v>
      </c>
      <c r="B2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0.12149532710280374</v>
      </c>
      <c r="C22" s="12">
        <f>Cleaned_MLB_Stats_Dataset__1[[#This Row],[Strikeouts]]/(Cleaned_MLB_Stats_Dataset__1[[#This Row],[At Bats]]+Cleaned_MLB_Stats_Dataset__1[[#This Row],[Walks]])</f>
        <v>0.21992481203007519</v>
      </c>
      <c r="D22" s="12">
        <f>Cleaned_MLB_Stats_Dataset__1[[#This Row],[Strikeouts]]/(Cleaned_MLB_Stats_Dataset__1[[#This Row],[At Bats]]+Cleaned_MLB_Stats_Dataset__1[[#This Row],[Walks]])</f>
        <v>0.21992481203007519</v>
      </c>
    </row>
    <row r="23" spans="1:4" x14ac:dyDescent="0.2">
      <c r="A2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6.9252077562326875E-2</v>
      </c>
      <c r="B2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6.9252077562326875E-2</v>
      </c>
      <c r="C23" s="13">
        <f>Cleaned_MLB_Stats_Dataset__1[[#This Row],[Strikeouts]]/(Cleaned_MLB_Stats_Dataset__1[[#This Row],[At Bats]]+Cleaned_MLB_Stats_Dataset__1[[#This Row],[Walks]])</f>
        <v>0.21944444444444444</v>
      </c>
      <c r="D23" s="13">
        <f>Cleaned_MLB_Stats_Dataset__1[[#This Row],[Strikeouts]]/(Cleaned_MLB_Stats_Dataset__1[[#This Row],[At Bats]]+Cleaned_MLB_Stats_Dataset__1[[#This Row],[Walks]])</f>
        <v>0.21944444444444444</v>
      </c>
    </row>
    <row r="24" spans="1:4" x14ac:dyDescent="0.2">
      <c r="A2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0.11469534050179211</v>
      </c>
      <c r="B2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0.11469534050179211</v>
      </c>
      <c r="C24" s="12">
        <f>Cleaned_MLB_Stats_Dataset__1[[#This Row],[Strikeouts]]/(Cleaned_MLB_Stats_Dataset__1[[#This Row],[At Bats]]+Cleaned_MLB_Stats_Dataset__1[[#This Row],[Walks]])</f>
        <v>0.21762589928057555</v>
      </c>
      <c r="D24" s="12">
        <f>Cleaned_MLB_Stats_Dataset__1[[#This Row],[Strikeouts]]/(Cleaned_MLB_Stats_Dataset__1[[#This Row],[At Bats]]+Cleaned_MLB_Stats_Dataset__1[[#This Row],[Walks]])</f>
        <v>0.21762589928057555</v>
      </c>
    </row>
    <row r="25" spans="1:4" x14ac:dyDescent="0.2">
      <c r="A2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0.10714285714285714</v>
      </c>
      <c r="B2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0.10714285714285714</v>
      </c>
      <c r="C25" s="13">
        <f>Cleaned_MLB_Stats_Dataset__1[[#This Row],[Strikeouts]]/(Cleaned_MLB_Stats_Dataset__1[[#This Row],[At Bats]]+Cleaned_MLB_Stats_Dataset__1[[#This Row],[Walks]])</f>
        <v>0.21402877697841727</v>
      </c>
      <c r="D25" s="13">
        <f>Cleaned_MLB_Stats_Dataset__1[[#This Row],[Strikeouts]]/(Cleaned_MLB_Stats_Dataset__1[[#This Row],[At Bats]]+Cleaned_MLB_Stats_Dataset__1[[#This Row],[Walks]])</f>
        <v>0.21402877697841727</v>
      </c>
    </row>
    <row r="26" spans="1:4" x14ac:dyDescent="0.2">
      <c r="A2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0.11350293542074363</v>
      </c>
      <c r="B2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0.11350293542074363</v>
      </c>
      <c r="C26" s="12">
        <f>Cleaned_MLB_Stats_Dataset__1[[#This Row],[Strikeouts]]/(Cleaned_MLB_Stats_Dataset__1[[#This Row],[At Bats]]+Cleaned_MLB_Stats_Dataset__1[[#This Row],[Walks]])</f>
        <v>0.21272365805168986</v>
      </c>
      <c r="D26" s="12">
        <f>Cleaned_MLB_Stats_Dataset__1[[#This Row],[Strikeouts]]/(Cleaned_MLB_Stats_Dataset__1[[#This Row],[At Bats]]+Cleaned_MLB_Stats_Dataset__1[[#This Row],[Walks]])</f>
        <v>0.21272365805168986</v>
      </c>
    </row>
    <row r="27" spans="1:4" x14ac:dyDescent="0.2">
      <c r="A2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0.14626865671641792</v>
      </c>
      <c r="B2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0.14626865671641792</v>
      </c>
      <c r="C27" s="13">
        <f>Cleaned_MLB_Stats_Dataset__1[[#This Row],[Strikeouts]]/(Cleaned_MLB_Stats_Dataset__1[[#This Row],[At Bats]]+Cleaned_MLB_Stats_Dataset__1[[#This Row],[Walks]])</f>
        <v>0.20996978851963746</v>
      </c>
      <c r="D27" s="13">
        <f>Cleaned_MLB_Stats_Dataset__1[[#This Row],[Strikeouts]]/(Cleaned_MLB_Stats_Dataset__1[[#This Row],[At Bats]]+Cleaned_MLB_Stats_Dataset__1[[#This Row],[Walks]])</f>
        <v>0.20996978851963746</v>
      </c>
    </row>
    <row r="28" spans="1:4" x14ac:dyDescent="0.2">
      <c r="A2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0.14117647058823529</v>
      </c>
      <c r="B2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0.14117647058823529</v>
      </c>
      <c r="C28" s="12">
        <f>Cleaned_MLB_Stats_Dataset__1[[#This Row],[Strikeouts]]/(Cleaned_MLB_Stats_Dataset__1[[#This Row],[At Bats]]+Cleaned_MLB_Stats_Dataset__1[[#This Row],[Walks]])</f>
        <v>0.20623501199040767</v>
      </c>
      <c r="D28" s="12">
        <f>Cleaned_MLB_Stats_Dataset__1[[#This Row],[Strikeouts]]/(Cleaned_MLB_Stats_Dataset__1[[#This Row],[At Bats]]+Cleaned_MLB_Stats_Dataset__1[[#This Row],[Walks]])</f>
        <v>0.20623501199040767</v>
      </c>
    </row>
    <row r="29" spans="1:4" x14ac:dyDescent="0.2">
      <c r="A2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0.13412563667232597</v>
      </c>
      <c r="B2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0.13412563667232597</v>
      </c>
      <c r="C29" s="13">
        <f>Cleaned_MLB_Stats_Dataset__1[[#This Row],[Strikeouts]]/(Cleaned_MLB_Stats_Dataset__1[[#This Row],[At Bats]]+Cleaned_MLB_Stats_Dataset__1[[#This Row],[Walks]])</f>
        <v>0.20347826086956522</v>
      </c>
      <c r="D29" s="13">
        <f>Cleaned_MLB_Stats_Dataset__1[[#This Row],[Strikeouts]]/(Cleaned_MLB_Stats_Dataset__1[[#This Row],[At Bats]]+Cleaned_MLB_Stats_Dataset__1[[#This Row],[Walks]])</f>
        <v>0.20347826086956522</v>
      </c>
    </row>
    <row r="30" spans="1:4" x14ac:dyDescent="0.2">
      <c r="A3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0.10912052117263844</v>
      </c>
      <c r="B3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0.10912052117263844</v>
      </c>
      <c r="C30" s="12">
        <f>Cleaned_MLB_Stats_Dataset__1[[#This Row],[Strikeouts]]/(Cleaned_MLB_Stats_Dataset__1[[#This Row],[At Bats]]+Cleaned_MLB_Stats_Dataset__1[[#This Row],[Walks]])</f>
        <v>0.20261437908496732</v>
      </c>
      <c r="D30" s="12">
        <f>Cleaned_MLB_Stats_Dataset__1[[#This Row],[Strikeouts]]/(Cleaned_MLB_Stats_Dataset__1[[#This Row],[At Bats]]+Cleaned_MLB_Stats_Dataset__1[[#This Row],[Walks]])</f>
        <v>0.20261437908496732</v>
      </c>
    </row>
    <row r="31" spans="1:4" x14ac:dyDescent="0.2">
      <c r="A3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0.18338108882521489</v>
      </c>
      <c r="B3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0.18338108882521489</v>
      </c>
      <c r="C31" s="13">
        <f>Cleaned_MLB_Stats_Dataset__1[[#This Row],[Strikeouts]]/(Cleaned_MLB_Stats_Dataset__1[[#This Row],[At Bats]]+Cleaned_MLB_Stats_Dataset__1[[#This Row],[Walks]])</f>
        <v>0.20176730486008837</v>
      </c>
      <c r="D31" s="13">
        <f>Cleaned_MLB_Stats_Dataset__1[[#This Row],[Strikeouts]]/(Cleaned_MLB_Stats_Dataset__1[[#This Row],[At Bats]]+Cleaned_MLB_Stats_Dataset__1[[#This Row],[Walks]])</f>
        <v>0.20176730486008837</v>
      </c>
    </row>
    <row r="32" spans="1:4" x14ac:dyDescent="0.2">
      <c r="A3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4.8104956268221574E-2</v>
      </c>
      <c r="B3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4.8104956268221574E-2</v>
      </c>
      <c r="C32" s="12">
        <f>Cleaned_MLB_Stats_Dataset__1[[#This Row],[Strikeouts]]/(Cleaned_MLB_Stats_Dataset__1[[#This Row],[At Bats]]+Cleaned_MLB_Stats_Dataset__1[[#This Row],[Walks]])</f>
        <v>0.20058997050147492</v>
      </c>
      <c r="D32" s="12">
        <f>Cleaned_MLB_Stats_Dataset__1[[#This Row],[Strikeouts]]/(Cleaned_MLB_Stats_Dataset__1[[#This Row],[At Bats]]+Cleaned_MLB_Stats_Dataset__1[[#This Row],[Walks]])</f>
        <v>0.20058997050147492</v>
      </c>
    </row>
    <row r="33" spans="1:4" x14ac:dyDescent="0.2">
      <c r="A3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0.10069444444444445</v>
      </c>
      <c r="B3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0.10069444444444445</v>
      </c>
      <c r="C33" s="13">
        <f>Cleaned_MLB_Stats_Dataset__1[[#This Row],[Strikeouts]]/(Cleaned_MLB_Stats_Dataset__1[[#This Row],[At Bats]]+Cleaned_MLB_Stats_Dataset__1[[#This Row],[Walks]])</f>
        <v>0.20034843205574912</v>
      </c>
      <c r="D33" s="13">
        <f>Cleaned_MLB_Stats_Dataset__1[[#This Row],[Strikeouts]]/(Cleaned_MLB_Stats_Dataset__1[[#This Row],[At Bats]]+Cleaned_MLB_Stats_Dataset__1[[#This Row],[Walks]])</f>
        <v>0.20034843205574912</v>
      </c>
    </row>
    <row r="34" spans="1:4" x14ac:dyDescent="0.2">
      <c r="A3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0.12841530054644809</v>
      </c>
      <c r="B3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0.12841530054644809</v>
      </c>
      <c r="C34" s="12">
        <f>Cleaned_MLB_Stats_Dataset__1[[#This Row],[Strikeouts]]/(Cleaned_MLB_Stats_Dataset__1[[#This Row],[At Bats]]+Cleaned_MLB_Stats_Dataset__1[[#This Row],[Walks]])</f>
        <v>0.2</v>
      </c>
      <c r="D34" s="12">
        <f>Cleaned_MLB_Stats_Dataset__1[[#This Row],[Strikeouts]]/(Cleaned_MLB_Stats_Dataset__1[[#This Row],[At Bats]]+Cleaned_MLB_Stats_Dataset__1[[#This Row],[Walks]])</f>
        <v>0.2</v>
      </c>
    </row>
    <row r="35" spans="1:4" x14ac:dyDescent="0.2">
      <c r="A3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0.1502808988764045</v>
      </c>
      <c r="B3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0.1502808988764045</v>
      </c>
      <c r="C35" s="13">
        <f>Cleaned_MLB_Stats_Dataset__1[[#This Row],[Strikeouts]]/(Cleaned_MLB_Stats_Dataset__1[[#This Row],[At Bats]]+Cleaned_MLB_Stats_Dataset__1[[#This Row],[Walks]])</f>
        <v>0.19971264367816091</v>
      </c>
      <c r="D35" s="13">
        <f>Cleaned_MLB_Stats_Dataset__1[[#This Row],[Strikeouts]]/(Cleaned_MLB_Stats_Dataset__1[[#This Row],[At Bats]]+Cleaned_MLB_Stats_Dataset__1[[#This Row],[Walks]])</f>
        <v>0.19971264367816091</v>
      </c>
    </row>
    <row r="36" spans="1:4" x14ac:dyDescent="0.2">
      <c r="A3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0.17241379310344829</v>
      </c>
      <c r="B3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0.17241379310344829</v>
      </c>
      <c r="C36" s="12">
        <f>Cleaned_MLB_Stats_Dataset__1[[#This Row],[Strikeouts]]/(Cleaned_MLB_Stats_Dataset__1[[#This Row],[At Bats]]+Cleaned_MLB_Stats_Dataset__1[[#This Row],[Walks]])</f>
        <v>0.19935691318327975</v>
      </c>
      <c r="D36" s="12">
        <f>Cleaned_MLB_Stats_Dataset__1[[#This Row],[Strikeouts]]/(Cleaned_MLB_Stats_Dataset__1[[#This Row],[At Bats]]+Cleaned_MLB_Stats_Dataset__1[[#This Row],[Walks]])</f>
        <v>0.19935691318327975</v>
      </c>
    </row>
    <row r="37" spans="1:4" x14ac:dyDescent="0.2">
      <c r="A3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7.2837632776934752E-2</v>
      </c>
      <c r="B3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7.2837632776934752E-2</v>
      </c>
      <c r="C37" s="13">
        <f>Cleaned_MLB_Stats_Dataset__1[[#This Row],[Strikeouts]]/(Cleaned_MLB_Stats_Dataset__1[[#This Row],[At Bats]]+Cleaned_MLB_Stats_Dataset__1[[#This Row],[Walks]])</f>
        <v>0.19754977029096477</v>
      </c>
      <c r="D37" s="13">
        <f>Cleaned_MLB_Stats_Dataset__1[[#This Row],[Strikeouts]]/(Cleaned_MLB_Stats_Dataset__1[[#This Row],[At Bats]]+Cleaned_MLB_Stats_Dataset__1[[#This Row],[Walks]])</f>
        <v>0.19754977029096477</v>
      </c>
    </row>
    <row r="38" spans="1:4" x14ac:dyDescent="0.2">
      <c r="A3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0.16807909604519775</v>
      </c>
      <c r="B3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0.16807909604519775</v>
      </c>
      <c r="C38" s="12">
        <f>Cleaned_MLB_Stats_Dataset__1[[#This Row],[Strikeouts]]/(Cleaned_MLB_Stats_Dataset__1[[#This Row],[At Bats]]+Cleaned_MLB_Stats_Dataset__1[[#This Row],[Walks]])</f>
        <v>0.19456366237482117</v>
      </c>
      <c r="D38" s="12">
        <f>Cleaned_MLB_Stats_Dataset__1[[#This Row],[Strikeouts]]/(Cleaned_MLB_Stats_Dataset__1[[#This Row],[At Bats]]+Cleaned_MLB_Stats_Dataset__1[[#This Row],[Walks]])</f>
        <v>0.19456366237482117</v>
      </c>
    </row>
    <row r="39" spans="1:4" x14ac:dyDescent="0.2">
      <c r="A3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0.13469387755102041</v>
      </c>
      <c r="B3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0.13469387755102041</v>
      </c>
      <c r="C39" s="13">
        <f>Cleaned_MLB_Stats_Dataset__1[[#This Row],[Strikeouts]]/(Cleaned_MLB_Stats_Dataset__1[[#This Row],[At Bats]]+Cleaned_MLB_Stats_Dataset__1[[#This Row],[Walks]])</f>
        <v>0.19381443298969073</v>
      </c>
      <c r="D39" s="13">
        <f>Cleaned_MLB_Stats_Dataset__1[[#This Row],[Strikeouts]]/(Cleaned_MLB_Stats_Dataset__1[[#This Row],[At Bats]]+Cleaned_MLB_Stats_Dataset__1[[#This Row],[Walks]])</f>
        <v>0.19381443298969073</v>
      </c>
    </row>
    <row r="40" spans="1:4" x14ac:dyDescent="0.2">
      <c r="A4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0.11011904761904762</v>
      </c>
      <c r="B4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0.11011904761904762</v>
      </c>
      <c r="C40" s="12">
        <f>Cleaned_MLB_Stats_Dataset__1[[#This Row],[Strikeouts]]/(Cleaned_MLB_Stats_Dataset__1[[#This Row],[At Bats]]+Cleaned_MLB_Stats_Dataset__1[[#This Row],[Walks]])</f>
        <v>0.19364599092284418</v>
      </c>
      <c r="D40" s="12">
        <f>Cleaned_MLB_Stats_Dataset__1[[#This Row],[Strikeouts]]/(Cleaned_MLB_Stats_Dataset__1[[#This Row],[At Bats]]+Cleaned_MLB_Stats_Dataset__1[[#This Row],[Walks]])</f>
        <v>0.19364599092284418</v>
      </c>
    </row>
    <row r="41" spans="1:4" x14ac:dyDescent="0.2">
      <c r="A4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0.19305555555555556</v>
      </c>
      <c r="B4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0.19305555555555556</v>
      </c>
      <c r="C41" s="13">
        <f>Cleaned_MLB_Stats_Dataset__1[[#This Row],[Strikeouts]]/(Cleaned_MLB_Stats_Dataset__1[[#This Row],[At Bats]]+Cleaned_MLB_Stats_Dataset__1[[#This Row],[Walks]])</f>
        <v>0.19273743016759776</v>
      </c>
      <c r="D41" s="13">
        <f>Cleaned_MLB_Stats_Dataset__1[[#This Row],[Strikeouts]]/(Cleaned_MLB_Stats_Dataset__1[[#This Row],[At Bats]]+Cleaned_MLB_Stats_Dataset__1[[#This Row],[Walks]])</f>
        <v>0.19273743016759776</v>
      </c>
    </row>
    <row r="42" spans="1:4" x14ac:dyDescent="0.2">
      <c r="A4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0.13024602026049203</v>
      </c>
      <c r="B4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0.13024602026049203</v>
      </c>
      <c r="C42" s="12">
        <f>Cleaned_MLB_Stats_Dataset__1[[#This Row],[Strikeouts]]/(Cleaned_MLB_Stats_Dataset__1[[#This Row],[At Bats]]+Cleaned_MLB_Stats_Dataset__1[[#This Row],[Walks]])</f>
        <v>0.19236417033773862</v>
      </c>
      <c r="D42" s="12">
        <f>Cleaned_MLB_Stats_Dataset__1[[#This Row],[Strikeouts]]/(Cleaned_MLB_Stats_Dataset__1[[#This Row],[At Bats]]+Cleaned_MLB_Stats_Dataset__1[[#This Row],[Walks]])</f>
        <v>0.19236417033773862</v>
      </c>
    </row>
    <row r="43" spans="1:4" x14ac:dyDescent="0.2">
      <c r="A4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0.11827956989247312</v>
      </c>
      <c r="B4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0.11827956989247312</v>
      </c>
      <c r="C43" s="13">
        <f>Cleaned_MLB_Stats_Dataset__1[[#This Row],[Strikeouts]]/(Cleaned_MLB_Stats_Dataset__1[[#This Row],[At Bats]]+Cleaned_MLB_Stats_Dataset__1[[#This Row],[Walks]])</f>
        <v>0.19195046439628483</v>
      </c>
      <c r="D43" s="13">
        <f>Cleaned_MLB_Stats_Dataset__1[[#This Row],[Strikeouts]]/(Cleaned_MLB_Stats_Dataset__1[[#This Row],[At Bats]]+Cleaned_MLB_Stats_Dataset__1[[#This Row],[Walks]])</f>
        <v>0.19195046439628483</v>
      </c>
    </row>
    <row r="44" spans="1:4" x14ac:dyDescent="0.2">
      <c r="A4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0.17636986301369864</v>
      </c>
      <c r="B4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0.17636986301369864</v>
      </c>
      <c r="C44" s="12">
        <f>Cleaned_MLB_Stats_Dataset__1[[#This Row],[Strikeouts]]/(Cleaned_MLB_Stats_Dataset__1[[#This Row],[At Bats]]+Cleaned_MLB_Stats_Dataset__1[[#This Row],[Walks]])</f>
        <v>0.19163763066202091</v>
      </c>
      <c r="D44" s="12">
        <f>Cleaned_MLB_Stats_Dataset__1[[#This Row],[Strikeouts]]/(Cleaned_MLB_Stats_Dataset__1[[#This Row],[At Bats]]+Cleaned_MLB_Stats_Dataset__1[[#This Row],[Walks]])</f>
        <v>0.19163763066202091</v>
      </c>
    </row>
    <row r="45" spans="1:4" x14ac:dyDescent="0.2">
      <c r="A4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0.13414634146341464</v>
      </c>
      <c r="B4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0.13414634146341464</v>
      </c>
      <c r="C45" s="13">
        <f>Cleaned_MLB_Stats_Dataset__1[[#This Row],[Strikeouts]]/(Cleaned_MLB_Stats_Dataset__1[[#This Row],[At Bats]]+Cleaned_MLB_Stats_Dataset__1[[#This Row],[Walks]])</f>
        <v>0.19076923076923077</v>
      </c>
      <c r="D45" s="13">
        <f>Cleaned_MLB_Stats_Dataset__1[[#This Row],[Strikeouts]]/(Cleaned_MLB_Stats_Dataset__1[[#This Row],[At Bats]]+Cleaned_MLB_Stats_Dataset__1[[#This Row],[Walks]])</f>
        <v>0.19076923076923077</v>
      </c>
    </row>
    <row r="46" spans="1:4" x14ac:dyDescent="0.2">
      <c r="A4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0.1729957805907173</v>
      </c>
      <c r="B4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0.1729957805907173</v>
      </c>
      <c r="C46" s="12">
        <f>Cleaned_MLB_Stats_Dataset__1[[#This Row],[Strikeouts]]/(Cleaned_MLB_Stats_Dataset__1[[#This Row],[At Bats]]+Cleaned_MLB_Stats_Dataset__1[[#This Row],[Walks]])</f>
        <v>0.1900709219858156</v>
      </c>
      <c r="D46" s="12">
        <f>Cleaned_MLB_Stats_Dataset__1[[#This Row],[Strikeouts]]/(Cleaned_MLB_Stats_Dataset__1[[#This Row],[At Bats]]+Cleaned_MLB_Stats_Dataset__1[[#This Row],[Walks]])</f>
        <v>0.1900709219858156</v>
      </c>
    </row>
    <row r="47" spans="1:4" x14ac:dyDescent="0.2">
      <c r="A4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6.6052227342549924E-2</v>
      </c>
      <c r="B4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6.6052227342549924E-2</v>
      </c>
      <c r="C47" s="13">
        <f>Cleaned_MLB_Stats_Dataset__1[[#This Row],[Strikeouts]]/(Cleaned_MLB_Stats_Dataset__1[[#This Row],[At Bats]]+Cleaned_MLB_Stats_Dataset__1[[#This Row],[Walks]])</f>
        <v>0.18876755070202808</v>
      </c>
      <c r="D47" s="13">
        <f>Cleaned_MLB_Stats_Dataset__1[[#This Row],[Strikeouts]]/(Cleaned_MLB_Stats_Dataset__1[[#This Row],[At Bats]]+Cleaned_MLB_Stats_Dataset__1[[#This Row],[Walks]])</f>
        <v>0.18876755070202808</v>
      </c>
    </row>
    <row r="48" spans="1:4" x14ac:dyDescent="0.2">
      <c r="A4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1.953125E-2</v>
      </c>
      <c r="B4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1.953125E-2</v>
      </c>
      <c r="C48" s="12">
        <f>Cleaned_MLB_Stats_Dataset__1[[#This Row],[Strikeouts]]/(Cleaned_MLB_Stats_Dataset__1[[#This Row],[At Bats]]+Cleaned_MLB_Stats_Dataset__1[[#This Row],[Walks]])</f>
        <v>0.18786692759295498</v>
      </c>
      <c r="D48" s="12">
        <f>Cleaned_MLB_Stats_Dataset__1[[#This Row],[Strikeouts]]/(Cleaned_MLB_Stats_Dataset__1[[#This Row],[At Bats]]+Cleaned_MLB_Stats_Dataset__1[[#This Row],[Walks]])</f>
        <v>0.18786692759295498</v>
      </c>
    </row>
    <row r="49" spans="1:4" x14ac:dyDescent="0.2">
      <c r="A4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0.13975155279503104</v>
      </c>
      <c r="B4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0.13975155279503104</v>
      </c>
      <c r="C49" s="13">
        <f>Cleaned_MLB_Stats_Dataset__1[[#This Row],[Strikeouts]]/(Cleaned_MLB_Stats_Dataset__1[[#This Row],[At Bats]]+Cleaned_MLB_Stats_Dataset__1[[#This Row],[Walks]])</f>
        <v>0.18769716088328076</v>
      </c>
      <c r="D49" s="13">
        <f>Cleaned_MLB_Stats_Dataset__1[[#This Row],[Strikeouts]]/(Cleaned_MLB_Stats_Dataset__1[[#This Row],[At Bats]]+Cleaned_MLB_Stats_Dataset__1[[#This Row],[Walks]])</f>
        <v>0.18769716088328076</v>
      </c>
    </row>
    <row r="50" spans="1:4" x14ac:dyDescent="0.2">
      <c r="A5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8.9385474860335198E-2</v>
      </c>
      <c r="B5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8.9385474860335198E-2</v>
      </c>
      <c r="C50" s="12">
        <f>Cleaned_MLB_Stats_Dataset__1[[#This Row],[Strikeouts]]/(Cleaned_MLB_Stats_Dataset__1[[#This Row],[At Bats]]+Cleaned_MLB_Stats_Dataset__1[[#This Row],[Walks]])</f>
        <v>0.18691588785046728</v>
      </c>
      <c r="D50" s="12">
        <f>Cleaned_MLB_Stats_Dataset__1[[#This Row],[Strikeouts]]/(Cleaned_MLB_Stats_Dataset__1[[#This Row],[At Bats]]+Cleaned_MLB_Stats_Dataset__1[[#This Row],[Walks]])</f>
        <v>0.18691588785046728</v>
      </c>
    </row>
    <row r="51" spans="1:4" x14ac:dyDescent="0.2">
      <c r="A5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0.13229571984435798</v>
      </c>
      <c r="B5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0.13229571984435798</v>
      </c>
      <c r="C51" s="13">
        <f>Cleaned_MLB_Stats_Dataset__1[[#This Row],[Strikeouts]]/(Cleaned_MLB_Stats_Dataset__1[[#This Row],[At Bats]]+Cleaned_MLB_Stats_Dataset__1[[#This Row],[Walks]])</f>
        <v>0.18379446640316205</v>
      </c>
      <c r="D51" s="13">
        <f>Cleaned_MLB_Stats_Dataset__1[[#This Row],[Strikeouts]]/(Cleaned_MLB_Stats_Dataset__1[[#This Row],[At Bats]]+Cleaned_MLB_Stats_Dataset__1[[#This Row],[Walks]])</f>
        <v>0.18379446640316205</v>
      </c>
    </row>
    <row r="52" spans="1:4" x14ac:dyDescent="0.2">
      <c r="A5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7.4898785425101214E-2</v>
      </c>
      <c r="B5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7.4898785425101214E-2</v>
      </c>
      <c r="C52" s="12">
        <f>Cleaned_MLB_Stats_Dataset__1[[#This Row],[Strikeouts]]/(Cleaned_MLB_Stats_Dataset__1[[#This Row],[At Bats]]+Cleaned_MLB_Stats_Dataset__1[[#This Row],[Walks]])</f>
        <v>0.18367346938775511</v>
      </c>
      <c r="D52" s="12">
        <f>Cleaned_MLB_Stats_Dataset__1[[#This Row],[Strikeouts]]/(Cleaned_MLB_Stats_Dataset__1[[#This Row],[At Bats]]+Cleaned_MLB_Stats_Dataset__1[[#This Row],[Walks]])</f>
        <v>0.18367346938775511</v>
      </c>
    </row>
    <row r="53" spans="1:4" x14ac:dyDescent="0.2">
      <c r="A5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8.3459787556904405E-2</v>
      </c>
      <c r="B5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8.3459787556904405E-2</v>
      </c>
      <c r="C53" s="13">
        <f>Cleaned_MLB_Stats_Dataset__1[[#This Row],[Strikeouts]]/(Cleaned_MLB_Stats_Dataset__1[[#This Row],[At Bats]]+Cleaned_MLB_Stats_Dataset__1[[#This Row],[Walks]])</f>
        <v>0.18364197530864199</v>
      </c>
      <c r="D53" s="13">
        <f>Cleaned_MLB_Stats_Dataset__1[[#This Row],[Strikeouts]]/(Cleaned_MLB_Stats_Dataset__1[[#This Row],[At Bats]]+Cleaned_MLB_Stats_Dataset__1[[#This Row],[Walks]])</f>
        <v>0.18364197530864199</v>
      </c>
    </row>
    <row r="54" spans="1:4" x14ac:dyDescent="0.2">
      <c r="A5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0.10215827338129496</v>
      </c>
      <c r="B5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0.10215827338129496</v>
      </c>
      <c r="C54" s="12">
        <f>Cleaned_MLB_Stats_Dataset__1[[#This Row],[Strikeouts]]/(Cleaned_MLB_Stats_Dataset__1[[#This Row],[At Bats]]+Cleaned_MLB_Stats_Dataset__1[[#This Row],[Walks]])</f>
        <v>0.18313953488372092</v>
      </c>
      <c r="D54" s="12">
        <f>Cleaned_MLB_Stats_Dataset__1[[#This Row],[Strikeouts]]/(Cleaned_MLB_Stats_Dataset__1[[#This Row],[At Bats]]+Cleaned_MLB_Stats_Dataset__1[[#This Row],[Walks]])</f>
        <v>0.18313953488372092</v>
      </c>
    </row>
    <row r="55" spans="1:4" x14ac:dyDescent="0.2">
      <c r="A5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0.10476190476190476</v>
      </c>
      <c r="B5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0.10476190476190476</v>
      </c>
      <c r="C55" s="13">
        <f>Cleaned_MLB_Stats_Dataset__1[[#This Row],[Strikeouts]]/(Cleaned_MLB_Stats_Dataset__1[[#This Row],[At Bats]]+Cleaned_MLB_Stats_Dataset__1[[#This Row],[Walks]])</f>
        <v>0.18307905686546463</v>
      </c>
      <c r="D55" s="13">
        <f>Cleaned_MLB_Stats_Dataset__1[[#This Row],[Strikeouts]]/(Cleaned_MLB_Stats_Dataset__1[[#This Row],[At Bats]]+Cleaned_MLB_Stats_Dataset__1[[#This Row],[Walks]])</f>
        <v>0.18307905686546463</v>
      </c>
    </row>
    <row r="56" spans="1:4" x14ac:dyDescent="0.2">
      <c r="A5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0.15361890694239291</v>
      </c>
      <c r="B5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0.15361890694239291</v>
      </c>
      <c r="C56" s="12">
        <f>Cleaned_MLB_Stats_Dataset__1[[#This Row],[Strikeouts]]/(Cleaned_MLB_Stats_Dataset__1[[#This Row],[At Bats]]+Cleaned_MLB_Stats_Dataset__1[[#This Row],[Walks]])</f>
        <v>0.18250377073906485</v>
      </c>
      <c r="D56" s="12">
        <f>Cleaned_MLB_Stats_Dataset__1[[#This Row],[Strikeouts]]/(Cleaned_MLB_Stats_Dataset__1[[#This Row],[At Bats]]+Cleaned_MLB_Stats_Dataset__1[[#This Row],[Walks]])</f>
        <v>0.18250377073906485</v>
      </c>
    </row>
    <row r="57" spans="1:4" x14ac:dyDescent="0.2">
      <c r="A5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0.20930232558139536</v>
      </c>
      <c r="B5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0.20930232558139536</v>
      </c>
      <c r="C57" s="13">
        <f>Cleaned_MLB_Stats_Dataset__1[[#This Row],[Strikeouts]]/(Cleaned_MLB_Stats_Dataset__1[[#This Row],[At Bats]]+Cleaned_MLB_Stats_Dataset__1[[#This Row],[Walks]])</f>
        <v>0.18162393162393162</v>
      </c>
      <c r="D57" s="13">
        <f>Cleaned_MLB_Stats_Dataset__1[[#This Row],[Strikeouts]]/(Cleaned_MLB_Stats_Dataset__1[[#This Row],[At Bats]]+Cleaned_MLB_Stats_Dataset__1[[#This Row],[Walks]])</f>
        <v>0.18162393162393162</v>
      </c>
    </row>
    <row r="58" spans="1:4" x14ac:dyDescent="0.2">
      <c r="A5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0.14386459802538787</v>
      </c>
      <c r="B5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0.14386459802538787</v>
      </c>
      <c r="C58" s="12">
        <f>Cleaned_MLB_Stats_Dataset__1[[#This Row],[Strikeouts]]/(Cleaned_MLB_Stats_Dataset__1[[#This Row],[At Bats]]+Cleaned_MLB_Stats_Dataset__1[[#This Row],[Walks]])</f>
        <v>0.18155619596541786</v>
      </c>
      <c r="D58" s="12">
        <f>Cleaned_MLB_Stats_Dataset__1[[#This Row],[Strikeouts]]/(Cleaned_MLB_Stats_Dataset__1[[#This Row],[At Bats]]+Cleaned_MLB_Stats_Dataset__1[[#This Row],[Walks]])</f>
        <v>0.18155619596541786</v>
      </c>
    </row>
    <row r="59" spans="1:4" x14ac:dyDescent="0.2">
      <c r="A5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6.8306010928961755E-2</v>
      </c>
      <c r="B5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6.8306010928961755E-2</v>
      </c>
      <c r="C59" s="13">
        <f>Cleaned_MLB_Stats_Dataset__1[[#This Row],[Strikeouts]]/(Cleaned_MLB_Stats_Dataset__1[[#This Row],[At Bats]]+Cleaned_MLB_Stats_Dataset__1[[#This Row],[Walks]])</f>
        <v>0.18055555555555555</v>
      </c>
      <c r="D59" s="13">
        <f>Cleaned_MLB_Stats_Dataset__1[[#This Row],[Strikeouts]]/(Cleaned_MLB_Stats_Dataset__1[[#This Row],[At Bats]]+Cleaned_MLB_Stats_Dataset__1[[#This Row],[Walks]])</f>
        <v>0.18055555555555555</v>
      </c>
    </row>
    <row r="60" spans="1:4" x14ac:dyDescent="0.2">
      <c r="A6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0.12091503267973856</v>
      </c>
      <c r="B6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0.12091503267973856</v>
      </c>
      <c r="C60" s="12">
        <f>Cleaned_MLB_Stats_Dataset__1[[#This Row],[Strikeouts]]/(Cleaned_MLB_Stats_Dataset__1[[#This Row],[At Bats]]+Cleaned_MLB_Stats_Dataset__1[[#This Row],[Walks]])</f>
        <v>0.18</v>
      </c>
      <c r="D60" s="12">
        <f>Cleaned_MLB_Stats_Dataset__1[[#This Row],[Strikeouts]]/(Cleaned_MLB_Stats_Dataset__1[[#This Row],[At Bats]]+Cleaned_MLB_Stats_Dataset__1[[#This Row],[Walks]])</f>
        <v>0.18</v>
      </c>
    </row>
    <row r="61" spans="1:4" x14ac:dyDescent="0.2">
      <c r="A6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0.14513788098693758</v>
      </c>
      <c r="B6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0.14513788098693758</v>
      </c>
      <c r="C61" s="13">
        <f>Cleaned_MLB_Stats_Dataset__1[[#This Row],[Strikeouts]]/(Cleaned_MLB_Stats_Dataset__1[[#This Row],[At Bats]]+Cleaned_MLB_Stats_Dataset__1[[#This Row],[Walks]])</f>
        <v>0.17914831130690162</v>
      </c>
      <c r="D61" s="13">
        <f>Cleaned_MLB_Stats_Dataset__1[[#This Row],[Strikeouts]]/(Cleaned_MLB_Stats_Dataset__1[[#This Row],[At Bats]]+Cleaned_MLB_Stats_Dataset__1[[#This Row],[Walks]])</f>
        <v>0.17914831130690162</v>
      </c>
    </row>
    <row r="62" spans="1:4" x14ac:dyDescent="0.2">
      <c r="A6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0.14065180102915953</v>
      </c>
      <c r="B6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0.14065180102915953</v>
      </c>
      <c r="C62" s="12">
        <f>Cleaned_MLB_Stats_Dataset__1[[#This Row],[Strikeouts]]/(Cleaned_MLB_Stats_Dataset__1[[#This Row],[At Bats]]+Cleaned_MLB_Stats_Dataset__1[[#This Row],[Walks]])</f>
        <v>0.17869415807560138</v>
      </c>
      <c r="D62" s="12">
        <f>Cleaned_MLB_Stats_Dataset__1[[#This Row],[Strikeouts]]/(Cleaned_MLB_Stats_Dataset__1[[#This Row],[At Bats]]+Cleaned_MLB_Stats_Dataset__1[[#This Row],[Walks]])</f>
        <v>0.17869415807560138</v>
      </c>
    </row>
    <row r="63" spans="1:4" x14ac:dyDescent="0.2">
      <c r="A6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0.11360000000000001</v>
      </c>
      <c r="B6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0.11360000000000001</v>
      </c>
      <c r="C63" s="13">
        <f>Cleaned_MLB_Stats_Dataset__1[[#This Row],[Strikeouts]]/(Cleaned_MLB_Stats_Dataset__1[[#This Row],[At Bats]]+Cleaned_MLB_Stats_Dataset__1[[#This Row],[Walks]])</f>
        <v>0.1781701444622793</v>
      </c>
      <c r="D63" s="13">
        <f>Cleaned_MLB_Stats_Dataset__1[[#This Row],[Strikeouts]]/(Cleaned_MLB_Stats_Dataset__1[[#This Row],[At Bats]]+Cleaned_MLB_Stats_Dataset__1[[#This Row],[Walks]])</f>
        <v>0.1781701444622793</v>
      </c>
    </row>
    <row r="64" spans="1:4" x14ac:dyDescent="0.2">
      <c r="A6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0.10708117443868739</v>
      </c>
      <c r="B6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0.10708117443868739</v>
      </c>
      <c r="C64" s="12">
        <f>Cleaned_MLB_Stats_Dataset__1[[#This Row],[Strikeouts]]/(Cleaned_MLB_Stats_Dataset__1[[#This Row],[At Bats]]+Cleaned_MLB_Stats_Dataset__1[[#This Row],[Walks]])</f>
        <v>0.17708333333333334</v>
      </c>
      <c r="D64" s="12">
        <f>Cleaned_MLB_Stats_Dataset__1[[#This Row],[Strikeouts]]/(Cleaned_MLB_Stats_Dataset__1[[#This Row],[At Bats]]+Cleaned_MLB_Stats_Dataset__1[[#This Row],[Walks]])</f>
        <v>0.17708333333333334</v>
      </c>
    </row>
    <row r="65" spans="1:4" x14ac:dyDescent="0.2">
      <c r="A6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0.16595135908440631</v>
      </c>
      <c r="B6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0.16595135908440631</v>
      </c>
      <c r="C65" s="13">
        <f>Cleaned_MLB_Stats_Dataset__1[[#This Row],[Strikeouts]]/(Cleaned_MLB_Stats_Dataset__1[[#This Row],[At Bats]]+Cleaned_MLB_Stats_Dataset__1[[#This Row],[Walks]])</f>
        <v>0.17699115044247787</v>
      </c>
      <c r="D65" s="13">
        <f>Cleaned_MLB_Stats_Dataset__1[[#This Row],[Strikeouts]]/(Cleaned_MLB_Stats_Dataset__1[[#This Row],[At Bats]]+Cleaned_MLB_Stats_Dataset__1[[#This Row],[Walks]])</f>
        <v>0.17699115044247787</v>
      </c>
    </row>
    <row r="66" spans="1:4" x14ac:dyDescent="0.2">
      <c r="A6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7.7651515151515152E-2</v>
      </c>
      <c r="B6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7.7651515151515152E-2</v>
      </c>
      <c r="C66" s="12">
        <f>Cleaned_MLB_Stats_Dataset__1[[#This Row],[Strikeouts]]/(Cleaned_MLB_Stats_Dataset__1[[#This Row],[At Bats]]+Cleaned_MLB_Stats_Dataset__1[[#This Row],[Walks]])</f>
        <v>0.17680608365019013</v>
      </c>
      <c r="D66" s="12">
        <f>Cleaned_MLB_Stats_Dataset__1[[#This Row],[Strikeouts]]/(Cleaned_MLB_Stats_Dataset__1[[#This Row],[At Bats]]+Cleaned_MLB_Stats_Dataset__1[[#This Row],[Walks]])</f>
        <v>0.17680608365019013</v>
      </c>
    </row>
    <row r="67" spans="1:4" x14ac:dyDescent="0.2">
      <c r="A6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0.14630681818181818</v>
      </c>
      <c r="B6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0.14630681818181818</v>
      </c>
      <c r="C67" s="13">
        <f>Cleaned_MLB_Stats_Dataset__1[[#This Row],[Strikeouts]]/(Cleaned_MLB_Stats_Dataset__1[[#This Row],[At Bats]]+Cleaned_MLB_Stats_Dataset__1[[#This Row],[Walks]])</f>
        <v>0.1763869132290185</v>
      </c>
      <c r="D67" s="13">
        <f>Cleaned_MLB_Stats_Dataset__1[[#This Row],[Strikeouts]]/(Cleaned_MLB_Stats_Dataset__1[[#This Row],[At Bats]]+Cleaned_MLB_Stats_Dataset__1[[#This Row],[Walks]])</f>
        <v>0.1763869132290185</v>
      </c>
    </row>
    <row r="68" spans="1:4" x14ac:dyDescent="0.2">
      <c r="A6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0.12055335968379446</v>
      </c>
      <c r="B6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0.12055335968379446</v>
      </c>
      <c r="C68" s="12">
        <f>Cleaned_MLB_Stats_Dataset__1[[#This Row],[Strikeouts]]/(Cleaned_MLB_Stats_Dataset__1[[#This Row],[At Bats]]+Cleaned_MLB_Stats_Dataset__1[[#This Row],[Walks]])</f>
        <v>0.17588932806324112</v>
      </c>
      <c r="D68" s="12">
        <f>Cleaned_MLB_Stats_Dataset__1[[#This Row],[Strikeouts]]/(Cleaned_MLB_Stats_Dataset__1[[#This Row],[At Bats]]+Cleaned_MLB_Stats_Dataset__1[[#This Row],[Walks]])</f>
        <v>0.17588932806324112</v>
      </c>
    </row>
    <row r="69" spans="1:4" x14ac:dyDescent="0.2">
      <c r="A6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9.9290780141843976E-2</v>
      </c>
      <c r="B6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9.9290780141843976E-2</v>
      </c>
      <c r="C69" s="13">
        <f>Cleaned_MLB_Stats_Dataset__1[[#This Row],[Strikeouts]]/(Cleaned_MLB_Stats_Dataset__1[[#This Row],[At Bats]]+Cleaned_MLB_Stats_Dataset__1[[#This Row],[Walks]])</f>
        <v>0.17485549132947978</v>
      </c>
      <c r="D69" s="13">
        <f>Cleaned_MLB_Stats_Dataset__1[[#This Row],[Strikeouts]]/(Cleaned_MLB_Stats_Dataset__1[[#This Row],[At Bats]]+Cleaned_MLB_Stats_Dataset__1[[#This Row],[Walks]])</f>
        <v>0.17485549132947978</v>
      </c>
    </row>
    <row r="70" spans="1:4" x14ac:dyDescent="0.2">
      <c r="A7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0.10872894333843798</v>
      </c>
      <c r="B7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0.10872894333843798</v>
      </c>
      <c r="C70" s="12">
        <f>Cleaned_MLB_Stats_Dataset__1[[#This Row],[Strikeouts]]/(Cleaned_MLB_Stats_Dataset__1[[#This Row],[At Bats]]+Cleaned_MLB_Stats_Dataset__1[[#This Row],[Walks]])</f>
        <v>0.17438271604938271</v>
      </c>
      <c r="D70" s="12">
        <f>Cleaned_MLB_Stats_Dataset__1[[#This Row],[Strikeouts]]/(Cleaned_MLB_Stats_Dataset__1[[#This Row],[At Bats]]+Cleaned_MLB_Stats_Dataset__1[[#This Row],[Walks]])</f>
        <v>0.17438271604938271</v>
      </c>
    </row>
    <row r="71" spans="1:4" x14ac:dyDescent="0.2">
      <c r="A7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0.11416781292984869</v>
      </c>
      <c r="B7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0.11416781292984869</v>
      </c>
      <c r="C71" s="13">
        <f>Cleaned_MLB_Stats_Dataset__1[[#This Row],[Strikeouts]]/(Cleaned_MLB_Stats_Dataset__1[[#This Row],[At Bats]]+Cleaned_MLB_Stats_Dataset__1[[#This Row],[Walks]])</f>
        <v>0.17318435754189945</v>
      </c>
      <c r="D71" s="13">
        <f>Cleaned_MLB_Stats_Dataset__1[[#This Row],[Strikeouts]]/(Cleaned_MLB_Stats_Dataset__1[[#This Row],[At Bats]]+Cleaned_MLB_Stats_Dataset__1[[#This Row],[Walks]])</f>
        <v>0.17318435754189945</v>
      </c>
    </row>
    <row r="72" spans="1:4" x14ac:dyDescent="0.2">
      <c r="A7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0.18061674008810572</v>
      </c>
      <c r="B7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0.18061674008810572</v>
      </c>
      <c r="C72" s="12">
        <f>Cleaned_MLB_Stats_Dataset__1[[#This Row],[Strikeouts]]/(Cleaned_MLB_Stats_Dataset__1[[#This Row],[At Bats]]+Cleaned_MLB_Stats_Dataset__1[[#This Row],[Walks]])</f>
        <v>0.17282127031019201</v>
      </c>
      <c r="D72" s="12">
        <f>Cleaned_MLB_Stats_Dataset__1[[#This Row],[Strikeouts]]/(Cleaned_MLB_Stats_Dataset__1[[#This Row],[At Bats]]+Cleaned_MLB_Stats_Dataset__1[[#This Row],[Walks]])</f>
        <v>0.17282127031019201</v>
      </c>
    </row>
    <row r="73" spans="1:4" x14ac:dyDescent="0.2">
      <c r="A7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0.2119815668202765</v>
      </c>
      <c r="B7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0.2119815668202765</v>
      </c>
      <c r="C73" s="13">
        <f>Cleaned_MLB_Stats_Dataset__1[[#This Row],[Strikeouts]]/(Cleaned_MLB_Stats_Dataset__1[[#This Row],[At Bats]]+Cleaned_MLB_Stats_Dataset__1[[#This Row],[Walks]])</f>
        <v>0.17209302325581396</v>
      </c>
      <c r="D73" s="13">
        <f>Cleaned_MLB_Stats_Dataset__1[[#This Row],[Strikeouts]]/(Cleaned_MLB_Stats_Dataset__1[[#This Row],[At Bats]]+Cleaned_MLB_Stats_Dataset__1[[#This Row],[Walks]])</f>
        <v>0.17209302325581396</v>
      </c>
    </row>
    <row r="74" spans="1:4" x14ac:dyDescent="0.2">
      <c r="A7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0.16888888888888889</v>
      </c>
      <c r="B7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0.16888888888888889</v>
      </c>
      <c r="C74" s="12">
        <f>Cleaned_MLB_Stats_Dataset__1[[#This Row],[Strikeouts]]/(Cleaned_MLB_Stats_Dataset__1[[#This Row],[At Bats]]+Cleaned_MLB_Stats_Dataset__1[[#This Row],[Walks]])</f>
        <v>0.17117117117117117</v>
      </c>
      <c r="D74" s="12">
        <f>Cleaned_MLB_Stats_Dataset__1[[#This Row],[Strikeouts]]/(Cleaned_MLB_Stats_Dataset__1[[#This Row],[At Bats]]+Cleaned_MLB_Stats_Dataset__1[[#This Row],[Walks]])</f>
        <v>0.17117117117117117</v>
      </c>
    </row>
    <row r="75" spans="1:4" x14ac:dyDescent="0.2">
      <c r="A7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0.11238095238095239</v>
      </c>
      <c r="B7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0.11238095238095239</v>
      </c>
      <c r="C75" s="13">
        <f>Cleaned_MLB_Stats_Dataset__1[[#This Row],[Strikeouts]]/(Cleaned_MLB_Stats_Dataset__1[[#This Row],[At Bats]]+Cleaned_MLB_Stats_Dataset__1[[#This Row],[Walks]])</f>
        <v>0.17017208413001911</v>
      </c>
      <c r="D75" s="13">
        <f>Cleaned_MLB_Stats_Dataset__1[[#This Row],[Strikeouts]]/(Cleaned_MLB_Stats_Dataset__1[[#This Row],[At Bats]]+Cleaned_MLB_Stats_Dataset__1[[#This Row],[Walks]])</f>
        <v>0.17017208413001911</v>
      </c>
    </row>
    <row r="76" spans="1:4" x14ac:dyDescent="0.2">
      <c r="A7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0.1320450885668277</v>
      </c>
      <c r="B7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0.1320450885668277</v>
      </c>
      <c r="C76" s="12">
        <f>Cleaned_MLB_Stats_Dataset__1[[#This Row],[Strikeouts]]/(Cleaned_MLB_Stats_Dataset__1[[#This Row],[At Bats]]+Cleaned_MLB_Stats_Dataset__1[[#This Row],[Walks]])</f>
        <v>0.16965742251223492</v>
      </c>
      <c r="D76" s="12">
        <f>Cleaned_MLB_Stats_Dataset__1[[#This Row],[Strikeouts]]/(Cleaned_MLB_Stats_Dataset__1[[#This Row],[At Bats]]+Cleaned_MLB_Stats_Dataset__1[[#This Row],[Walks]])</f>
        <v>0.16965742251223492</v>
      </c>
    </row>
    <row r="77" spans="1:4" x14ac:dyDescent="0.2">
      <c r="A7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8.4805653710247356E-2</v>
      </c>
      <c r="B7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8.4805653710247356E-2</v>
      </c>
      <c r="C77" s="13">
        <f>Cleaned_MLB_Stats_Dataset__1[[#This Row],[Strikeouts]]/(Cleaned_MLB_Stats_Dataset__1[[#This Row],[At Bats]]+Cleaned_MLB_Stats_Dataset__1[[#This Row],[Walks]])</f>
        <v>0.16934046345811052</v>
      </c>
      <c r="D77" s="13">
        <f>Cleaned_MLB_Stats_Dataset__1[[#This Row],[Strikeouts]]/(Cleaned_MLB_Stats_Dataset__1[[#This Row],[At Bats]]+Cleaned_MLB_Stats_Dataset__1[[#This Row],[Walks]])</f>
        <v>0.16934046345811052</v>
      </c>
    </row>
    <row r="78" spans="1:4" x14ac:dyDescent="0.2">
      <c r="A7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0.11267605633802817</v>
      </c>
      <c r="B7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0.11267605633802817</v>
      </c>
      <c r="C78" s="12">
        <f>Cleaned_MLB_Stats_Dataset__1[[#This Row],[Strikeouts]]/(Cleaned_MLB_Stats_Dataset__1[[#This Row],[At Bats]]+Cleaned_MLB_Stats_Dataset__1[[#This Row],[Walks]])</f>
        <v>0.16903409090909091</v>
      </c>
      <c r="D78" s="12">
        <f>Cleaned_MLB_Stats_Dataset__1[[#This Row],[Strikeouts]]/(Cleaned_MLB_Stats_Dataset__1[[#This Row],[At Bats]]+Cleaned_MLB_Stats_Dataset__1[[#This Row],[Walks]])</f>
        <v>0.16903409090909091</v>
      </c>
    </row>
    <row r="79" spans="1:4" x14ac:dyDescent="0.2">
      <c r="A7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0.1203155818540434</v>
      </c>
      <c r="B7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0.1203155818540434</v>
      </c>
      <c r="C79" s="13">
        <f>Cleaned_MLB_Stats_Dataset__1[[#This Row],[Strikeouts]]/(Cleaned_MLB_Stats_Dataset__1[[#This Row],[At Bats]]+Cleaned_MLB_Stats_Dataset__1[[#This Row],[Walks]])</f>
        <v>0.16898608349900596</v>
      </c>
      <c r="D79" s="13">
        <f>Cleaned_MLB_Stats_Dataset__1[[#This Row],[Strikeouts]]/(Cleaned_MLB_Stats_Dataset__1[[#This Row],[At Bats]]+Cleaned_MLB_Stats_Dataset__1[[#This Row],[Walks]])</f>
        <v>0.16898608349900596</v>
      </c>
    </row>
    <row r="80" spans="1:4" x14ac:dyDescent="0.2">
      <c r="A8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0.16398243045387995</v>
      </c>
      <c r="B8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0.16398243045387995</v>
      </c>
      <c r="C80" s="12">
        <f>Cleaned_MLB_Stats_Dataset__1[[#This Row],[Strikeouts]]/(Cleaned_MLB_Stats_Dataset__1[[#This Row],[At Bats]]+Cleaned_MLB_Stats_Dataset__1[[#This Row],[Walks]])</f>
        <v>0.16691957511380881</v>
      </c>
      <c r="D80" s="12">
        <f>Cleaned_MLB_Stats_Dataset__1[[#This Row],[Strikeouts]]/(Cleaned_MLB_Stats_Dataset__1[[#This Row],[At Bats]]+Cleaned_MLB_Stats_Dataset__1[[#This Row],[Walks]])</f>
        <v>0.16691957511380881</v>
      </c>
    </row>
    <row r="81" spans="1:4" x14ac:dyDescent="0.2">
      <c r="A8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0.16060606060606061</v>
      </c>
      <c r="B8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0.16060606060606061</v>
      </c>
      <c r="C81" s="13">
        <f>Cleaned_MLB_Stats_Dataset__1[[#This Row],[Strikeouts]]/(Cleaned_MLB_Stats_Dataset__1[[#This Row],[At Bats]]+Cleaned_MLB_Stats_Dataset__1[[#This Row],[Walks]])</f>
        <v>0.16539050535987748</v>
      </c>
      <c r="D81" s="13">
        <f>Cleaned_MLB_Stats_Dataset__1[[#This Row],[Strikeouts]]/(Cleaned_MLB_Stats_Dataset__1[[#This Row],[At Bats]]+Cleaned_MLB_Stats_Dataset__1[[#This Row],[Walks]])</f>
        <v>0.16539050535987748</v>
      </c>
    </row>
    <row r="82" spans="1:4" x14ac:dyDescent="0.2">
      <c r="A8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0.13247863247863248</v>
      </c>
      <c r="B8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0.13247863247863248</v>
      </c>
      <c r="C82" s="12">
        <f>Cleaned_MLB_Stats_Dataset__1[[#This Row],[Strikeouts]]/(Cleaned_MLB_Stats_Dataset__1[[#This Row],[At Bats]]+Cleaned_MLB_Stats_Dataset__1[[#This Row],[Walks]])</f>
        <v>0.16521739130434782</v>
      </c>
      <c r="D82" s="12">
        <f>Cleaned_MLB_Stats_Dataset__1[[#This Row],[Strikeouts]]/(Cleaned_MLB_Stats_Dataset__1[[#This Row],[At Bats]]+Cleaned_MLB_Stats_Dataset__1[[#This Row],[Walks]])</f>
        <v>0.16521739130434782</v>
      </c>
    </row>
    <row r="83" spans="1:4" x14ac:dyDescent="0.2">
      <c r="A8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0.14204545454545456</v>
      </c>
      <c r="B8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0.14204545454545456</v>
      </c>
      <c r="C83" s="13">
        <f>Cleaned_MLB_Stats_Dataset__1[[#This Row],[Strikeouts]]/(Cleaned_MLB_Stats_Dataset__1[[#This Row],[At Bats]]+Cleaned_MLB_Stats_Dataset__1[[#This Row],[Walks]])</f>
        <v>0.16475644699140402</v>
      </c>
      <c r="D83" s="13">
        <f>Cleaned_MLB_Stats_Dataset__1[[#This Row],[Strikeouts]]/(Cleaned_MLB_Stats_Dataset__1[[#This Row],[At Bats]]+Cleaned_MLB_Stats_Dataset__1[[#This Row],[Walks]])</f>
        <v>0.16475644699140402</v>
      </c>
    </row>
    <row r="84" spans="1:4" x14ac:dyDescent="0.2">
      <c r="A8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0.1625615763546798</v>
      </c>
      <c r="B8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0.1625615763546798</v>
      </c>
      <c r="C84" s="12">
        <f>Cleaned_MLB_Stats_Dataset__1[[#This Row],[Strikeouts]]/(Cleaned_MLB_Stats_Dataset__1[[#This Row],[At Bats]]+Cleaned_MLB_Stats_Dataset__1[[#This Row],[Walks]])</f>
        <v>0.16363636363636364</v>
      </c>
      <c r="D84" s="12">
        <f>Cleaned_MLB_Stats_Dataset__1[[#This Row],[Strikeouts]]/(Cleaned_MLB_Stats_Dataset__1[[#This Row],[At Bats]]+Cleaned_MLB_Stats_Dataset__1[[#This Row],[Walks]])</f>
        <v>0.16363636363636364</v>
      </c>
    </row>
    <row r="85" spans="1:4" x14ac:dyDescent="0.2">
      <c r="A8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9.2436974789915971E-2</v>
      </c>
      <c r="B8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9.2436974789915971E-2</v>
      </c>
      <c r="C85" s="13">
        <f>Cleaned_MLB_Stats_Dataset__1[[#This Row],[Strikeouts]]/(Cleaned_MLB_Stats_Dataset__1[[#This Row],[At Bats]]+Cleaned_MLB_Stats_Dataset__1[[#This Row],[Walks]])</f>
        <v>0.16298811544991512</v>
      </c>
      <c r="D85" s="13">
        <f>Cleaned_MLB_Stats_Dataset__1[[#This Row],[Strikeouts]]/(Cleaned_MLB_Stats_Dataset__1[[#This Row],[At Bats]]+Cleaned_MLB_Stats_Dataset__1[[#This Row],[Walks]])</f>
        <v>0.16298811544991512</v>
      </c>
    </row>
    <row r="86" spans="1:4" x14ac:dyDescent="0.2">
      <c r="A8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0.12244897959183673</v>
      </c>
      <c r="B8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0.12244897959183673</v>
      </c>
      <c r="C86" s="12">
        <f>Cleaned_MLB_Stats_Dataset__1[[#This Row],[Strikeouts]]/(Cleaned_MLB_Stats_Dataset__1[[#This Row],[At Bats]]+Cleaned_MLB_Stats_Dataset__1[[#This Row],[Walks]])</f>
        <v>0.16288659793814433</v>
      </c>
      <c r="D86" s="12">
        <f>Cleaned_MLB_Stats_Dataset__1[[#This Row],[Strikeouts]]/(Cleaned_MLB_Stats_Dataset__1[[#This Row],[At Bats]]+Cleaned_MLB_Stats_Dataset__1[[#This Row],[Walks]])</f>
        <v>0.16288659793814433</v>
      </c>
    </row>
    <row r="87" spans="1:4" x14ac:dyDescent="0.2">
      <c r="A8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0.14000000000000001</v>
      </c>
      <c r="B8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0.14000000000000001</v>
      </c>
      <c r="C87" s="13">
        <f>Cleaned_MLB_Stats_Dataset__1[[#This Row],[Strikeouts]]/(Cleaned_MLB_Stats_Dataset__1[[#This Row],[At Bats]]+Cleaned_MLB_Stats_Dataset__1[[#This Row],[Walks]])</f>
        <v>0.16224648985959439</v>
      </c>
      <c r="D87" s="13">
        <f>Cleaned_MLB_Stats_Dataset__1[[#This Row],[Strikeouts]]/(Cleaned_MLB_Stats_Dataset__1[[#This Row],[At Bats]]+Cleaned_MLB_Stats_Dataset__1[[#This Row],[Walks]])</f>
        <v>0.16224648985959439</v>
      </c>
    </row>
    <row r="88" spans="1:4" x14ac:dyDescent="0.2">
      <c r="A8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0.14006514657980457</v>
      </c>
      <c r="B8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0.14006514657980457</v>
      </c>
      <c r="C88" s="12">
        <f>Cleaned_MLB_Stats_Dataset__1[[#This Row],[Strikeouts]]/(Cleaned_MLB_Stats_Dataset__1[[#This Row],[At Bats]]+Cleaned_MLB_Stats_Dataset__1[[#This Row],[Walks]])</f>
        <v>0.16150081566068517</v>
      </c>
      <c r="D88" s="12">
        <f>Cleaned_MLB_Stats_Dataset__1[[#This Row],[Strikeouts]]/(Cleaned_MLB_Stats_Dataset__1[[#This Row],[At Bats]]+Cleaned_MLB_Stats_Dataset__1[[#This Row],[Walks]])</f>
        <v>0.16150081566068517</v>
      </c>
    </row>
    <row r="89" spans="1:4" x14ac:dyDescent="0.2">
      <c r="A8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0.16610738255033558</v>
      </c>
      <c r="B8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0.16610738255033558</v>
      </c>
      <c r="C89" s="13">
        <f>Cleaned_MLB_Stats_Dataset__1[[#This Row],[Strikeouts]]/(Cleaned_MLB_Stats_Dataset__1[[#This Row],[At Bats]]+Cleaned_MLB_Stats_Dataset__1[[#This Row],[Walks]])</f>
        <v>0.16129032258064516</v>
      </c>
      <c r="D89" s="13">
        <f>Cleaned_MLB_Stats_Dataset__1[[#This Row],[Strikeouts]]/(Cleaned_MLB_Stats_Dataset__1[[#This Row],[At Bats]]+Cleaned_MLB_Stats_Dataset__1[[#This Row],[Walks]])</f>
        <v>0.16129032258064516</v>
      </c>
    </row>
    <row r="90" spans="1:4" x14ac:dyDescent="0.2">
      <c r="A9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0.13740458015267176</v>
      </c>
      <c r="B9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0.13740458015267176</v>
      </c>
      <c r="C90" s="12">
        <f>Cleaned_MLB_Stats_Dataset__1[[#This Row],[Strikeouts]]/(Cleaned_MLB_Stats_Dataset__1[[#This Row],[At Bats]]+Cleaned_MLB_Stats_Dataset__1[[#This Row],[Walks]])</f>
        <v>0.16122840690978887</v>
      </c>
      <c r="D90" s="12">
        <f>Cleaned_MLB_Stats_Dataset__1[[#This Row],[Strikeouts]]/(Cleaned_MLB_Stats_Dataset__1[[#This Row],[At Bats]]+Cleaned_MLB_Stats_Dataset__1[[#This Row],[Walks]])</f>
        <v>0.16122840690978887</v>
      </c>
    </row>
    <row r="91" spans="1:4" x14ac:dyDescent="0.2">
      <c r="A9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0.15949367088607594</v>
      </c>
      <c r="B9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0.15949367088607594</v>
      </c>
      <c r="C91" s="13">
        <f>Cleaned_MLB_Stats_Dataset__1[[#This Row],[Strikeouts]]/(Cleaned_MLB_Stats_Dataset__1[[#This Row],[At Bats]]+Cleaned_MLB_Stats_Dataset__1[[#This Row],[Walks]])</f>
        <v>0.16112531969309463</v>
      </c>
      <c r="D91" s="13">
        <f>Cleaned_MLB_Stats_Dataset__1[[#This Row],[Strikeouts]]/(Cleaned_MLB_Stats_Dataset__1[[#This Row],[At Bats]]+Cleaned_MLB_Stats_Dataset__1[[#This Row],[Walks]])</f>
        <v>0.16112531969309463</v>
      </c>
    </row>
    <row r="92" spans="1:4" x14ac:dyDescent="0.2">
      <c r="A9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7.5500770416024654E-2</v>
      </c>
      <c r="B9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7.5500770416024654E-2</v>
      </c>
      <c r="C92" s="12">
        <f>Cleaned_MLB_Stats_Dataset__1[[#This Row],[Strikeouts]]/(Cleaned_MLB_Stats_Dataset__1[[#This Row],[At Bats]]+Cleaned_MLB_Stats_Dataset__1[[#This Row],[Walks]])</f>
        <v>0.1609907120743034</v>
      </c>
      <c r="D92" s="12">
        <f>Cleaned_MLB_Stats_Dataset__1[[#This Row],[Strikeouts]]/(Cleaned_MLB_Stats_Dataset__1[[#This Row],[At Bats]]+Cleaned_MLB_Stats_Dataset__1[[#This Row],[Walks]])</f>
        <v>0.1609907120743034</v>
      </c>
    </row>
    <row r="93" spans="1:4" x14ac:dyDescent="0.2">
      <c r="A9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0.14529914529914531</v>
      </c>
      <c r="B9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0.14529914529914531</v>
      </c>
      <c r="C93" s="13">
        <f>Cleaned_MLB_Stats_Dataset__1[[#This Row],[Strikeouts]]/(Cleaned_MLB_Stats_Dataset__1[[#This Row],[At Bats]]+Cleaned_MLB_Stats_Dataset__1[[#This Row],[Walks]])</f>
        <v>0.16083916083916083</v>
      </c>
      <c r="D93" s="13">
        <f>Cleaned_MLB_Stats_Dataset__1[[#This Row],[Strikeouts]]/(Cleaned_MLB_Stats_Dataset__1[[#This Row],[At Bats]]+Cleaned_MLB_Stats_Dataset__1[[#This Row],[Walks]])</f>
        <v>0.16083916083916083</v>
      </c>
    </row>
    <row r="94" spans="1:4" x14ac:dyDescent="0.2">
      <c r="A9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0.13157894736842105</v>
      </c>
      <c r="B9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0.13157894736842105</v>
      </c>
      <c r="C94" s="12">
        <f>Cleaned_MLB_Stats_Dataset__1[[#This Row],[Strikeouts]]/(Cleaned_MLB_Stats_Dataset__1[[#This Row],[At Bats]]+Cleaned_MLB_Stats_Dataset__1[[#This Row],[Walks]])</f>
        <v>0.16053019145802652</v>
      </c>
      <c r="D94" s="12">
        <f>Cleaned_MLB_Stats_Dataset__1[[#This Row],[Strikeouts]]/(Cleaned_MLB_Stats_Dataset__1[[#This Row],[At Bats]]+Cleaned_MLB_Stats_Dataset__1[[#This Row],[Walks]])</f>
        <v>0.16053019145802652</v>
      </c>
    </row>
    <row r="95" spans="1:4" x14ac:dyDescent="0.2">
      <c r="A9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0.16295025728987994</v>
      </c>
      <c r="B9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0.16295025728987994</v>
      </c>
      <c r="C95" s="13">
        <f>Cleaned_MLB_Stats_Dataset__1[[#This Row],[Strikeouts]]/(Cleaned_MLB_Stats_Dataset__1[[#This Row],[At Bats]]+Cleaned_MLB_Stats_Dataset__1[[#This Row],[Walks]])</f>
        <v>0.16034482758620688</v>
      </c>
      <c r="D95" s="13">
        <f>Cleaned_MLB_Stats_Dataset__1[[#This Row],[Strikeouts]]/(Cleaned_MLB_Stats_Dataset__1[[#This Row],[At Bats]]+Cleaned_MLB_Stats_Dataset__1[[#This Row],[Walks]])</f>
        <v>0.16034482758620688</v>
      </c>
    </row>
    <row r="96" spans="1:4" x14ac:dyDescent="0.2">
      <c r="A9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0.11813643926788686</v>
      </c>
      <c r="B9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0.11813643926788686</v>
      </c>
      <c r="C96" s="12">
        <f>Cleaned_MLB_Stats_Dataset__1[[#This Row],[Strikeouts]]/(Cleaned_MLB_Stats_Dataset__1[[#This Row],[At Bats]]+Cleaned_MLB_Stats_Dataset__1[[#This Row],[Walks]])</f>
        <v>0.16026711185308848</v>
      </c>
      <c r="D96" s="12">
        <f>Cleaned_MLB_Stats_Dataset__1[[#This Row],[Strikeouts]]/(Cleaned_MLB_Stats_Dataset__1[[#This Row],[At Bats]]+Cleaned_MLB_Stats_Dataset__1[[#This Row],[Walks]])</f>
        <v>0.16026711185308848</v>
      </c>
    </row>
    <row r="97" spans="1:4" x14ac:dyDescent="0.2">
      <c r="A9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7.7057793345008757E-2</v>
      </c>
      <c r="B9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7.7057793345008757E-2</v>
      </c>
      <c r="C97" s="13">
        <f>Cleaned_MLB_Stats_Dataset__1[[#This Row],[Strikeouts]]/(Cleaned_MLB_Stats_Dataset__1[[#This Row],[At Bats]]+Cleaned_MLB_Stats_Dataset__1[[#This Row],[Walks]])</f>
        <v>0.16021126760563381</v>
      </c>
      <c r="D97" s="13">
        <f>Cleaned_MLB_Stats_Dataset__1[[#This Row],[Strikeouts]]/(Cleaned_MLB_Stats_Dataset__1[[#This Row],[At Bats]]+Cleaned_MLB_Stats_Dataset__1[[#This Row],[Walks]])</f>
        <v>0.16021126760563381</v>
      </c>
    </row>
    <row r="98" spans="1:4" x14ac:dyDescent="0.2">
      <c r="A9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0.10835913312693499</v>
      </c>
      <c r="B9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0.10835913312693499</v>
      </c>
      <c r="C98" s="12">
        <f>Cleaned_MLB_Stats_Dataset__1[[#This Row],[Strikeouts]]/(Cleaned_MLB_Stats_Dataset__1[[#This Row],[At Bats]]+Cleaned_MLB_Stats_Dataset__1[[#This Row],[Walks]])</f>
        <v>0.15855572998430142</v>
      </c>
      <c r="D98" s="12">
        <f>Cleaned_MLB_Stats_Dataset__1[[#This Row],[Strikeouts]]/(Cleaned_MLB_Stats_Dataset__1[[#This Row],[At Bats]]+Cleaned_MLB_Stats_Dataset__1[[#This Row],[Walks]])</f>
        <v>0.15855572998430142</v>
      </c>
    </row>
    <row r="99" spans="1:4" x14ac:dyDescent="0.2">
      <c r="A9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0.17055393586005832</v>
      </c>
      <c r="B9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0.17055393586005832</v>
      </c>
      <c r="C99" s="13">
        <f>Cleaned_MLB_Stats_Dataset__1[[#This Row],[Strikeouts]]/(Cleaned_MLB_Stats_Dataset__1[[#This Row],[At Bats]]+Cleaned_MLB_Stats_Dataset__1[[#This Row],[Walks]])</f>
        <v>0.15680473372781065</v>
      </c>
      <c r="D99" s="13">
        <f>Cleaned_MLB_Stats_Dataset__1[[#This Row],[Strikeouts]]/(Cleaned_MLB_Stats_Dataset__1[[#This Row],[At Bats]]+Cleaned_MLB_Stats_Dataset__1[[#This Row],[Walks]])</f>
        <v>0.15680473372781065</v>
      </c>
    </row>
    <row r="100" spans="1:4" x14ac:dyDescent="0.2">
      <c r="A10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0.17319277108433734</v>
      </c>
      <c r="B10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0.17319277108433734</v>
      </c>
      <c r="C100" s="12">
        <f>Cleaned_MLB_Stats_Dataset__1[[#This Row],[Strikeouts]]/(Cleaned_MLB_Stats_Dataset__1[[#This Row],[At Bats]]+Cleaned_MLB_Stats_Dataset__1[[#This Row],[Walks]])</f>
        <v>0.15606060606060607</v>
      </c>
      <c r="D100" s="12">
        <f>Cleaned_MLB_Stats_Dataset__1[[#This Row],[Strikeouts]]/(Cleaned_MLB_Stats_Dataset__1[[#This Row],[At Bats]]+Cleaned_MLB_Stats_Dataset__1[[#This Row],[Walks]])</f>
        <v>0.15606060606060607</v>
      </c>
    </row>
    <row r="101" spans="1:4" x14ac:dyDescent="0.2">
      <c r="A10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9.1042584434654919E-2</v>
      </c>
      <c r="B10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9.1042584434654919E-2</v>
      </c>
      <c r="C101" s="13">
        <f>Cleaned_MLB_Stats_Dataset__1[[#This Row],[Strikeouts]]/(Cleaned_MLB_Stats_Dataset__1[[#This Row],[At Bats]]+Cleaned_MLB_Stats_Dataset__1[[#This Row],[Walks]])</f>
        <v>0.15555555555555556</v>
      </c>
      <c r="D101" s="13">
        <f>Cleaned_MLB_Stats_Dataset__1[[#This Row],[Strikeouts]]/(Cleaned_MLB_Stats_Dataset__1[[#This Row],[At Bats]]+Cleaned_MLB_Stats_Dataset__1[[#This Row],[Walks]])</f>
        <v>0.15555555555555556</v>
      </c>
    </row>
    <row r="102" spans="1:4" x14ac:dyDescent="0.2">
      <c r="A10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0.13037249283667621</v>
      </c>
      <c r="B10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0.13037249283667621</v>
      </c>
      <c r="C102" s="12">
        <f>Cleaned_MLB_Stats_Dataset__1[[#This Row],[Strikeouts]]/(Cleaned_MLB_Stats_Dataset__1[[#This Row],[At Bats]]+Cleaned_MLB_Stats_Dataset__1[[#This Row],[Walks]])</f>
        <v>0.15499254843517138</v>
      </c>
      <c r="D102" s="12">
        <f>Cleaned_MLB_Stats_Dataset__1[[#This Row],[Strikeouts]]/(Cleaned_MLB_Stats_Dataset__1[[#This Row],[At Bats]]+Cleaned_MLB_Stats_Dataset__1[[#This Row],[Walks]])</f>
        <v>0.15499254843517138</v>
      </c>
    </row>
    <row r="103" spans="1:4" x14ac:dyDescent="0.2">
      <c r="A10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0.12396694214876033</v>
      </c>
      <c r="B10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0.12396694214876033</v>
      </c>
      <c r="C103" s="13">
        <f>Cleaned_MLB_Stats_Dataset__1[[#This Row],[Strikeouts]]/(Cleaned_MLB_Stats_Dataset__1[[#This Row],[At Bats]]+Cleaned_MLB_Stats_Dataset__1[[#This Row],[Walks]])</f>
        <v>0.15344827586206897</v>
      </c>
      <c r="D103" s="13">
        <f>Cleaned_MLB_Stats_Dataset__1[[#This Row],[Strikeouts]]/(Cleaned_MLB_Stats_Dataset__1[[#This Row],[At Bats]]+Cleaned_MLB_Stats_Dataset__1[[#This Row],[Walks]])</f>
        <v>0.15344827586206897</v>
      </c>
    </row>
    <row r="104" spans="1:4" x14ac:dyDescent="0.2">
      <c r="A10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0.11563517915309446</v>
      </c>
      <c r="B10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0.11563517915309446</v>
      </c>
      <c r="C104" s="12">
        <f>Cleaned_MLB_Stats_Dataset__1[[#This Row],[Strikeouts]]/(Cleaned_MLB_Stats_Dataset__1[[#This Row],[At Bats]]+Cleaned_MLB_Stats_Dataset__1[[#This Row],[Walks]])</f>
        <v>0.15321252059308071</v>
      </c>
      <c r="D104" s="12">
        <f>Cleaned_MLB_Stats_Dataset__1[[#This Row],[Strikeouts]]/(Cleaned_MLB_Stats_Dataset__1[[#This Row],[At Bats]]+Cleaned_MLB_Stats_Dataset__1[[#This Row],[Walks]])</f>
        <v>0.15321252059308071</v>
      </c>
    </row>
    <row r="105" spans="1:4" x14ac:dyDescent="0.2">
      <c r="A10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8.1494057724957561E-2</v>
      </c>
      <c r="B10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8.1494057724957561E-2</v>
      </c>
      <c r="C105" s="13">
        <f>Cleaned_MLB_Stats_Dataset__1[[#This Row],[Strikeouts]]/(Cleaned_MLB_Stats_Dataset__1[[#This Row],[At Bats]]+Cleaned_MLB_Stats_Dataset__1[[#This Row],[Walks]])</f>
        <v>0.15306122448979592</v>
      </c>
      <c r="D105" s="13">
        <f>Cleaned_MLB_Stats_Dataset__1[[#This Row],[Strikeouts]]/(Cleaned_MLB_Stats_Dataset__1[[#This Row],[At Bats]]+Cleaned_MLB_Stats_Dataset__1[[#This Row],[Walks]])</f>
        <v>0.15306122448979592</v>
      </c>
    </row>
    <row r="106" spans="1:4" x14ac:dyDescent="0.2">
      <c r="A10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9.9547511312217188E-2</v>
      </c>
      <c r="B10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9.9547511312217188E-2</v>
      </c>
      <c r="C106" s="12">
        <f>Cleaned_MLB_Stats_Dataset__1[[#This Row],[Strikeouts]]/(Cleaned_MLB_Stats_Dataset__1[[#This Row],[At Bats]]+Cleaned_MLB_Stats_Dataset__1[[#This Row],[Walks]])</f>
        <v>0.15261958997722094</v>
      </c>
      <c r="D106" s="12">
        <f>Cleaned_MLB_Stats_Dataset__1[[#This Row],[Strikeouts]]/(Cleaned_MLB_Stats_Dataset__1[[#This Row],[At Bats]]+Cleaned_MLB_Stats_Dataset__1[[#This Row],[Walks]])</f>
        <v>0.15261958997722094</v>
      </c>
    </row>
    <row r="107" spans="1:4" x14ac:dyDescent="0.2">
      <c r="A10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6.5767284991568295E-2</v>
      </c>
      <c r="B10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6.5767284991568295E-2</v>
      </c>
      <c r="C107" s="13">
        <f>Cleaned_MLB_Stats_Dataset__1[[#This Row],[Strikeouts]]/(Cleaned_MLB_Stats_Dataset__1[[#This Row],[At Bats]]+Cleaned_MLB_Stats_Dataset__1[[#This Row],[Walks]])</f>
        <v>0.15202702702702703</v>
      </c>
      <c r="D107" s="13">
        <f>Cleaned_MLB_Stats_Dataset__1[[#This Row],[Strikeouts]]/(Cleaned_MLB_Stats_Dataset__1[[#This Row],[At Bats]]+Cleaned_MLB_Stats_Dataset__1[[#This Row],[Walks]])</f>
        <v>0.15202702702702703</v>
      </c>
    </row>
    <row r="108" spans="1:4" x14ac:dyDescent="0.2">
      <c r="A10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7.1975497702909647E-2</v>
      </c>
      <c r="B10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7.1975497702909647E-2</v>
      </c>
      <c r="C108" s="12">
        <f>Cleaned_MLB_Stats_Dataset__1[[#This Row],[Strikeouts]]/(Cleaned_MLB_Stats_Dataset__1[[#This Row],[At Bats]]+Cleaned_MLB_Stats_Dataset__1[[#This Row],[Walks]])</f>
        <v>0.15193798449612403</v>
      </c>
      <c r="D108" s="12">
        <f>Cleaned_MLB_Stats_Dataset__1[[#This Row],[Strikeouts]]/(Cleaned_MLB_Stats_Dataset__1[[#This Row],[At Bats]]+Cleaned_MLB_Stats_Dataset__1[[#This Row],[Walks]])</f>
        <v>0.15193798449612403</v>
      </c>
    </row>
    <row r="109" spans="1:4" x14ac:dyDescent="0.2">
      <c r="A10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6.7039106145251395E-2</v>
      </c>
      <c r="B10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6.7039106145251395E-2</v>
      </c>
      <c r="C109" s="13">
        <f>Cleaned_MLB_Stats_Dataset__1[[#This Row],[Strikeouts]]/(Cleaned_MLB_Stats_Dataset__1[[#This Row],[At Bats]]+Cleaned_MLB_Stats_Dataset__1[[#This Row],[Walks]])</f>
        <v>0.15168539325842698</v>
      </c>
      <c r="D109" s="13">
        <f>Cleaned_MLB_Stats_Dataset__1[[#This Row],[Strikeouts]]/(Cleaned_MLB_Stats_Dataset__1[[#This Row],[At Bats]]+Cleaned_MLB_Stats_Dataset__1[[#This Row],[Walks]])</f>
        <v>0.15168539325842698</v>
      </c>
    </row>
    <row r="110" spans="1:4" x14ac:dyDescent="0.2">
      <c r="A11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0.2011747430249633</v>
      </c>
      <c r="B11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0.2011747430249633</v>
      </c>
      <c r="C110" s="12">
        <f>Cleaned_MLB_Stats_Dataset__1[[#This Row],[Strikeouts]]/(Cleaned_MLB_Stats_Dataset__1[[#This Row],[At Bats]]+Cleaned_MLB_Stats_Dataset__1[[#This Row],[Walks]])</f>
        <v>0.15052160953800298</v>
      </c>
      <c r="D110" s="12">
        <f>Cleaned_MLB_Stats_Dataset__1[[#This Row],[Strikeouts]]/(Cleaned_MLB_Stats_Dataset__1[[#This Row],[At Bats]]+Cleaned_MLB_Stats_Dataset__1[[#This Row],[Walks]])</f>
        <v>0.15052160953800298</v>
      </c>
    </row>
    <row r="111" spans="1:4" x14ac:dyDescent="0.2">
      <c r="A11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9.0624999999999997E-2</v>
      </c>
      <c r="B11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9.0624999999999997E-2</v>
      </c>
      <c r="C111" s="13">
        <f>Cleaned_MLB_Stats_Dataset__1[[#This Row],[Strikeouts]]/(Cleaned_MLB_Stats_Dataset__1[[#This Row],[At Bats]]+Cleaned_MLB_Stats_Dataset__1[[#This Row],[Walks]])</f>
        <v>0.15047021943573669</v>
      </c>
      <c r="D111" s="13">
        <f>Cleaned_MLB_Stats_Dataset__1[[#This Row],[Strikeouts]]/(Cleaned_MLB_Stats_Dataset__1[[#This Row],[At Bats]]+Cleaned_MLB_Stats_Dataset__1[[#This Row],[Walks]])</f>
        <v>0.15047021943573669</v>
      </c>
    </row>
    <row r="112" spans="1:4" x14ac:dyDescent="0.2">
      <c r="A11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4.7038327526132406E-2</v>
      </c>
      <c r="B11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4.7038327526132406E-2</v>
      </c>
      <c r="C112" s="12">
        <f>Cleaned_MLB_Stats_Dataset__1[[#This Row],[Strikeouts]]/(Cleaned_MLB_Stats_Dataset__1[[#This Row],[At Bats]]+Cleaned_MLB_Stats_Dataset__1[[#This Row],[Walks]])</f>
        <v>0.15008726003490402</v>
      </c>
      <c r="D112" s="12">
        <f>Cleaned_MLB_Stats_Dataset__1[[#This Row],[Strikeouts]]/(Cleaned_MLB_Stats_Dataset__1[[#This Row],[At Bats]]+Cleaned_MLB_Stats_Dataset__1[[#This Row],[Walks]])</f>
        <v>0.15008726003490402</v>
      </c>
    </row>
    <row r="113" spans="1:4" x14ac:dyDescent="0.2">
      <c r="A11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0.13333333333333333</v>
      </c>
      <c r="B11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0.13333333333333333</v>
      </c>
      <c r="C113" s="13">
        <f>Cleaned_MLB_Stats_Dataset__1[[#This Row],[Strikeouts]]/(Cleaned_MLB_Stats_Dataset__1[[#This Row],[At Bats]]+Cleaned_MLB_Stats_Dataset__1[[#This Row],[Walks]])</f>
        <v>0.14913957934990441</v>
      </c>
      <c r="D113" s="13">
        <f>Cleaned_MLB_Stats_Dataset__1[[#This Row],[Strikeouts]]/(Cleaned_MLB_Stats_Dataset__1[[#This Row],[At Bats]]+Cleaned_MLB_Stats_Dataset__1[[#This Row],[Walks]])</f>
        <v>0.14913957934990441</v>
      </c>
    </row>
    <row r="114" spans="1:4" x14ac:dyDescent="0.2">
      <c r="A11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0.14374999999999999</v>
      </c>
      <c r="B11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0.14374999999999999</v>
      </c>
      <c r="C114" s="12">
        <f>Cleaned_MLB_Stats_Dataset__1[[#This Row],[Strikeouts]]/(Cleaned_MLB_Stats_Dataset__1[[#This Row],[At Bats]]+Cleaned_MLB_Stats_Dataset__1[[#This Row],[Walks]])</f>
        <v>0.14913657770800628</v>
      </c>
      <c r="D114" s="12">
        <f>Cleaned_MLB_Stats_Dataset__1[[#This Row],[Strikeouts]]/(Cleaned_MLB_Stats_Dataset__1[[#This Row],[At Bats]]+Cleaned_MLB_Stats_Dataset__1[[#This Row],[Walks]])</f>
        <v>0.14913657770800628</v>
      </c>
    </row>
    <row r="115" spans="1:4" x14ac:dyDescent="0.2">
      <c r="A11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0.12941176470588237</v>
      </c>
      <c r="B11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0.12941176470588237</v>
      </c>
      <c r="C115" s="13">
        <f>Cleaned_MLB_Stats_Dataset__1[[#This Row],[Strikeouts]]/(Cleaned_MLB_Stats_Dataset__1[[#This Row],[At Bats]]+Cleaned_MLB_Stats_Dataset__1[[#This Row],[Walks]])</f>
        <v>0.14814814814814814</v>
      </c>
      <c r="D115" s="13">
        <f>Cleaned_MLB_Stats_Dataset__1[[#This Row],[Strikeouts]]/(Cleaned_MLB_Stats_Dataset__1[[#This Row],[At Bats]]+Cleaned_MLB_Stats_Dataset__1[[#This Row],[Walks]])</f>
        <v>0.14814814814814814</v>
      </c>
    </row>
    <row r="116" spans="1:4" x14ac:dyDescent="0.2">
      <c r="A11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0.14939759036144579</v>
      </c>
      <c r="B11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0.14939759036144579</v>
      </c>
      <c r="C116" s="12">
        <f>Cleaned_MLB_Stats_Dataset__1[[#This Row],[Strikeouts]]/(Cleaned_MLB_Stats_Dataset__1[[#This Row],[At Bats]]+Cleaned_MLB_Stats_Dataset__1[[#This Row],[Walks]])</f>
        <v>0.14769975786924938</v>
      </c>
      <c r="D116" s="12">
        <f>Cleaned_MLB_Stats_Dataset__1[[#This Row],[Strikeouts]]/(Cleaned_MLB_Stats_Dataset__1[[#This Row],[At Bats]]+Cleaned_MLB_Stats_Dataset__1[[#This Row],[Walks]])</f>
        <v>0.14769975786924938</v>
      </c>
    </row>
    <row r="117" spans="1:4" x14ac:dyDescent="0.2">
      <c r="A11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0.11505681818181818</v>
      </c>
      <c r="B11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0.11505681818181818</v>
      </c>
      <c r="C117" s="13">
        <f>Cleaned_MLB_Stats_Dataset__1[[#This Row],[Strikeouts]]/(Cleaned_MLB_Stats_Dataset__1[[#This Row],[At Bats]]+Cleaned_MLB_Stats_Dataset__1[[#This Row],[Walks]])</f>
        <v>0.14739884393063585</v>
      </c>
      <c r="D117" s="13">
        <f>Cleaned_MLB_Stats_Dataset__1[[#This Row],[Strikeouts]]/(Cleaned_MLB_Stats_Dataset__1[[#This Row],[At Bats]]+Cleaned_MLB_Stats_Dataset__1[[#This Row],[Walks]])</f>
        <v>0.14739884393063585</v>
      </c>
    </row>
    <row r="118" spans="1:4" x14ac:dyDescent="0.2">
      <c r="A11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0.12052117263843648</v>
      </c>
      <c r="B11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0.12052117263843648</v>
      </c>
      <c r="C118" s="12">
        <f>Cleaned_MLB_Stats_Dataset__1[[#This Row],[Strikeouts]]/(Cleaned_MLB_Stats_Dataset__1[[#This Row],[At Bats]]+Cleaned_MLB_Stats_Dataset__1[[#This Row],[Walks]])</f>
        <v>0.14662273476112025</v>
      </c>
      <c r="D118" s="12">
        <f>Cleaned_MLB_Stats_Dataset__1[[#This Row],[Strikeouts]]/(Cleaned_MLB_Stats_Dataset__1[[#This Row],[At Bats]]+Cleaned_MLB_Stats_Dataset__1[[#This Row],[Walks]])</f>
        <v>0.14662273476112025</v>
      </c>
    </row>
    <row r="119" spans="1:4" x14ac:dyDescent="0.2">
      <c r="A11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9.7959183673469383E-2</v>
      </c>
      <c r="B11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9.7959183673469383E-2</v>
      </c>
      <c r="C119" s="13">
        <f>Cleaned_MLB_Stats_Dataset__1[[#This Row],[Strikeouts]]/(Cleaned_MLB_Stats_Dataset__1[[#This Row],[At Bats]]+Cleaned_MLB_Stats_Dataset__1[[#This Row],[Walks]])</f>
        <v>0.14600550964187328</v>
      </c>
      <c r="D119" s="13">
        <f>Cleaned_MLB_Stats_Dataset__1[[#This Row],[Strikeouts]]/(Cleaned_MLB_Stats_Dataset__1[[#This Row],[At Bats]]+Cleaned_MLB_Stats_Dataset__1[[#This Row],[Walks]])</f>
        <v>0.14600550964187328</v>
      </c>
    </row>
    <row r="120" spans="1:4" x14ac:dyDescent="0.2">
      <c r="A12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0.14615384615384616</v>
      </c>
      <c r="B12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0.14615384615384616</v>
      </c>
      <c r="C120" s="12">
        <f>Cleaned_MLB_Stats_Dataset__1[[#This Row],[Strikeouts]]/(Cleaned_MLB_Stats_Dataset__1[[#This Row],[At Bats]]+Cleaned_MLB_Stats_Dataset__1[[#This Row],[Walks]])</f>
        <v>0.14573643410852713</v>
      </c>
      <c r="D120" s="12">
        <f>Cleaned_MLB_Stats_Dataset__1[[#This Row],[Strikeouts]]/(Cleaned_MLB_Stats_Dataset__1[[#This Row],[At Bats]]+Cleaned_MLB_Stats_Dataset__1[[#This Row],[Walks]])</f>
        <v>0.14573643410852713</v>
      </c>
    </row>
    <row r="121" spans="1:4" x14ac:dyDescent="0.2">
      <c r="A12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7.4294205052005943E-2</v>
      </c>
      <c r="B12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7.4294205052005943E-2</v>
      </c>
      <c r="C121" s="13">
        <f>Cleaned_MLB_Stats_Dataset__1[[#This Row],[Strikeouts]]/(Cleaned_MLB_Stats_Dataset__1[[#This Row],[At Bats]]+Cleaned_MLB_Stats_Dataset__1[[#This Row],[Walks]])</f>
        <v>0.14523449319213314</v>
      </c>
      <c r="D121" s="13">
        <f>Cleaned_MLB_Stats_Dataset__1[[#This Row],[Strikeouts]]/(Cleaned_MLB_Stats_Dataset__1[[#This Row],[At Bats]]+Cleaned_MLB_Stats_Dataset__1[[#This Row],[Walks]])</f>
        <v>0.14523449319213314</v>
      </c>
    </row>
    <row r="122" spans="1:4" x14ac:dyDescent="0.2">
      <c r="A12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9.8730606488011283E-2</v>
      </c>
      <c r="B12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9.8730606488011283E-2</v>
      </c>
      <c r="C122" s="12">
        <f>Cleaned_MLB_Stats_Dataset__1[[#This Row],[Strikeouts]]/(Cleaned_MLB_Stats_Dataset__1[[#This Row],[At Bats]]+Cleaned_MLB_Stats_Dataset__1[[#This Row],[Walks]])</f>
        <v>0.14388489208633093</v>
      </c>
      <c r="D122" s="12">
        <f>Cleaned_MLB_Stats_Dataset__1[[#This Row],[Strikeouts]]/(Cleaned_MLB_Stats_Dataset__1[[#This Row],[At Bats]]+Cleaned_MLB_Stats_Dataset__1[[#This Row],[Walks]])</f>
        <v>0.14388489208633093</v>
      </c>
    </row>
    <row r="123" spans="1:4" x14ac:dyDescent="0.2">
      <c r="A12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8.5348506401137975E-2</v>
      </c>
      <c r="B12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8.5348506401137975E-2</v>
      </c>
      <c r="C123" s="13">
        <f>Cleaned_MLB_Stats_Dataset__1[[#This Row],[Strikeouts]]/(Cleaned_MLB_Stats_Dataset__1[[#This Row],[At Bats]]+Cleaned_MLB_Stats_Dataset__1[[#This Row],[Walks]])</f>
        <v>0.14368650217706821</v>
      </c>
      <c r="D123" s="13">
        <f>Cleaned_MLB_Stats_Dataset__1[[#This Row],[Strikeouts]]/(Cleaned_MLB_Stats_Dataset__1[[#This Row],[At Bats]]+Cleaned_MLB_Stats_Dataset__1[[#This Row],[Walks]])</f>
        <v>0.14368650217706821</v>
      </c>
    </row>
    <row r="124" spans="1:4" x14ac:dyDescent="0.2">
      <c r="A12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9.7841726618705036E-2</v>
      </c>
      <c r="B12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9.7841726618705036E-2</v>
      </c>
      <c r="C124" s="12">
        <f>Cleaned_MLB_Stats_Dataset__1[[#This Row],[Strikeouts]]/(Cleaned_MLB_Stats_Dataset__1[[#This Row],[At Bats]]+Cleaned_MLB_Stats_Dataset__1[[#This Row],[Walks]])</f>
        <v>0.13953488372093023</v>
      </c>
      <c r="D124" s="12">
        <f>Cleaned_MLB_Stats_Dataset__1[[#This Row],[Strikeouts]]/(Cleaned_MLB_Stats_Dataset__1[[#This Row],[At Bats]]+Cleaned_MLB_Stats_Dataset__1[[#This Row],[Walks]])</f>
        <v>0.13953488372093023</v>
      </c>
    </row>
    <row r="125" spans="1:4" x14ac:dyDescent="0.2">
      <c r="A12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0.13079470198675497</v>
      </c>
      <c r="B12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0.13079470198675497</v>
      </c>
      <c r="C125" s="13">
        <f>Cleaned_MLB_Stats_Dataset__1[[#This Row],[Strikeouts]]/(Cleaned_MLB_Stats_Dataset__1[[#This Row],[At Bats]]+Cleaned_MLB_Stats_Dataset__1[[#This Row],[Walks]])</f>
        <v>0.13764510779436154</v>
      </c>
      <c r="D125" s="13">
        <f>Cleaned_MLB_Stats_Dataset__1[[#This Row],[Strikeouts]]/(Cleaned_MLB_Stats_Dataset__1[[#This Row],[At Bats]]+Cleaned_MLB_Stats_Dataset__1[[#This Row],[Walks]])</f>
        <v>0.13764510779436154</v>
      </c>
    </row>
    <row r="126" spans="1:4" x14ac:dyDescent="0.2">
      <c r="A12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5.2631578947368418E-2</v>
      </c>
      <c r="B12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5.2631578947368418E-2</v>
      </c>
      <c r="C126" s="12">
        <f>Cleaned_MLB_Stats_Dataset__1[[#This Row],[Strikeouts]]/(Cleaned_MLB_Stats_Dataset__1[[#This Row],[At Bats]]+Cleaned_MLB_Stats_Dataset__1[[#This Row],[Walks]])</f>
        <v>0.13740458015267176</v>
      </c>
      <c r="D126" s="12">
        <f>Cleaned_MLB_Stats_Dataset__1[[#This Row],[Strikeouts]]/(Cleaned_MLB_Stats_Dataset__1[[#This Row],[At Bats]]+Cleaned_MLB_Stats_Dataset__1[[#This Row],[Walks]])</f>
        <v>0.13740458015267176</v>
      </c>
    </row>
    <row r="127" spans="1:4" x14ac:dyDescent="0.2">
      <c r="A12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0.1263823064770932</v>
      </c>
      <c r="B12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0.1263823064770932</v>
      </c>
      <c r="C127" s="13">
        <f>Cleaned_MLB_Stats_Dataset__1[[#This Row],[Strikeouts]]/(Cleaned_MLB_Stats_Dataset__1[[#This Row],[At Bats]]+Cleaned_MLB_Stats_Dataset__1[[#This Row],[Walks]])</f>
        <v>0.13600000000000001</v>
      </c>
      <c r="D127" s="13">
        <f>Cleaned_MLB_Stats_Dataset__1[[#This Row],[Strikeouts]]/(Cleaned_MLB_Stats_Dataset__1[[#This Row],[At Bats]]+Cleaned_MLB_Stats_Dataset__1[[#This Row],[Walks]])</f>
        <v>0.13600000000000001</v>
      </c>
    </row>
    <row r="128" spans="1:4" x14ac:dyDescent="0.2">
      <c r="A12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8.9655172413793102E-2</v>
      </c>
      <c r="B12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8.9655172413793102E-2</v>
      </c>
      <c r="C128" s="12">
        <f>Cleaned_MLB_Stats_Dataset__1[[#This Row],[Strikeouts]]/(Cleaned_MLB_Stats_Dataset__1[[#This Row],[At Bats]]+Cleaned_MLB_Stats_Dataset__1[[#This Row],[Walks]])</f>
        <v>0.13594470046082949</v>
      </c>
      <c r="D128" s="12">
        <f>Cleaned_MLB_Stats_Dataset__1[[#This Row],[Strikeouts]]/(Cleaned_MLB_Stats_Dataset__1[[#This Row],[At Bats]]+Cleaned_MLB_Stats_Dataset__1[[#This Row],[Walks]])</f>
        <v>0.13594470046082949</v>
      </c>
    </row>
    <row r="129" spans="1:4" x14ac:dyDescent="0.2">
      <c r="A12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6.4471879286694095E-2</v>
      </c>
      <c r="B12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6.4471879286694095E-2</v>
      </c>
      <c r="C129" s="13">
        <f>Cleaned_MLB_Stats_Dataset__1[[#This Row],[Strikeouts]]/(Cleaned_MLB_Stats_Dataset__1[[#This Row],[At Bats]]+Cleaned_MLB_Stats_Dataset__1[[#This Row],[Walks]])</f>
        <v>0.13535911602209943</v>
      </c>
      <c r="D129" s="13">
        <f>Cleaned_MLB_Stats_Dataset__1[[#This Row],[Strikeouts]]/(Cleaned_MLB_Stats_Dataset__1[[#This Row],[At Bats]]+Cleaned_MLB_Stats_Dataset__1[[#This Row],[Walks]])</f>
        <v>0.13535911602209943</v>
      </c>
    </row>
    <row r="130" spans="1:4" x14ac:dyDescent="0.2">
      <c r="A13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8.5329341317365276E-2</v>
      </c>
      <c r="B13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8.5329341317365276E-2</v>
      </c>
      <c r="C130" s="12">
        <f>Cleaned_MLB_Stats_Dataset__1[[#This Row],[Strikeouts]]/(Cleaned_MLB_Stats_Dataset__1[[#This Row],[At Bats]]+Cleaned_MLB_Stats_Dataset__1[[#This Row],[Walks]])</f>
        <v>0.13533834586466165</v>
      </c>
      <c r="D130" s="12">
        <f>Cleaned_MLB_Stats_Dataset__1[[#This Row],[Strikeouts]]/(Cleaned_MLB_Stats_Dataset__1[[#This Row],[At Bats]]+Cleaned_MLB_Stats_Dataset__1[[#This Row],[Walks]])</f>
        <v>0.13533834586466165</v>
      </c>
    </row>
    <row r="131" spans="1:4" x14ac:dyDescent="0.2">
      <c r="A13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9.8039215686274508E-2</v>
      </c>
      <c r="B13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9.8039215686274508E-2</v>
      </c>
      <c r="C131" s="13">
        <f>Cleaned_MLB_Stats_Dataset__1[[#This Row],[Strikeouts]]/(Cleaned_MLB_Stats_Dataset__1[[#This Row],[At Bats]]+Cleaned_MLB_Stats_Dataset__1[[#This Row],[Walks]])</f>
        <v>0.13484848484848486</v>
      </c>
      <c r="D131" s="13">
        <f>Cleaned_MLB_Stats_Dataset__1[[#This Row],[Strikeouts]]/(Cleaned_MLB_Stats_Dataset__1[[#This Row],[At Bats]]+Cleaned_MLB_Stats_Dataset__1[[#This Row],[Walks]])</f>
        <v>0.13484848484848486</v>
      </c>
    </row>
    <row r="132" spans="1:4" x14ac:dyDescent="0.2">
      <c r="A13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6.6978193146417439E-2</v>
      </c>
      <c r="B13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6.6978193146417439E-2</v>
      </c>
      <c r="C132" s="12">
        <f>Cleaned_MLB_Stats_Dataset__1[[#This Row],[Strikeouts]]/(Cleaned_MLB_Stats_Dataset__1[[#This Row],[At Bats]]+Cleaned_MLB_Stats_Dataset__1[[#This Row],[Walks]])</f>
        <v>0.13458528951486698</v>
      </c>
      <c r="D132" s="12">
        <f>Cleaned_MLB_Stats_Dataset__1[[#This Row],[Strikeouts]]/(Cleaned_MLB_Stats_Dataset__1[[#This Row],[At Bats]]+Cleaned_MLB_Stats_Dataset__1[[#This Row],[Walks]])</f>
        <v>0.13458528951486698</v>
      </c>
    </row>
    <row r="133" spans="1:4" x14ac:dyDescent="0.2">
      <c r="A13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0.14736842105263157</v>
      </c>
      <c r="B13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0.14736842105263157</v>
      </c>
      <c r="C133" s="13">
        <f>Cleaned_MLB_Stats_Dataset__1[[#This Row],[Strikeouts]]/(Cleaned_MLB_Stats_Dataset__1[[#This Row],[At Bats]]+Cleaned_MLB_Stats_Dataset__1[[#This Row],[Walks]])</f>
        <v>0.13421052631578947</v>
      </c>
      <c r="D133" s="13">
        <f>Cleaned_MLB_Stats_Dataset__1[[#This Row],[Strikeouts]]/(Cleaned_MLB_Stats_Dataset__1[[#This Row],[At Bats]]+Cleaned_MLB_Stats_Dataset__1[[#This Row],[Walks]])</f>
        <v>0.13421052631578947</v>
      </c>
    </row>
    <row r="134" spans="1:4" x14ac:dyDescent="0.2">
      <c r="A13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0.105</v>
      </c>
      <c r="B13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0.105</v>
      </c>
      <c r="C134" s="12">
        <f>Cleaned_MLB_Stats_Dataset__1[[#This Row],[Strikeouts]]/(Cleaned_MLB_Stats_Dataset__1[[#This Row],[At Bats]]+Cleaned_MLB_Stats_Dataset__1[[#This Row],[Walks]])</f>
        <v>0.1325503355704698</v>
      </c>
      <c r="D134" s="12">
        <f>Cleaned_MLB_Stats_Dataset__1[[#This Row],[Strikeouts]]/(Cleaned_MLB_Stats_Dataset__1[[#This Row],[At Bats]]+Cleaned_MLB_Stats_Dataset__1[[#This Row],[Walks]])</f>
        <v>0.1325503355704698</v>
      </c>
    </row>
    <row r="135" spans="1:4" x14ac:dyDescent="0.2">
      <c r="A13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0.11093502377179081</v>
      </c>
      <c r="B13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0.11093502377179081</v>
      </c>
      <c r="C135" s="13">
        <f>Cleaned_MLB_Stats_Dataset__1[[#This Row],[Strikeouts]]/(Cleaned_MLB_Stats_Dataset__1[[#This Row],[At Bats]]+Cleaned_MLB_Stats_Dataset__1[[#This Row],[Walks]])</f>
        <v>0.1321656050955414</v>
      </c>
      <c r="D135" s="13">
        <f>Cleaned_MLB_Stats_Dataset__1[[#This Row],[Strikeouts]]/(Cleaned_MLB_Stats_Dataset__1[[#This Row],[At Bats]]+Cleaned_MLB_Stats_Dataset__1[[#This Row],[Walks]])</f>
        <v>0.1321656050955414</v>
      </c>
    </row>
    <row r="136" spans="1:4" x14ac:dyDescent="0.2">
      <c r="A13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9.2846270928462704E-2</v>
      </c>
      <c r="B13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9.2846270928462704E-2</v>
      </c>
      <c r="C136" s="12">
        <f>Cleaned_MLB_Stats_Dataset__1[[#This Row],[Strikeouts]]/(Cleaned_MLB_Stats_Dataset__1[[#This Row],[At Bats]]+Cleaned_MLB_Stats_Dataset__1[[#This Row],[Walks]])</f>
        <v>0.13117283950617284</v>
      </c>
      <c r="D136" s="12">
        <f>Cleaned_MLB_Stats_Dataset__1[[#This Row],[Strikeouts]]/(Cleaned_MLB_Stats_Dataset__1[[#This Row],[At Bats]]+Cleaned_MLB_Stats_Dataset__1[[#This Row],[Walks]])</f>
        <v>0.13117283950617284</v>
      </c>
    </row>
    <row r="137" spans="1:4" x14ac:dyDescent="0.2">
      <c r="A13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6.3565891472868216E-2</v>
      </c>
      <c r="B13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6.3565891472868216E-2</v>
      </c>
      <c r="C137" s="13">
        <f>Cleaned_MLB_Stats_Dataset__1[[#This Row],[Strikeouts]]/(Cleaned_MLB_Stats_Dataset__1[[#This Row],[At Bats]]+Cleaned_MLB_Stats_Dataset__1[[#This Row],[Walks]])</f>
        <v>0.12812499999999999</v>
      </c>
      <c r="D137" s="13">
        <f>Cleaned_MLB_Stats_Dataset__1[[#This Row],[Strikeouts]]/(Cleaned_MLB_Stats_Dataset__1[[#This Row],[At Bats]]+Cleaned_MLB_Stats_Dataset__1[[#This Row],[Walks]])</f>
        <v>0.12812499999999999</v>
      </c>
    </row>
    <row r="138" spans="1:4" x14ac:dyDescent="0.2">
      <c r="A13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0.10829817158931083</v>
      </c>
      <c r="B13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0.10829817158931083</v>
      </c>
      <c r="C138" s="12">
        <f>Cleaned_MLB_Stats_Dataset__1[[#This Row],[Strikeouts]]/(Cleaned_MLB_Stats_Dataset__1[[#This Row],[At Bats]]+Cleaned_MLB_Stats_Dataset__1[[#This Row],[Walks]])</f>
        <v>0.12747875354107649</v>
      </c>
      <c r="D138" s="12">
        <f>Cleaned_MLB_Stats_Dataset__1[[#This Row],[Strikeouts]]/(Cleaned_MLB_Stats_Dataset__1[[#This Row],[At Bats]]+Cleaned_MLB_Stats_Dataset__1[[#This Row],[Walks]])</f>
        <v>0.12747875354107649</v>
      </c>
    </row>
    <row r="139" spans="1:4" x14ac:dyDescent="0.2">
      <c r="A13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7.2727272727272724E-2</v>
      </c>
      <c r="B13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7.2727272727272724E-2</v>
      </c>
      <c r="C139" s="13">
        <f>Cleaned_MLB_Stats_Dataset__1[[#This Row],[Strikeouts]]/(Cleaned_MLB_Stats_Dataset__1[[#This Row],[At Bats]]+Cleaned_MLB_Stats_Dataset__1[[#This Row],[Walks]])</f>
        <v>0.12727272727272726</v>
      </c>
      <c r="D139" s="13">
        <f>Cleaned_MLB_Stats_Dataset__1[[#This Row],[Strikeouts]]/(Cleaned_MLB_Stats_Dataset__1[[#This Row],[At Bats]]+Cleaned_MLB_Stats_Dataset__1[[#This Row],[Walks]])</f>
        <v>0.12727272727272726</v>
      </c>
    </row>
    <row r="140" spans="1:4" x14ac:dyDescent="0.2">
      <c r="A14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0.10502958579881656</v>
      </c>
      <c r="B14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0.10502958579881656</v>
      </c>
      <c r="C140" s="12">
        <f>Cleaned_MLB_Stats_Dataset__1[[#This Row],[Strikeouts]]/(Cleaned_MLB_Stats_Dataset__1[[#This Row],[At Bats]]+Cleaned_MLB_Stats_Dataset__1[[#This Row],[Walks]])</f>
        <v>0.12686567164179105</v>
      </c>
      <c r="D140" s="12">
        <f>Cleaned_MLB_Stats_Dataset__1[[#This Row],[Strikeouts]]/(Cleaned_MLB_Stats_Dataset__1[[#This Row],[At Bats]]+Cleaned_MLB_Stats_Dataset__1[[#This Row],[Walks]])</f>
        <v>0.12686567164179105</v>
      </c>
    </row>
    <row r="141" spans="1:4" x14ac:dyDescent="0.2">
      <c r="A14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0.14934114202049781</v>
      </c>
      <c r="B14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0.14934114202049781</v>
      </c>
      <c r="C141" s="13">
        <f>Cleaned_MLB_Stats_Dataset__1[[#This Row],[Strikeouts]]/(Cleaned_MLB_Stats_Dataset__1[[#This Row],[At Bats]]+Cleaned_MLB_Stats_Dataset__1[[#This Row],[Walks]])</f>
        <v>0.12612612612612611</v>
      </c>
      <c r="D141" s="13">
        <f>Cleaned_MLB_Stats_Dataset__1[[#This Row],[Strikeouts]]/(Cleaned_MLB_Stats_Dataset__1[[#This Row],[At Bats]]+Cleaned_MLB_Stats_Dataset__1[[#This Row],[Walks]])</f>
        <v>0.12612612612612611</v>
      </c>
    </row>
    <row r="142" spans="1:4" x14ac:dyDescent="0.2">
      <c r="A14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9.579100145137881E-2</v>
      </c>
      <c r="B14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9.579100145137881E-2</v>
      </c>
      <c r="C142" s="12">
        <f>Cleaned_MLB_Stats_Dataset__1[[#This Row],[Strikeouts]]/(Cleaned_MLB_Stats_Dataset__1[[#This Row],[At Bats]]+Cleaned_MLB_Stats_Dataset__1[[#This Row],[Walks]])</f>
        <v>0.12536443148688048</v>
      </c>
      <c r="D142" s="12">
        <f>Cleaned_MLB_Stats_Dataset__1[[#This Row],[Strikeouts]]/(Cleaned_MLB_Stats_Dataset__1[[#This Row],[At Bats]]+Cleaned_MLB_Stats_Dataset__1[[#This Row],[Walks]])</f>
        <v>0.12536443148688048</v>
      </c>
    </row>
    <row r="143" spans="1:4" x14ac:dyDescent="0.2">
      <c r="A14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6.3897763578274758E-2</v>
      </c>
      <c r="B14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6.3897763578274758E-2</v>
      </c>
      <c r="C143" s="13">
        <f>Cleaned_MLB_Stats_Dataset__1[[#This Row],[Strikeouts]]/(Cleaned_MLB_Stats_Dataset__1[[#This Row],[At Bats]]+Cleaned_MLB_Stats_Dataset__1[[#This Row],[Walks]])</f>
        <v>0.12479999999999999</v>
      </c>
      <c r="D143" s="13">
        <f>Cleaned_MLB_Stats_Dataset__1[[#This Row],[Strikeouts]]/(Cleaned_MLB_Stats_Dataset__1[[#This Row],[At Bats]]+Cleaned_MLB_Stats_Dataset__1[[#This Row],[Walks]])</f>
        <v>0.12479999999999999</v>
      </c>
    </row>
    <row r="144" spans="1:4" x14ac:dyDescent="0.2">
      <c r="A14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4.6337817638266068E-2</v>
      </c>
      <c r="B14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4.6337817638266068E-2</v>
      </c>
      <c r="C144" s="12">
        <f>Cleaned_MLB_Stats_Dataset__1[[#This Row],[Strikeouts]]/(Cleaned_MLB_Stats_Dataset__1[[#This Row],[At Bats]]+Cleaned_MLB_Stats_Dataset__1[[#This Row],[Walks]])</f>
        <v>0.12406576980568013</v>
      </c>
      <c r="D144" s="12">
        <f>Cleaned_MLB_Stats_Dataset__1[[#This Row],[Strikeouts]]/(Cleaned_MLB_Stats_Dataset__1[[#This Row],[At Bats]]+Cleaned_MLB_Stats_Dataset__1[[#This Row],[Walks]])</f>
        <v>0.12406576980568013</v>
      </c>
    </row>
    <row r="145" spans="1:4" x14ac:dyDescent="0.2">
      <c r="A14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6.8212824010914053E-2</v>
      </c>
      <c r="B14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6.8212824010914053E-2</v>
      </c>
      <c r="C145" s="13">
        <f>Cleaned_MLB_Stats_Dataset__1[[#This Row],[Strikeouts]]/(Cleaned_MLB_Stats_Dataset__1[[#This Row],[At Bats]]+Cleaned_MLB_Stats_Dataset__1[[#This Row],[Walks]])</f>
        <v>0.12362637362637363</v>
      </c>
      <c r="D145" s="13">
        <f>Cleaned_MLB_Stats_Dataset__1[[#This Row],[Strikeouts]]/(Cleaned_MLB_Stats_Dataset__1[[#This Row],[At Bats]]+Cleaned_MLB_Stats_Dataset__1[[#This Row],[Walks]])</f>
        <v>0.12362637362637363</v>
      </c>
    </row>
    <row r="146" spans="1:4" x14ac:dyDescent="0.2">
      <c r="A14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8.1349206349206352E-2</v>
      </c>
      <c r="B14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8.1349206349206352E-2</v>
      </c>
      <c r="C146" s="12">
        <f>Cleaned_MLB_Stats_Dataset__1[[#This Row],[Strikeouts]]/(Cleaned_MLB_Stats_Dataset__1[[#This Row],[At Bats]]+Cleaned_MLB_Stats_Dataset__1[[#This Row],[Walks]])</f>
        <v>0.12048192771084337</v>
      </c>
      <c r="D146" s="12">
        <f>Cleaned_MLB_Stats_Dataset__1[[#This Row],[Strikeouts]]/(Cleaned_MLB_Stats_Dataset__1[[#This Row],[At Bats]]+Cleaned_MLB_Stats_Dataset__1[[#This Row],[Walks]])</f>
        <v>0.12048192771084337</v>
      </c>
    </row>
    <row r="147" spans="1:4" x14ac:dyDescent="0.2">
      <c r="A14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6.7047075606276749E-2</v>
      </c>
      <c r="B14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6.7047075606276749E-2</v>
      </c>
      <c r="C147" s="13">
        <f>Cleaned_MLB_Stats_Dataset__1[[#This Row],[Strikeouts]]/(Cleaned_MLB_Stats_Dataset__1[[#This Row],[At Bats]]+Cleaned_MLB_Stats_Dataset__1[[#This Row],[Walks]])</f>
        <v>0.11959654178674352</v>
      </c>
      <c r="D147" s="13">
        <f>Cleaned_MLB_Stats_Dataset__1[[#This Row],[Strikeouts]]/(Cleaned_MLB_Stats_Dataset__1[[#This Row],[At Bats]]+Cleaned_MLB_Stats_Dataset__1[[#This Row],[Walks]])</f>
        <v>0.11959654178674352</v>
      </c>
    </row>
    <row r="148" spans="1:4" x14ac:dyDescent="0.2">
      <c r="A14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6.5934065934065936E-2</v>
      </c>
      <c r="B14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6.5934065934065936E-2</v>
      </c>
      <c r="C148" s="12">
        <f>Cleaned_MLB_Stats_Dataset__1[[#This Row],[Strikeouts]]/(Cleaned_MLB_Stats_Dataset__1[[#This Row],[At Bats]]+Cleaned_MLB_Stats_Dataset__1[[#This Row],[Walks]])</f>
        <v>0.11862068965517242</v>
      </c>
      <c r="D148" s="12">
        <f>Cleaned_MLB_Stats_Dataset__1[[#This Row],[Strikeouts]]/(Cleaned_MLB_Stats_Dataset__1[[#This Row],[At Bats]]+Cleaned_MLB_Stats_Dataset__1[[#This Row],[Walks]])</f>
        <v>0.11862068965517242</v>
      </c>
    </row>
    <row r="149" spans="1:4" x14ac:dyDescent="0.2">
      <c r="A14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0.11589895988112928</v>
      </c>
      <c r="B14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0.11589895988112928</v>
      </c>
      <c r="C149" s="13">
        <f>Cleaned_MLB_Stats_Dataset__1[[#This Row],[Strikeouts]]/(Cleaned_MLB_Stats_Dataset__1[[#This Row],[At Bats]]+Cleaned_MLB_Stats_Dataset__1[[#This Row],[Walks]])</f>
        <v>0.11773472429210134</v>
      </c>
      <c r="D149" s="13">
        <f>Cleaned_MLB_Stats_Dataset__1[[#This Row],[Strikeouts]]/(Cleaned_MLB_Stats_Dataset__1[[#This Row],[At Bats]]+Cleaned_MLB_Stats_Dataset__1[[#This Row],[Walks]])</f>
        <v>0.11773472429210134</v>
      </c>
    </row>
    <row r="150" spans="1:4" x14ac:dyDescent="0.2">
      <c r="A15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0.17169811320754716</v>
      </c>
      <c r="B15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0.17169811320754716</v>
      </c>
      <c r="C150" s="12">
        <f>Cleaned_MLB_Stats_Dataset__1[[#This Row],[Strikeouts]]/(Cleaned_MLB_Stats_Dataset__1[[#This Row],[At Bats]]+Cleaned_MLB_Stats_Dataset__1[[#This Row],[Walks]])</f>
        <v>0.11531190926275993</v>
      </c>
      <c r="D150" s="12">
        <f>Cleaned_MLB_Stats_Dataset__1[[#This Row],[Strikeouts]]/(Cleaned_MLB_Stats_Dataset__1[[#This Row],[At Bats]]+Cleaned_MLB_Stats_Dataset__1[[#This Row],[Walks]])</f>
        <v>0.11531190926275993</v>
      </c>
    </row>
    <row r="151" spans="1:4" x14ac:dyDescent="0.2">
      <c r="A15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0.28421052631578947</v>
      </c>
      <c r="B15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0.28421052631578947</v>
      </c>
      <c r="C151" s="13">
        <f>Cleaned_MLB_Stats_Dataset__1[[#This Row],[Strikeouts]]/(Cleaned_MLB_Stats_Dataset__1[[#This Row],[At Bats]]+Cleaned_MLB_Stats_Dataset__1[[#This Row],[Walks]])</f>
        <v>0.11440677966101695</v>
      </c>
      <c r="D151" s="13">
        <f>Cleaned_MLB_Stats_Dataset__1[[#This Row],[Strikeouts]]/(Cleaned_MLB_Stats_Dataset__1[[#This Row],[At Bats]]+Cleaned_MLB_Stats_Dataset__1[[#This Row],[Walks]])</f>
        <v>0.11440677966101695</v>
      </c>
    </row>
    <row r="152" spans="1:4" x14ac:dyDescent="0.2">
      <c r="A15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5.9467918622848198E-2</v>
      </c>
      <c r="B15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5.9467918622848198E-2</v>
      </c>
      <c r="C152" s="12">
        <f>Cleaned_MLB_Stats_Dataset__1[[#This Row],[Strikeouts]]/(Cleaned_MLB_Stats_Dataset__1[[#This Row],[At Bats]]+Cleaned_MLB_Stats_Dataset__1[[#This Row],[Walks]])</f>
        <v>0.11424100156494522</v>
      </c>
      <c r="D152" s="12">
        <f>Cleaned_MLB_Stats_Dataset__1[[#This Row],[Strikeouts]]/(Cleaned_MLB_Stats_Dataset__1[[#This Row],[At Bats]]+Cleaned_MLB_Stats_Dataset__1[[#This Row],[Walks]])</f>
        <v>0.11424100156494522</v>
      </c>
    </row>
    <row r="153" spans="1:4" x14ac:dyDescent="0.2">
      <c r="A15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9.4066570188133136E-2</v>
      </c>
      <c r="B15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9.4066570188133136E-2</v>
      </c>
      <c r="C153" s="13">
        <f>Cleaned_MLB_Stats_Dataset__1[[#This Row],[Strikeouts]]/(Cleaned_MLB_Stats_Dataset__1[[#This Row],[At Bats]]+Cleaned_MLB_Stats_Dataset__1[[#This Row],[Walks]])</f>
        <v>0.11273792093704246</v>
      </c>
      <c r="D153" s="13">
        <f>Cleaned_MLB_Stats_Dataset__1[[#This Row],[Strikeouts]]/(Cleaned_MLB_Stats_Dataset__1[[#This Row],[At Bats]]+Cleaned_MLB_Stats_Dataset__1[[#This Row],[Walks]])</f>
        <v>0.11273792093704246</v>
      </c>
    </row>
    <row r="154" spans="1:4" x14ac:dyDescent="0.2">
      <c r="A15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8.9285714285714288E-2</v>
      </c>
      <c r="B15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8.9285714285714288E-2</v>
      </c>
      <c r="C154" s="12">
        <f>Cleaned_MLB_Stats_Dataset__1[[#This Row],[Strikeouts]]/(Cleaned_MLB_Stats_Dataset__1[[#This Row],[At Bats]]+Cleaned_MLB_Stats_Dataset__1[[#This Row],[Walks]])</f>
        <v>0.11144578313253012</v>
      </c>
      <c r="D154" s="12">
        <f>Cleaned_MLB_Stats_Dataset__1[[#This Row],[Strikeouts]]/(Cleaned_MLB_Stats_Dataset__1[[#This Row],[At Bats]]+Cleaned_MLB_Stats_Dataset__1[[#This Row],[Walks]])</f>
        <v>0.11144578313253012</v>
      </c>
    </row>
    <row r="155" spans="1:4" x14ac:dyDescent="0.2">
      <c r="A15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0.15417867435158503</v>
      </c>
      <c r="B15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0.15417867435158503</v>
      </c>
      <c r="C155" s="13">
        <f>Cleaned_MLB_Stats_Dataset__1[[#This Row],[Strikeouts]]/(Cleaned_MLB_Stats_Dataset__1[[#This Row],[At Bats]]+Cleaned_MLB_Stats_Dataset__1[[#This Row],[Walks]])</f>
        <v>0.11014492753623188</v>
      </c>
      <c r="D155" s="13">
        <f>Cleaned_MLB_Stats_Dataset__1[[#This Row],[Strikeouts]]/(Cleaned_MLB_Stats_Dataset__1[[#This Row],[At Bats]]+Cleaned_MLB_Stats_Dataset__1[[#This Row],[Walks]])</f>
        <v>0.11014492753623188</v>
      </c>
    </row>
    <row r="156" spans="1:4" x14ac:dyDescent="0.2">
      <c r="A15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8.6206896551724144E-2</v>
      </c>
      <c r="B15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8.6206896551724144E-2</v>
      </c>
      <c r="C156" s="12">
        <f>Cleaned_MLB_Stats_Dataset__1[[#This Row],[Strikeouts]]/(Cleaned_MLB_Stats_Dataset__1[[#This Row],[At Bats]]+Cleaned_MLB_Stats_Dataset__1[[#This Row],[Walks]])</f>
        <v>0.10940499040307101</v>
      </c>
      <c r="D156" s="12">
        <f>Cleaned_MLB_Stats_Dataset__1[[#This Row],[Strikeouts]]/(Cleaned_MLB_Stats_Dataset__1[[#This Row],[At Bats]]+Cleaned_MLB_Stats_Dataset__1[[#This Row],[Walks]])</f>
        <v>0.10940499040307101</v>
      </c>
    </row>
    <row r="157" spans="1:4" x14ac:dyDescent="0.2">
      <c r="A15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0.28832116788321166</v>
      </c>
      <c r="B15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0.28832116788321166</v>
      </c>
      <c r="C157" s="13">
        <f>Cleaned_MLB_Stats_Dataset__1[[#This Row],[Strikeouts]]/(Cleaned_MLB_Stats_Dataset__1[[#This Row],[At Bats]]+Cleaned_MLB_Stats_Dataset__1[[#This Row],[Walks]])</f>
        <v>0.10780669144981413</v>
      </c>
      <c r="D157" s="13">
        <f>Cleaned_MLB_Stats_Dataset__1[[#This Row],[Strikeouts]]/(Cleaned_MLB_Stats_Dataset__1[[#This Row],[At Bats]]+Cleaned_MLB_Stats_Dataset__1[[#This Row],[Walks]])</f>
        <v>0.10780669144981413</v>
      </c>
    </row>
    <row r="158" spans="1:4" x14ac:dyDescent="0.2">
      <c r="A15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7.1232876712328766E-2</v>
      </c>
      <c r="B15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7.1232876712328766E-2</v>
      </c>
      <c r="C158" s="12">
        <f>Cleaned_MLB_Stats_Dataset__1[[#This Row],[Strikeouts]]/(Cleaned_MLB_Stats_Dataset__1[[#This Row],[At Bats]]+Cleaned_MLB_Stats_Dataset__1[[#This Row],[Walks]])</f>
        <v>0.10591471801925723</v>
      </c>
      <c r="D158" s="12">
        <f>Cleaned_MLB_Stats_Dataset__1[[#This Row],[Strikeouts]]/(Cleaned_MLB_Stats_Dataset__1[[#This Row],[At Bats]]+Cleaned_MLB_Stats_Dataset__1[[#This Row],[Walks]])</f>
        <v>0.10591471801925723</v>
      </c>
    </row>
    <row r="159" spans="1:4" x14ac:dyDescent="0.2">
      <c r="A15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5.3333333333333337E-2</v>
      </c>
      <c r="B15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5.3333333333333337E-2</v>
      </c>
      <c r="C159" s="13">
        <f>Cleaned_MLB_Stats_Dataset__1[[#This Row],[Strikeouts]]/(Cleaned_MLB_Stats_Dataset__1[[#This Row],[At Bats]]+Cleaned_MLB_Stats_Dataset__1[[#This Row],[Walks]])</f>
        <v>0.10581222056631892</v>
      </c>
      <c r="D159" s="13">
        <f>Cleaned_MLB_Stats_Dataset__1[[#This Row],[Strikeouts]]/(Cleaned_MLB_Stats_Dataset__1[[#This Row],[At Bats]]+Cleaned_MLB_Stats_Dataset__1[[#This Row],[Walks]])</f>
        <v>0.10581222056631892</v>
      </c>
    </row>
    <row r="160" spans="1:4" x14ac:dyDescent="0.2">
      <c r="A16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0.12978369384359401</v>
      </c>
      <c r="B16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0.12978369384359401</v>
      </c>
      <c r="C160" s="12">
        <f>Cleaned_MLB_Stats_Dataset__1[[#This Row],[Strikeouts]]/(Cleaned_MLB_Stats_Dataset__1[[#This Row],[At Bats]]+Cleaned_MLB_Stats_Dataset__1[[#This Row],[Walks]])</f>
        <v>0.10517529215358931</v>
      </c>
      <c r="D160" s="12">
        <f>Cleaned_MLB_Stats_Dataset__1[[#This Row],[Strikeouts]]/(Cleaned_MLB_Stats_Dataset__1[[#This Row],[At Bats]]+Cleaned_MLB_Stats_Dataset__1[[#This Row],[Walks]])</f>
        <v>0.10517529215358931</v>
      </c>
    </row>
    <row r="161" spans="1:4" x14ac:dyDescent="0.2">
      <c r="A16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9.6209912536443148E-2</v>
      </c>
      <c r="B16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9.6209912536443148E-2</v>
      </c>
      <c r="C161" s="13">
        <f>Cleaned_MLB_Stats_Dataset__1[[#This Row],[Strikeouts]]/(Cleaned_MLB_Stats_Dataset__1[[#This Row],[At Bats]]+Cleaned_MLB_Stats_Dataset__1[[#This Row],[Walks]])</f>
        <v>0.10441176470588236</v>
      </c>
      <c r="D161" s="13">
        <f>Cleaned_MLB_Stats_Dataset__1[[#This Row],[Strikeouts]]/(Cleaned_MLB_Stats_Dataset__1[[#This Row],[At Bats]]+Cleaned_MLB_Stats_Dataset__1[[#This Row],[Walks]])</f>
        <v>0.10441176470588236</v>
      </c>
    </row>
    <row r="162" spans="1:4" x14ac:dyDescent="0.2">
      <c r="A16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0.16235632183908047</v>
      </c>
      <c r="B16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0.16235632183908047</v>
      </c>
      <c r="C162" s="12">
        <f>Cleaned_MLB_Stats_Dataset__1[[#This Row],[Strikeouts]]/(Cleaned_MLB_Stats_Dataset__1[[#This Row],[At Bats]]+Cleaned_MLB_Stats_Dataset__1[[#This Row],[Walks]])</f>
        <v>0.1037463976945245</v>
      </c>
      <c r="D162" s="12">
        <f>Cleaned_MLB_Stats_Dataset__1[[#This Row],[Strikeouts]]/(Cleaned_MLB_Stats_Dataset__1[[#This Row],[At Bats]]+Cleaned_MLB_Stats_Dataset__1[[#This Row],[Walks]])</f>
        <v>0.1037463976945245</v>
      </c>
    </row>
    <row r="163" spans="1:4" x14ac:dyDescent="0.2">
      <c r="A16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5.8027079303675046E-2</v>
      </c>
      <c r="B16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5.8027079303675046E-2</v>
      </c>
      <c r="C163" s="13">
        <f>Cleaned_MLB_Stats_Dataset__1[[#This Row],[Strikeouts]]/(Cleaned_MLB_Stats_Dataset__1[[#This Row],[At Bats]]+Cleaned_MLB_Stats_Dataset__1[[#This Row],[Walks]])</f>
        <v>0.103515625</v>
      </c>
      <c r="D163" s="13">
        <f>Cleaned_MLB_Stats_Dataset__1[[#This Row],[Strikeouts]]/(Cleaned_MLB_Stats_Dataset__1[[#This Row],[At Bats]]+Cleaned_MLB_Stats_Dataset__1[[#This Row],[Walks]])</f>
        <v>0.103515625</v>
      </c>
    </row>
    <row r="164" spans="1:4" x14ac:dyDescent="0.2">
      <c r="A16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8.169440242057488E-2</v>
      </c>
      <c r="B16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8.169440242057488E-2</v>
      </c>
      <c r="C164" s="12">
        <f>Cleaned_MLB_Stats_Dataset__1[[#This Row],[Strikeouts]]/(Cleaned_MLB_Stats_Dataset__1[[#This Row],[At Bats]]+Cleaned_MLB_Stats_Dataset__1[[#This Row],[Walks]])</f>
        <v>0.1035007610350076</v>
      </c>
      <c r="D164" s="12">
        <f>Cleaned_MLB_Stats_Dataset__1[[#This Row],[Strikeouts]]/(Cleaned_MLB_Stats_Dataset__1[[#This Row],[At Bats]]+Cleaned_MLB_Stats_Dataset__1[[#This Row],[Walks]])</f>
        <v>0.1035007610350076</v>
      </c>
    </row>
    <row r="165" spans="1:4" x14ac:dyDescent="0.2">
      <c r="A16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0.10276679841897234</v>
      </c>
      <c r="B16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0.10276679841897234</v>
      </c>
      <c r="C165" s="13">
        <f>Cleaned_MLB_Stats_Dataset__1[[#This Row],[Strikeouts]]/(Cleaned_MLB_Stats_Dataset__1[[#This Row],[At Bats]]+Cleaned_MLB_Stats_Dataset__1[[#This Row],[Walks]])</f>
        <v>0.10290237467018469</v>
      </c>
      <c r="D165" s="13">
        <f>Cleaned_MLB_Stats_Dataset__1[[#This Row],[Strikeouts]]/(Cleaned_MLB_Stats_Dataset__1[[#This Row],[At Bats]]+Cleaned_MLB_Stats_Dataset__1[[#This Row],[Walks]])</f>
        <v>0.10290237467018469</v>
      </c>
    </row>
    <row r="166" spans="1:4" x14ac:dyDescent="0.2">
      <c r="A16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6.1338289962825282E-2</v>
      </c>
      <c r="B16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6.1338289962825282E-2</v>
      </c>
      <c r="C166" s="12">
        <f>Cleaned_MLB_Stats_Dataset__1[[#This Row],[Strikeouts]]/(Cleaned_MLB_Stats_Dataset__1[[#This Row],[At Bats]]+Cleaned_MLB_Stats_Dataset__1[[#This Row],[Walks]])</f>
        <v>0.10280373831775701</v>
      </c>
      <c r="D166" s="12">
        <f>Cleaned_MLB_Stats_Dataset__1[[#This Row],[Strikeouts]]/(Cleaned_MLB_Stats_Dataset__1[[#This Row],[At Bats]]+Cleaned_MLB_Stats_Dataset__1[[#This Row],[Walks]])</f>
        <v>0.10280373831775701</v>
      </c>
    </row>
    <row r="167" spans="1:4" x14ac:dyDescent="0.2">
      <c r="A16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8.1001472754050077E-2</v>
      </c>
      <c r="B16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8.1001472754050077E-2</v>
      </c>
      <c r="C167" s="13">
        <f>Cleaned_MLB_Stats_Dataset__1[[#This Row],[Strikeouts]]/(Cleaned_MLB_Stats_Dataset__1[[#This Row],[At Bats]]+Cleaned_MLB_Stats_Dataset__1[[#This Row],[Walks]])</f>
        <v>0.10192023633677991</v>
      </c>
      <c r="D167" s="13">
        <f>Cleaned_MLB_Stats_Dataset__1[[#This Row],[Strikeouts]]/(Cleaned_MLB_Stats_Dataset__1[[#This Row],[At Bats]]+Cleaned_MLB_Stats_Dataset__1[[#This Row],[Walks]])</f>
        <v>0.10192023633677991</v>
      </c>
    </row>
    <row r="168" spans="1:4" x14ac:dyDescent="0.2">
      <c r="A16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9.5330739299610889E-2</v>
      </c>
      <c r="B16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9.5330739299610889E-2</v>
      </c>
      <c r="C168" s="12">
        <f>Cleaned_MLB_Stats_Dataset__1[[#This Row],[Strikeouts]]/(Cleaned_MLB_Stats_Dataset__1[[#This Row],[At Bats]]+Cleaned_MLB_Stats_Dataset__1[[#This Row],[Walks]])</f>
        <v>0.10059171597633136</v>
      </c>
      <c r="D168" s="12">
        <f>Cleaned_MLB_Stats_Dataset__1[[#This Row],[Strikeouts]]/(Cleaned_MLB_Stats_Dataset__1[[#This Row],[At Bats]]+Cleaned_MLB_Stats_Dataset__1[[#This Row],[Walks]])</f>
        <v>0.10059171597633136</v>
      </c>
    </row>
    <row r="169" spans="1:4" x14ac:dyDescent="0.2">
      <c r="A16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0.13088235294117648</v>
      </c>
      <c r="B16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0.13088235294117648</v>
      </c>
      <c r="C169" s="13">
        <f>Cleaned_MLB_Stats_Dataset__1[[#This Row],[Strikeouts]]/(Cleaned_MLB_Stats_Dataset__1[[#This Row],[At Bats]]+Cleaned_MLB_Stats_Dataset__1[[#This Row],[Walks]])</f>
        <v>9.7014925373134331E-2</v>
      </c>
      <c r="D169" s="13">
        <f>Cleaned_MLB_Stats_Dataset__1[[#This Row],[Strikeouts]]/(Cleaned_MLB_Stats_Dataset__1[[#This Row],[At Bats]]+Cleaned_MLB_Stats_Dataset__1[[#This Row],[Walks]])</f>
        <v>9.7014925373134331E-2</v>
      </c>
    </row>
    <row r="170" spans="1:4" x14ac:dyDescent="0.2">
      <c r="A17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5.8252427184466021E-2</v>
      </c>
      <c r="B17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5.8252427184466021E-2</v>
      </c>
      <c r="C170" s="12">
        <f>Cleaned_MLB_Stats_Dataset__1[[#This Row],[Strikeouts]]/(Cleaned_MLB_Stats_Dataset__1[[#This Row],[At Bats]]+Cleaned_MLB_Stats_Dataset__1[[#This Row],[Walks]])</f>
        <v>9.6503496503496503E-2</v>
      </c>
      <c r="D170" s="12">
        <f>Cleaned_MLB_Stats_Dataset__1[[#This Row],[Strikeouts]]/(Cleaned_MLB_Stats_Dataset__1[[#This Row],[At Bats]]+Cleaned_MLB_Stats_Dataset__1[[#This Row],[Walks]])</f>
        <v>9.6503496503496503E-2</v>
      </c>
    </row>
    <row r="171" spans="1:4" x14ac:dyDescent="0.2">
      <c r="A17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0.12232415902140673</v>
      </c>
      <c r="B17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0.12232415902140673</v>
      </c>
      <c r="C171" s="13">
        <f>Cleaned_MLB_Stats_Dataset__1[[#This Row],[Strikeouts]]/(Cleaned_MLB_Stats_Dataset__1[[#This Row],[At Bats]]+Cleaned_MLB_Stats_Dataset__1[[#This Row],[Walks]])</f>
        <v>9.6124031007751937E-2</v>
      </c>
      <c r="D171" s="13">
        <f>Cleaned_MLB_Stats_Dataset__1[[#This Row],[Strikeouts]]/(Cleaned_MLB_Stats_Dataset__1[[#This Row],[At Bats]]+Cleaned_MLB_Stats_Dataset__1[[#This Row],[Walks]])</f>
        <v>9.6124031007751937E-2</v>
      </c>
    </row>
    <row r="172" spans="1:4" x14ac:dyDescent="0.2">
      <c r="A17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6.907378335949764E-2</v>
      </c>
      <c r="B17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6.907378335949764E-2</v>
      </c>
      <c r="C172" s="12">
        <f>Cleaned_MLB_Stats_Dataset__1[[#This Row],[Strikeouts]]/(Cleaned_MLB_Stats_Dataset__1[[#This Row],[At Bats]]+Cleaned_MLB_Stats_Dataset__1[[#This Row],[Walks]])</f>
        <v>9.5541401273885357E-2</v>
      </c>
      <c r="D172" s="12">
        <f>Cleaned_MLB_Stats_Dataset__1[[#This Row],[Strikeouts]]/(Cleaned_MLB_Stats_Dataset__1[[#This Row],[At Bats]]+Cleaned_MLB_Stats_Dataset__1[[#This Row],[Walks]])</f>
        <v>9.5541401273885357E-2</v>
      </c>
    </row>
    <row r="173" spans="1:4" x14ac:dyDescent="0.2">
      <c r="A17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7.209612817089453E-2</v>
      </c>
      <c r="B17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7.209612817089453E-2</v>
      </c>
      <c r="C173" s="13">
        <f>Cleaned_MLB_Stats_Dataset__1[[#This Row],[Strikeouts]]/(Cleaned_MLB_Stats_Dataset__1[[#This Row],[At Bats]]+Cleaned_MLB_Stats_Dataset__1[[#This Row],[Walks]])</f>
        <v>9.5430107526881719E-2</v>
      </c>
      <c r="D173" s="13">
        <f>Cleaned_MLB_Stats_Dataset__1[[#This Row],[Strikeouts]]/(Cleaned_MLB_Stats_Dataset__1[[#This Row],[At Bats]]+Cleaned_MLB_Stats_Dataset__1[[#This Row],[Walks]])</f>
        <v>9.5430107526881719E-2</v>
      </c>
    </row>
    <row r="174" spans="1:4" x14ac:dyDescent="0.2">
      <c r="A17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0.15208034433285508</v>
      </c>
      <c r="B17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0.15208034433285508</v>
      </c>
      <c r="C174" s="12">
        <f>Cleaned_MLB_Stats_Dataset__1[[#This Row],[Strikeouts]]/(Cleaned_MLB_Stats_Dataset__1[[#This Row],[At Bats]]+Cleaned_MLB_Stats_Dataset__1[[#This Row],[Walks]])</f>
        <v>9.4476744186046513E-2</v>
      </c>
      <c r="D174" s="12">
        <f>Cleaned_MLB_Stats_Dataset__1[[#This Row],[Strikeouts]]/(Cleaned_MLB_Stats_Dataset__1[[#This Row],[At Bats]]+Cleaned_MLB_Stats_Dataset__1[[#This Row],[Walks]])</f>
        <v>9.4476744186046513E-2</v>
      </c>
    </row>
    <row r="175" spans="1:4" x14ac:dyDescent="0.2">
      <c r="A175" s="14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0.1791907514450867</v>
      </c>
      <c r="B17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0.1791907514450867</v>
      </c>
      <c r="C175" s="14">
        <f>Cleaned_MLB_Stats_Dataset__1[[#This Row],[Strikeouts]]/(Cleaned_MLB_Stats_Dataset__1[[#This Row],[At Bats]]+Cleaned_MLB_Stats_Dataset__1[[#This Row],[Walks]])</f>
        <v>9.3704245973645683E-2</v>
      </c>
      <c r="D175" s="13">
        <f>Cleaned_MLB_Stats_Dataset__1[[#This Row],[Strikeouts]]/(Cleaned_MLB_Stats_Dataset__1[[#This Row],[At Bats]]+Cleaned_MLB_Stats_Dataset__1[[#This Row],[Walks]])</f>
        <v>9.3704245973645683E-2</v>
      </c>
    </row>
    <row r="176" spans="1:4" x14ac:dyDescent="0.2">
      <c r="B17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0.11764705882352941</v>
      </c>
      <c r="D176" s="12">
        <f>Cleaned_MLB_Stats_Dataset__1[[#This Row],[Strikeouts]]/(Cleaned_MLB_Stats_Dataset__1[[#This Row],[At Bats]]+Cleaned_MLB_Stats_Dataset__1[[#This Row],[Walks]])</f>
        <v>9.2173913043478259E-2</v>
      </c>
    </row>
    <row r="177" spans="2:4" x14ac:dyDescent="0.2">
      <c r="B17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8.7643678160919544E-2</v>
      </c>
      <c r="D177" s="13">
        <f>Cleaned_MLB_Stats_Dataset__1[[#This Row],[Strikeouts]]/(Cleaned_MLB_Stats_Dataset__1[[#This Row],[At Bats]]+Cleaned_MLB_Stats_Dataset__1[[#This Row],[Walks]])</f>
        <v>9.2105263157894732E-2</v>
      </c>
    </row>
    <row r="178" spans="2:4" x14ac:dyDescent="0.2">
      <c r="B17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7.5471698113207544E-2</v>
      </c>
      <c r="D178" s="12">
        <f>Cleaned_MLB_Stats_Dataset__1[[#This Row],[Strikeouts]]/(Cleaned_MLB_Stats_Dataset__1[[#This Row],[At Bats]]+Cleaned_MLB_Stats_Dataset__1[[#This Row],[Walks]])</f>
        <v>8.819538670284939E-2</v>
      </c>
    </row>
    <row r="179" spans="2:4" x14ac:dyDescent="0.2">
      <c r="B17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0.12991452991452992</v>
      </c>
      <c r="D179" s="13">
        <f>Cleaned_MLB_Stats_Dataset__1[[#This Row],[Strikeouts]]/(Cleaned_MLB_Stats_Dataset__1[[#This Row],[At Bats]]+Cleaned_MLB_Stats_Dataset__1[[#This Row],[Walks]])</f>
        <v>8.6505190311418678E-2</v>
      </c>
    </row>
    <row r="180" spans="2:4" x14ac:dyDescent="0.2">
      <c r="B18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0.17219589257503951</v>
      </c>
      <c r="D180" s="12">
        <f>Cleaned_MLB_Stats_Dataset__1[[#This Row],[Strikeouts]]/(Cleaned_MLB_Stats_Dataset__1[[#This Row],[At Bats]]+Cleaned_MLB_Stats_Dataset__1[[#This Row],[Walks]])</f>
        <v>8.598726114649681E-2</v>
      </c>
    </row>
    <row r="181" spans="2:4" x14ac:dyDescent="0.2">
      <c r="B18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7.0013210039630125E-2</v>
      </c>
      <c r="D181" s="13">
        <f>Cleaned_MLB_Stats_Dataset__1[[#This Row],[Strikeouts]]/(Cleaned_MLB_Stats_Dataset__1[[#This Row],[At Bats]]+Cleaned_MLB_Stats_Dataset__1[[#This Row],[Walks]])</f>
        <v>8.3665338645418322E-2</v>
      </c>
    </row>
    <row r="182" spans="2:4" x14ac:dyDescent="0.2">
      <c r="B18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0.14029850746268657</v>
      </c>
      <c r="D182" s="12">
        <f>Cleaned_MLB_Stats_Dataset__1[[#This Row],[Strikeouts]]/(Cleaned_MLB_Stats_Dataset__1[[#This Row],[At Bats]]+Cleaned_MLB_Stats_Dataset__1[[#This Row],[Walks]])</f>
        <v>8.3081570996978854E-2</v>
      </c>
    </row>
    <row r="183" spans="2:4" x14ac:dyDescent="0.2">
      <c r="B18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0.10107197549770292</v>
      </c>
      <c r="D183" s="13">
        <f>Cleaned_MLB_Stats_Dataset__1[[#This Row],[Strikeouts]]/(Cleaned_MLB_Stats_Dataset__1[[#This Row],[At Bats]]+Cleaned_MLB_Stats_Dataset__1[[#This Row],[Walks]])</f>
        <v>8.2822085889570546E-2</v>
      </c>
    </row>
    <row r="184" spans="2:4" x14ac:dyDescent="0.2">
      <c r="B184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0.11714770797962648</v>
      </c>
      <c r="D184" s="12">
        <f>Cleaned_MLB_Stats_Dataset__1[[#This Row],[Strikeouts]]/(Cleaned_MLB_Stats_Dataset__1[[#This Row],[At Bats]]+Cleaned_MLB_Stats_Dataset__1[[#This Row],[Walks]])</f>
        <v>8.2616179001721177E-2</v>
      </c>
    </row>
    <row r="185" spans="2:4" x14ac:dyDescent="0.2">
      <c r="B185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0.13687600644122383</v>
      </c>
      <c r="D185" s="13">
        <f>Cleaned_MLB_Stats_Dataset__1[[#This Row],[Strikeouts]]/(Cleaned_MLB_Stats_Dataset__1[[#This Row],[At Bats]]+Cleaned_MLB_Stats_Dataset__1[[#This Row],[Walks]])</f>
        <v>8.0645161290322578E-2</v>
      </c>
    </row>
    <row r="186" spans="2:4" x14ac:dyDescent="0.2">
      <c r="B186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0.15213946117274169</v>
      </c>
      <c r="D186" s="12">
        <f>Cleaned_MLB_Stats_Dataset__1[[#This Row],[Strikeouts]]/(Cleaned_MLB_Stats_Dataset__1[[#This Row],[At Bats]]+Cleaned_MLB_Stats_Dataset__1[[#This Row],[Walks]])</f>
        <v>7.9744816586921854E-2</v>
      </c>
    </row>
    <row r="187" spans="2:4" x14ac:dyDescent="0.2">
      <c r="B187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0.13323572474377746</v>
      </c>
      <c r="D187" s="13">
        <f>Cleaned_MLB_Stats_Dataset__1[[#This Row],[Strikeouts]]/(Cleaned_MLB_Stats_Dataset__1[[#This Row],[At Bats]]+Cleaned_MLB_Stats_Dataset__1[[#This Row],[Walks]])</f>
        <v>7.6923076923076927E-2</v>
      </c>
    </row>
    <row r="188" spans="2:4" x14ac:dyDescent="0.2">
      <c r="B188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8.0281690140845074E-2</v>
      </c>
      <c r="D188" s="12">
        <f>Cleaned_MLB_Stats_Dataset__1[[#This Row],[Strikeouts]]/(Cleaned_MLB_Stats_Dataset__1[[#This Row],[At Bats]]+Cleaned_MLB_Stats_Dataset__1[[#This Row],[Walks]])</f>
        <v>7.3968705547652919E-2</v>
      </c>
    </row>
    <row r="189" spans="2:4" x14ac:dyDescent="0.2">
      <c r="B189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0.1042830540037244</v>
      </c>
      <c r="D189" s="13">
        <f>Cleaned_MLB_Stats_Dataset__1[[#This Row],[Strikeouts]]/(Cleaned_MLB_Stats_Dataset__1[[#This Row],[At Bats]]+Cleaned_MLB_Stats_Dataset__1[[#This Row],[Walks]])</f>
        <v>7.3446327683615822E-2</v>
      </c>
    </row>
    <row r="190" spans="2:4" x14ac:dyDescent="0.2">
      <c r="B190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5.5350553505535055E-2</v>
      </c>
      <c r="D190" s="12">
        <f>Cleaned_MLB_Stats_Dataset__1[[#This Row],[Strikeouts]]/(Cleaned_MLB_Stats_Dataset__1[[#This Row],[At Bats]]+Cleaned_MLB_Stats_Dataset__1[[#This Row],[Walks]])</f>
        <v>7.0895522388059698E-2</v>
      </c>
    </row>
    <row r="191" spans="2:4" x14ac:dyDescent="0.2">
      <c r="B191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0.39250814332247558</v>
      </c>
      <c r="D191" s="13">
        <f>Cleaned_MLB_Stats_Dataset__1[[#This Row],[Strikeouts]]/(Cleaned_MLB_Stats_Dataset__1[[#This Row],[At Bats]]+Cleaned_MLB_Stats_Dataset__1[[#This Row],[Walks]])</f>
        <v>6.7768595041322308E-2</v>
      </c>
    </row>
    <row r="192" spans="2:4" x14ac:dyDescent="0.2">
      <c r="B192" s="12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0.10128388017118402</v>
      </c>
      <c r="D192" s="12">
        <f>Cleaned_MLB_Stats_Dataset__1[[#This Row],[Strikeouts]]/(Cleaned_MLB_Stats_Dataset__1[[#This Row],[At Bats]]+Cleaned_MLB_Stats_Dataset__1[[#This Row],[Walks]])</f>
        <v>6.3953488372093026E-2</v>
      </c>
    </row>
    <row r="193" spans="2:4" x14ac:dyDescent="0.2">
      <c r="B193" s="13">
        <f>(Cleaned_MLB_Stats_Dataset__1[[#This Row],[Walks]]+Cleaned_MLB_Stats_Dataset__1[[#This Row],[Hit By Pitch]])/(Cleaned_MLB_Stats_Dataset__1[[#This Row],[At Bats]]+Cleaned_MLB_Stats_Dataset__1[[#This Row],[Walks]]+Cleaned_MLB_Stats_Dataset__1[[#This Row],[Hit By Pitch]])</f>
        <v>7.5590551181102361E-2</v>
      </c>
      <c r="D193" s="13">
        <f>Cleaned_MLB_Stats_Dataset__1[[#This Row],[Strikeouts]]/(Cleaned_MLB_Stats_Dataset__1[[#This Row],[At Bats]]+Cleaned_MLB_Stats_Dataset__1[[#This Row],[Walks]])</f>
        <v>4.807692307692308E-2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3B64-0FF7-824E-BB2E-7422517B340F}">
  <dimension ref="B1:P1"/>
  <sheetViews>
    <sheetView showGridLines="0" zoomScale="75" zoomScaleNormal="131" workbookViewId="0">
      <selection activeCell="I15" sqref="I15"/>
    </sheetView>
  </sheetViews>
  <sheetFormatPr baseColWidth="10" defaultRowHeight="16" x14ac:dyDescent="0.2"/>
  <sheetData>
    <row r="1" spans="2:16" ht="27" x14ac:dyDescent="0.35">
      <c r="B1" s="15" t="s">
        <v>360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</sheetData>
  <mergeCells count="1">
    <mergeCell ref="B1:P1"/>
  </mergeCells>
  <pageMargins left="0.7" right="0.7" top="0.75" bottom="0.75" header="0.3" footer="0.3"/>
  <pageSetup orientation="landscape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65336F-3D3D-4B44-86B7-5CB4053E4C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Pre-MoneyBall(1993-2002)</vt:lpstr>
      <vt:lpstr>MoneyBall(2003-2013)</vt:lpstr>
      <vt:lpstr>Cleaned MLB Stats Dataset</vt:lpstr>
      <vt:lpstr>League Averages</vt:lpstr>
      <vt:lpstr>Chart1</vt:lpstr>
      <vt:lpstr>Chart2</vt:lpstr>
      <vt:lpstr>Chart3</vt:lpstr>
      <vt:lpstr>Chart4</vt:lpstr>
      <vt:lpstr>Main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Dippold</dc:creator>
  <cp:lastModifiedBy>Ethan Dippold</cp:lastModifiedBy>
  <dcterms:created xsi:type="dcterms:W3CDTF">2025-07-20T14:04:10Z</dcterms:created>
  <dcterms:modified xsi:type="dcterms:W3CDTF">2026-01-13T00:23:04Z</dcterms:modified>
</cp:coreProperties>
</file>